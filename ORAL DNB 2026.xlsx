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bastiencapel/Library/CloudStorage/GoogleDrive-capel.direction@gmail.com/Mon Drive/1_LFJP/🇸🇳 LFJP BASTIEN/🎒 PEDAGOGIE &amp; SUIVI DES ELEVES/EXAMENS/2026/DNB 2026/Simulateur DNB/"/>
    </mc:Choice>
  </mc:AlternateContent>
  <xr:revisionPtr revIDLastSave="0" documentId="8_{C08FFF02-FE35-B04F-BA85-AEB888554B17}" xr6:coauthVersionLast="47" xr6:coauthVersionMax="47" xr10:uidLastSave="{00000000-0000-0000-0000-000000000000}"/>
  <bookViews>
    <workbookView xWindow="4880" yWindow="600" windowWidth="55280" windowHeight="31360" xr2:uid="{00000000-000D-0000-FFFF-FFFF00000000}"/>
  </bookViews>
  <sheets>
    <sheet name="Importrange" sheetId="1" r:id="rId1"/>
    <sheet name="SUJETS" sheetId="2" r:id="rId2"/>
    <sheet name="JURES" sheetId="3" r:id="rId3"/>
    <sheet name="DISCIPLINE" sheetId="4" r:id="rId4"/>
    <sheet name="Tableau croisé dynamique 1" sheetId="5" r:id="rId5"/>
    <sheet name="NOTES" sheetId="6" r:id="rId6"/>
  </sheets>
  <definedNames>
    <definedName name="_xlnm._FilterDatabase" localSheetId="1" hidden="1">SUJETS!$A$1:$O$58</definedName>
  </definedNames>
  <calcPr calcId="191029"/>
  <pivotCaches>
    <pivotCache cacheId="6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6" l="1"/>
  <c r="B11" i="4"/>
  <c r="B10" i="4"/>
  <c r="B9" i="4"/>
  <c r="B8" i="4"/>
  <c r="B7" i="4"/>
  <c r="B6" i="4"/>
  <c r="B5" i="4"/>
  <c r="B4" i="4"/>
  <c r="B3" i="4"/>
  <c r="B2" i="4"/>
  <c r="B1" i="4"/>
  <c r="AM634" i="1"/>
  <c r="AK634" i="1"/>
  <c r="AJ634" i="1"/>
  <c r="AF634" i="1"/>
  <c r="AD634" i="1"/>
  <c r="AB634" i="1"/>
  <c r="X634" i="1"/>
  <c r="V634" i="1"/>
  <c r="T634" i="1"/>
  <c r="R634" i="1"/>
  <c r="P634" i="1"/>
  <c r="N634" i="1"/>
  <c r="M634" i="1"/>
  <c r="K634" i="1"/>
  <c r="J634" i="1"/>
  <c r="I634" i="1"/>
  <c r="H634" i="1"/>
  <c r="G634" i="1"/>
  <c r="F634" i="1"/>
  <c r="E634" i="1"/>
  <c r="D634" i="1"/>
  <c r="C634" i="1"/>
  <c r="B634" i="1"/>
  <c r="A634" i="1"/>
  <c r="AM633" i="1"/>
  <c r="AL633" i="1"/>
  <c r="AK633" i="1"/>
  <c r="AJ633" i="1"/>
  <c r="AG633" i="1"/>
  <c r="AF633" i="1"/>
  <c r="AE633" i="1"/>
  <c r="AD633" i="1"/>
  <c r="AC633" i="1"/>
  <c r="AB633" i="1"/>
  <c r="Y633" i="1"/>
  <c r="X633" i="1"/>
  <c r="W633" i="1"/>
  <c r="V633" i="1"/>
  <c r="U633" i="1"/>
  <c r="T633" i="1"/>
  <c r="R633" i="1"/>
  <c r="P633" i="1"/>
  <c r="N633" i="1"/>
  <c r="J633" i="1"/>
  <c r="I633" i="1"/>
  <c r="H633" i="1"/>
  <c r="G633" i="1"/>
  <c r="F633" i="1"/>
  <c r="E633" i="1"/>
  <c r="D633" i="1"/>
  <c r="C633" i="1"/>
  <c r="B633" i="1"/>
  <c r="A633" i="1"/>
  <c r="AM632" i="1"/>
  <c r="AL632" i="1"/>
  <c r="AK632" i="1"/>
  <c r="AJ632" i="1"/>
  <c r="AG632" i="1"/>
  <c r="AF632" i="1"/>
  <c r="AE632" i="1"/>
  <c r="AD632" i="1"/>
  <c r="AC632" i="1"/>
  <c r="AB632" i="1"/>
  <c r="Y632" i="1"/>
  <c r="X632" i="1"/>
  <c r="W632" i="1"/>
  <c r="V632" i="1"/>
  <c r="U632" i="1"/>
  <c r="T632" i="1"/>
  <c r="S632" i="1"/>
  <c r="P632" i="1"/>
  <c r="N632" i="1"/>
  <c r="H632" i="1"/>
  <c r="G632" i="1"/>
  <c r="F632" i="1"/>
  <c r="E632" i="1"/>
  <c r="D632" i="1"/>
  <c r="C632" i="1"/>
  <c r="B632" i="1"/>
  <c r="A632" i="1"/>
  <c r="AM631" i="1"/>
  <c r="AL631" i="1"/>
  <c r="AK631" i="1"/>
  <c r="AJ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R631" i="1"/>
  <c r="Q631" i="1"/>
  <c r="P631" i="1"/>
  <c r="N631" i="1"/>
  <c r="J631" i="1"/>
  <c r="I631" i="1"/>
  <c r="H631" i="1"/>
  <c r="G631" i="1"/>
  <c r="F631" i="1"/>
  <c r="E631" i="1"/>
  <c r="D631" i="1"/>
  <c r="C631" i="1"/>
  <c r="B631" i="1"/>
  <c r="A631" i="1"/>
  <c r="AM630" i="1"/>
  <c r="AL630" i="1"/>
  <c r="AK630" i="1"/>
  <c r="AJ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P630" i="1"/>
  <c r="N630" i="1"/>
  <c r="H630" i="1"/>
  <c r="G630" i="1"/>
  <c r="F630" i="1"/>
  <c r="E630" i="1"/>
  <c r="D630" i="1"/>
  <c r="C630" i="1"/>
  <c r="B630" i="1"/>
  <c r="A630" i="1"/>
  <c r="AM629" i="1"/>
  <c r="AL629" i="1"/>
  <c r="AK629" i="1"/>
  <c r="AJ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P629" i="1"/>
  <c r="N629" i="1"/>
  <c r="H629" i="1"/>
  <c r="G629" i="1"/>
  <c r="F629" i="1"/>
  <c r="E629" i="1"/>
  <c r="D629" i="1"/>
  <c r="C629" i="1"/>
  <c r="B629" i="1"/>
  <c r="A629" i="1"/>
  <c r="AM628" i="1"/>
  <c r="AL628" i="1"/>
  <c r="AK628" i="1"/>
  <c r="AJ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P628" i="1"/>
  <c r="N628" i="1"/>
  <c r="J628" i="1"/>
  <c r="I628" i="1"/>
  <c r="H628" i="1"/>
  <c r="G628" i="1"/>
  <c r="F628" i="1"/>
  <c r="E628" i="1"/>
  <c r="D628" i="1"/>
  <c r="C628" i="1"/>
  <c r="B628" i="1"/>
  <c r="A628" i="1"/>
  <c r="AM627" i="1"/>
  <c r="AL627" i="1"/>
  <c r="AK627" i="1"/>
  <c r="AJ627" i="1"/>
  <c r="AG627" i="1"/>
  <c r="AF627" i="1"/>
  <c r="AE627" i="1"/>
  <c r="AD627" i="1"/>
  <c r="AC627" i="1"/>
  <c r="AB627" i="1"/>
  <c r="Y627" i="1"/>
  <c r="X627" i="1"/>
  <c r="W627" i="1"/>
  <c r="V627" i="1"/>
  <c r="U627" i="1"/>
  <c r="T627" i="1"/>
  <c r="R627" i="1"/>
  <c r="P627" i="1"/>
  <c r="N627" i="1"/>
  <c r="M627" i="1"/>
  <c r="J627" i="1"/>
  <c r="I627" i="1"/>
  <c r="H627" i="1"/>
  <c r="G627" i="1"/>
  <c r="F627" i="1"/>
  <c r="E627" i="1"/>
  <c r="D627" i="1"/>
  <c r="C627" i="1"/>
  <c r="B627" i="1"/>
  <c r="A627" i="1"/>
  <c r="AM626" i="1"/>
  <c r="AL626" i="1"/>
  <c r="AK626" i="1"/>
  <c r="AJ626" i="1"/>
  <c r="AG626" i="1"/>
  <c r="AF626" i="1"/>
  <c r="AE626" i="1"/>
  <c r="AD626" i="1"/>
  <c r="AC626" i="1"/>
  <c r="AB626" i="1"/>
  <c r="Y626" i="1"/>
  <c r="X626" i="1"/>
  <c r="W626" i="1"/>
  <c r="V626" i="1"/>
  <c r="U626" i="1"/>
  <c r="T626" i="1"/>
  <c r="R626" i="1"/>
  <c r="P626" i="1"/>
  <c r="N626" i="1"/>
  <c r="M626" i="1"/>
  <c r="J626" i="1"/>
  <c r="I626" i="1"/>
  <c r="H626" i="1"/>
  <c r="G626" i="1"/>
  <c r="F626" i="1"/>
  <c r="E626" i="1"/>
  <c r="D626" i="1"/>
  <c r="C626" i="1"/>
  <c r="B626" i="1"/>
  <c r="A626" i="1"/>
  <c r="AM625" i="1"/>
  <c r="AL625" i="1"/>
  <c r="AK625" i="1"/>
  <c r="AJ625" i="1"/>
  <c r="AG625" i="1"/>
  <c r="AF625" i="1"/>
  <c r="AE625" i="1"/>
  <c r="AD625" i="1"/>
  <c r="AC625" i="1"/>
  <c r="AB625" i="1"/>
  <c r="Y625" i="1"/>
  <c r="X625" i="1"/>
  <c r="W625" i="1"/>
  <c r="V625" i="1"/>
  <c r="U625" i="1"/>
  <c r="T625" i="1"/>
  <c r="R625" i="1"/>
  <c r="P625" i="1"/>
  <c r="N625" i="1"/>
  <c r="J625" i="1"/>
  <c r="I625" i="1"/>
  <c r="H625" i="1"/>
  <c r="G625" i="1"/>
  <c r="F625" i="1"/>
  <c r="E625" i="1"/>
  <c r="D625" i="1"/>
  <c r="C625" i="1"/>
  <c r="B625" i="1"/>
  <c r="A625" i="1"/>
  <c r="AM624" i="1"/>
  <c r="AL624" i="1"/>
  <c r="AK624" i="1"/>
  <c r="AJ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P624" i="1"/>
  <c r="N624" i="1"/>
  <c r="J624" i="1"/>
  <c r="I624" i="1"/>
  <c r="H624" i="1"/>
  <c r="G624" i="1"/>
  <c r="F624" i="1"/>
  <c r="E624" i="1"/>
  <c r="D624" i="1"/>
  <c r="C624" i="1"/>
  <c r="B624" i="1"/>
  <c r="A624" i="1"/>
  <c r="AM623" i="1"/>
  <c r="AL623" i="1"/>
  <c r="AK623" i="1"/>
  <c r="AJ623" i="1"/>
  <c r="AG623" i="1"/>
  <c r="AF623" i="1"/>
  <c r="AE623" i="1"/>
  <c r="AD623" i="1"/>
  <c r="AC623" i="1"/>
  <c r="AB623" i="1"/>
  <c r="Y623" i="1"/>
  <c r="X623" i="1"/>
  <c r="W623" i="1"/>
  <c r="V623" i="1"/>
  <c r="U623" i="1"/>
  <c r="T623" i="1"/>
  <c r="S623" i="1"/>
  <c r="R623" i="1"/>
  <c r="P623" i="1"/>
  <c r="N623" i="1"/>
  <c r="J623" i="1"/>
  <c r="I623" i="1"/>
  <c r="H623" i="1"/>
  <c r="G623" i="1"/>
  <c r="F623" i="1"/>
  <c r="E623" i="1"/>
  <c r="D623" i="1"/>
  <c r="C623" i="1"/>
  <c r="B623" i="1"/>
  <c r="A623" i="1"/>
  <c r="AM622" i="1"/>
  <c r="AL622" i="1"/>
  <c r="AK622" i="1"/>
  <c r="AJ622" i="1"/>
  <c r="AG622" i="1"/>
  <c r="AF622" i="1"/>
  <c r="AE622" i="1"/>
  <c r="AD622" i="1"/>
  <c r="AC622" i="1"/>
  <c r="AB622" i="1"/>
  <c r="Y622" i="1"/>
  <c r="X622" i="1"/>
  <c r="W622" i="1"/>
  <c r="V622" i="1"/>
  <c r="U622" i="1"/>
  <c r="T622" i="1"/>
  <c r="P622" i="1"/>
  <c r="N622" i="1"/>
  <c r="H622" i="1"/>
  <c r="G622" i="1"/>
  <c r="F622" i="1"/>
  <c r="E622" i="1"/>
  <c r="D622" i="1"/>
  <c r="C622" i="1"/>
  <c r="B622" i="1"/>
  <c r="A622" i="1"/>
  <c r="AM621" i="1"/>
  <c r="AK621" i="1"/>
  <c r="AJ621" i="1"/>
  <c r="AH621" i="1"/>
  <c r="AF621" i="1"/>
  <c r="AD621" i="1"/>
  <c r="AB621" i="1"/>
  <c r="Z621" i="1"/>
  <c r="X621" i="1"/>
  <c r="V621" i="1"/>
  <c r="T621" i="1"/>
  <c r="S621" i="1"/>
  <c r="R621" i="1"/>
  <c r="Q621" i="1"/>
  <c r="P621" i="1"/>
  <c r="N621" i="1"/>
  <c r="J621" i="1"/>
  <c r="I621" i="1"/>
  <c r="H621" i="1"/>
  <c r="G621" i="1"/>
  <c r="F621" i="1"/>
  <c r="E621" i="1"/>
  <c r="D621" i="1"/>
  <c r="C621" i="1"/>
  <c r="B621" i="1"/>
  <c r="A621" i="1"/>
  <c r="AM620" i="1"/>
  <c r="AL620" i="1"/>
  <c r="AK620" i="1"/>
  <c r="AJ620" i="1"/>
  <c r="AG620" i="1"/>
  <c r="AF620" i="1"/>
  <c r="AE620" i="1"/>
  <c r="AD620" i="1"/>
  <c r="AC620" i="1"/>
  <c r="AB620" i="1"/>
  <c r="Y620" i="1"/>
  <c r="X620" i="1"/>
  <c r="W620" i="1"/>
  <c r="V620" i="1"/>
  <c r="U620" i="1"/>
  <c r="T620" i="1"/>
  <c r="S620" i="1"/>
  <c r="R620" i="1"/>
  <c r="Q620" i="1"/>
  <c r="P620" i="1"/>
  <c r="N620" i="1"/>
  <c r="J620" i="1"/>
  <c r="I620" i="1"/>
  <c r="H620" i="1"/>
  <c r="G620" i="1"/>
  <c r="F620" i="1"/>
  <c r="E620" i="1"/>
  <c r="D620" i="1"/>
  <c r="C620" i="1"/>
  <c r="B620" i="1"/>
  <c r="A620" i="1"/>
  <c r="AM619" i="1"/>
  <c r="AL619" i="1"/>
  <c r="AK619" i="1"/>
  <c r="AJ619" i="1"/>
  <c r="AG619" i="1"/>
  <c r="AF619" i="1"/>
  <c r="AE619" i="1"/>
  <c r="AD619" i="1"/>
  <c r="AC619" i="1"/>
  <c r="AB619" i="1"/>
  <c r="Y619" i="1"/>
  <c r="X619" i="1"/>
  <c r="W619" i="1"/>
  <c r="V619" i="1"/>
  <c r="U619" i="1"/>
  <c r="T619" i="1"/>
  <c r="S619" i="1"/>
  <c r="R619" i="1"/>
  <c r="Q619" i="1"/>
  <c r="P619" i="1"/>
  <c r="N619" i="1"/>
  <c r="J619" i="1"/>
  <c r="I619" i="1"/>
  <c r="H619" i="1"/>
  <c r="G619" i="1"/>
  <c r="F619" i="1"/>
  <c r="E619" i="1"/>
  <c r="D619" i="1"/>
  <c r="C619" i="1"/>
  <c r="B619" i="1"/>
  <c r="A619" i="1"/>
  <c r="AM618" i="1"/>
  <c r="AL618" i="1"/>
  <c r="AK618" i="1"/>
  <c r="AJ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P618" i="1"/>
  <c r="N618" i="1"/>
  <c r="M618" i="1"/>
  <c r="J618" i="1"/>
  <c r="I618" i="1"/>
  <c r="H618" i="1"/>
  <c r="G618" i="1"/>
  <c r="F618" i="1"/>
  <c r="E618" i="1"/>
  <c r="D618" i="1"/>
  <c r="C618" i="1"/>
  <c r="B618" i="1"/>
  <c r="A618" i="1"/>
  <c r="AM617" i="1"/>
  <c r="AL617" i="1"/>
  <c r="AK617" i="1"/>
  <c r="AJ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P617" i="1"/>
  <c r="N617" i="1"/>
  <c r="J617" i="1"/>
  <c r="I617" i="1"/>
  <c r="H617" i="1"/>
  <c r="G617" i="1"/>
  <c r="F617" i="1"/>
  <c r="E617" i="1"/>
  <c r="D617" i="1"/>
  <c r="C617" i="1"/>
  <c r="B617" i="1"/>
  <c r="A617" i="1"/>
  <c r="AM616" i="1"/>
  <c r="AL616" i="1"/>
  <c r="AK616" i="1"/>
  <c r="AJ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P616" i="1"/>
  <c r="N616" i="1"/>
  <c r="J616" i="1"/>
  <c r="I616" i="1"/>
  <c r="H616" i="1"/>
  <c r="G616" i="1"/>
  <c r="F616" i="1"/>
  <c r="E616" i="1"/>
  <c r="D616" i="1"/>
  <c r="C616" i="1"/>
  <c r="B616" i="1"/>
  <c r="A616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P615" i="1"/>
  <c r="N615" i="1"/>
  <c r="H615" i="1"/>
  <c r="G615" i="1"/>
  <c r="F615" i="1"/>
  <c r="E615" i="1"/>
  <c r="D615" i="1"/>
  <c r="C615" i="1"/>
  <c r="B615" i="1"/>
  <c r="A615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P614" i="1"/>
  <c r="N614" i="1"/>
  <c r="H614" i="1"/>
  <c r="G614" i="1"/>
  <c r="F614" i="1"/>
  <c r="E614" i="1"/>
  <c r="D614" i="1"/>
  <c r="C614" i="1"/>
  <c r="B614" i="1"/>
  <c r="A614" i="1"/>
  <c r="AM613" i="1"/>
  <c r="AL613" i="1"/>
  <c r="AK613" i="1"/>
  <c r="AJ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N613" i="1"/>
  <c r="J613" i="1"/>
  <c r="I613" i="1"/>
  <c r="H613" i="1"/>
  <c r="G613" i="1"/>
  <c r="F613" i="1"/>
  <c r="E613" i="1"/>
  <c r="D613" i="1"/>
  <c r="C613" i="1"/>
  <c r="B613" i="1"/>
  <c r="A613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P612" i="1"/>
  <c r="N612" i="1"/>
  <c r="J612" i="1"/>
  <c r="I612" i="1"/>
  <c r="H612" i="1"/>
  <c r="G612" i="1"/>
  <c r="F612" i="1"/>
  <c r="E612" i="1"/>
  <c r="D612" i="1"/>
  <c r="C612" i="1"/>
  <c r="B612" i="1"/>
  <c r="A612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Q611" i="1"/>
  <c r="P611" i="1"/>
  <c r="N611" i="1"/>
  <c r="H611" i="1"/>
  <c r="G611" i="1"/>
  <c r="F611" i="1"/>
  <c r="E611" i="1"/>
  <c r="D611" i="1"/>
  <c r="C611" i="1"/>
  <c r="B611" i="1"/>
  <c r="A611" i="1"/>
  <c r="AM610" i="1"/>
  <c r="AL610" i="1"/>
  <c r="AK610" i="1"/>
  <c r="AJ610" i="1"/>
  <c r="AI610" i="1"/>
  <c r="AG610" i="1"/>
  <c r="AF610" i="1"/>
  <c r="AE610" i="1"/>
  <c r="AD610" i="1"/>
  <c r="AC610" i="1"/>
  <c r="AB610" i="1"/>
  <c r="Y610" i="1"/>
  <c r="X610" i="1"/>
  <c r="W610" i="1"/>
  <c r="V610" i="1"/>
  <c r="U610" i="1"/>
  <c r="T610" i="1"/>
  <c r="Q610" i="1"/>
  <c r="P610" i="1"/>
  <c r="N610" i="1"/>
  <c r="H610" i="1"/>
  <c r="G610" i="1"/>
  <c r="F610" i="1"/>
  <c r="E610" i="1"/>
  <c r="D610" i="1"/>
  <c r="C610" i="1"/>
  <c r="B610" i="1"/>
  <c r="A610" i="1"/>
  <c r="AM609" i="1"/>
  <c r="AL609" i="1"/>
  <c r="AK609" i="1"/>
  <c r="AJ609" i="1"/>
  <c r="AI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P609" i="1"/>
  <c r="N609" i="1"/>
  <c r="H609" i="1"/>
  <c r="G609" i="1"/>
  <c r="F609" i="1"/>
  <c r="E609" i="1"/>
  <c r="D609" i="1"/>
  <c r="C609" i="1"/>
  <c r="B609" i="1"/>
  <c r="A609" i="1"/>
  <c r="AM608" i="1"/>
  <c r="AL608" i="1"/>
  <c r="AK608" i="1"/>
  <c r="AJ608" i="1"/>
  <c r="AI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P608" i="1"/>
  <c r="N608" i="1"/>
  <c r="H608" i="1"/>
  <c r="G608" i="1"/>
  <c r="F608" i="1"/>
  <c r="E608" i="1"/>
  <c r="D608" i="1"/>
  <c r="C608" i="1"/>
  <c r="B608" i="1"/>
  <c r="A608" i="1"/>
  <c r="AM607" i="1"/>
  <c r="AL607" i="1"/>
  <c r="AK607" i="1"/>
  <c r="AJ607" i="1"/>
  <c r="AI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N607" i="1"/>
  <c r="J607" i="1"/>
  <c r="I607" i="1"/>
  <c r="H607" i="1"/>
  <c r="G607" i="1"/>
  <c r="F607" i="1"/>
  <c r="E607" i="1"/>
  <c r="D607" i="1"/>
  <c r="C607" i="1"/>
  <c r="B607" i="1"/>
  <c r="A607" i="1"/>
  <c r="AM606" i="1"/>
  <c r="AL606" i="1"/>
  <c r="AK606" i="1"/>
  <c r="AJ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P606" i="1"/>
  <c r="N606" i="1"/>
  <c r="H606" i="1"/>
  <c r="G606" i="1"/>
  <c r="F606" i="1"/>
  <c r="E606" i="1"/>
  <c r="D606" i="1"/>
  <c r="C606" i="1"/>
  <c r="B606" i="1"/>
  <c r="A606" i="1"/>
  <c r="AM605" i="1"/>
  <c r="AL605" i="1"/>
  <c r="AK605" i="1"/>
  <c r="AJ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P605" i="1"/>
  <c r="N605" i="1"/>
  <c r="J605" i="1"/>
  <c r="I605" i="1"/>
  <c r="H605" i="1"/>
  <c r="G605" i="1"/>
  <c r="F605" i="1"/>
  <c r="E605" i="1"/>
  <c r="D605" i="1"/>
  <c r="C605" i="1"/>
  <c r="B605" i="1"/>
  <c r="A605" i="1"/>
  <c r="AM604" i="1"/>
  <c r="AL604" i="1"/>
  <c r="AK604" i="1"/>
  <c r="AJ604" i="1"/>
  <c r="AG604" i="1"/>
  <c r="AF604" i="1"/>
  <c r="AE604" i="1"/>
  <c r="AD604" i="1"/>
  <c r="AC604" i="1"/>
  <c r="AB604" i="1"/>
  <c r="Z604" i="1"/>
  <c r="Y604" i="1"/>
  <c r="X604" i="1"/>
  <c r="W604" i="1"/>
  <c r="V604" i="1"/>
  <c r="U604" i="1"/>
  <c r="T604" i="1"/>
  <c r="P604" i="1"/>
  <c r="N604" i="1"/>
  <c r="H604" i="1"/>
  <c r="G604" i="1"/>
  <c r="F604" i="1"/>
  <c r="E604" i="1"/>
  <c r="D604" i="1"/>
  <c r="C604" i="1"/>
  <c r="B604" i="1"/>
  <c r="A604" i="1"/>
  <c r="AM603" i="1"/>
  <c r="AL603" i="1"/>
  <c r="AK603" i="1"/>
  <c r="AJ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Q603" i="1"/>
  <c r="P603" i="1"/>
  <c r="N603" i="1"/>
  <c r="H603" i="1"/>
  <c r="G603" i="1"/>
  <c r="F603" i="1"/>
  <c r="E603" i="1"/>
  <c r="D603" i="1"/>
  <c r="C603" i="1"/>
  <c r="B603" i="1"/>
  <c r="A603" i="1"/>
  <c r="AM602" i="1"/>
  <c r="AL602" i="1"/>
  <c r="AK602" i="1"/>
  <c r="AJ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P602" i="1"/>
  <c r="N602" i="1"/>
  <c r="J602" i="1"/>
  <c r="I602" i="1"/>
  <c r="H602" i="1"/>
  <c r="G602" i="1"/>
  <c r="F602" i="1"/>
  <c r="E602" i="1"/>
  <c r="D602" i="1"/>
  <c r="C602" i="1"/>
  <c r="B602" i="1"/>
  <c r="A602" i="1"/>
  <c r="AM601" i="1"/>
  <c r="AL601" i="1"/>
  <c r="AK601" i="1"/>
  <c r="AJ601" i="1"/>
  <c r="AG601" i="1"/>
  <c r="AF601" i="1"/>
  <c r="AE601" i="1"/>
  <c r="AD601" i="1"/>
  <c r="AC601" i="1"/>
  <c r="AB601" i="1"/>
  <c r="Y601" i="1"/>
  <c r="X601" i="1"/>
  <c r="W601" i="1"/>
  <c r="V601" i="1"/>
  <c r="U601" i="1"/>
  <c r="T601" i="1"/>
  <c r="P601" i="1"/>
  <c r="N601" i="1"/>
  <c r="H601" i="1"/>
  <c r="G601" i="1"/>
  <c r="F601" i="1"/>
  <c r="E601" i="1"/>
  <c r="D601" i="1"/>
  <c r="C601" i="1"/>
  <c r="B601" i="1"/>
  <c r="A601" i="1"/>
  <c r="AM600" i="1"/>
  <c r="AL600" i="1"/>
  <c r="AK600" i="1"/>
  <c r="AJ600" i="1"/>
  <c r="AG600" i="1"/>
  <c r="AF600" i="1"/>
  <c r="AE600" i="1"/>
  <c r="AD600" i="1"/>
  <c r="AC600" i="1"/>
  <c r="AB600" i="1"/>
  <c r="Y600" i="1"/>
  <c r="X600" i="1"/>
  <c r="W600" i="1"/>
  <c r="V600" i="1"/>
  <c r="U600" i="1"/>
  <c r="T600" i="1"/>
  <c r="S600" i="1"/>
  <c r="R600" i="1"/>
  <c r="P600" i="1"/>
  <c r="N600" i="1"/>
  <c r="J600" i="1"/>
  <c r="I600" i="1"/>
  <c r="H600" i="1"/>
  <c r="G600" i="1"/>
  <c r="F600" i="1"/>
  <c r="E600" i="1"/>
  <c r="D600" i="1"/>
  <c r="C600" i="1"/>
  <c r="B600" i="1"/>
  <c r="A600" i="1"/>
  <c r="AM599" i="1"/>
  <c r="AL599" i="1"/>
  <c r="AK599" i="1"/>
  <c r="AJ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Q599" i="1"/>
  <c r="P599" i="1"/>
  <c r="N599" i="1"/>
  <c r="H599" i="1"/>
  <c r="G599" i="1"/>
  <c r="F599" i="1"/>
  <c r="E599" i="1"/>
  <c r="D599" i="1"/>
  <c r="C599" i="1"/>
  <c r="B599" i="1"/>
  <c r="A599" i="1"/>
  <c r="AM598" i="1"/>
  <c r="AL598" i="1"/>
  <c r="AK598" i="1"/>
  <c r="AJ598" i="1"/>
  <c r="AG598" i="1"/>
  <c r="AF598" i="1"/>
  <c r="AE598" i="1"/>
  <c r="AD598" i="1"/>
  <c r="AC598" i="1"/>
  <c r="AB598" i="1"/>
  <c r="Y598" i="1"/>
  <c r="X598" i="1"/>
  <c r="W598" i="1"/>
  <c r="V598" i="1"/>
  <c r="U598" i="1"/>
  <c r="T598" i="1"/>
  <c r="S598" i="1"/>
  <c r="R598" i="1"/>
  <c r="P598" i="1"/>
  <c r="N598" i="1"/>
  <c r="J598" i="1"/>
  <c r="I598" i="1"/>
  <c r="H598" i="1"/>
  <c r="G598" i="1"/>
  <c r="F598" i="1"/>
  <c r="E598" i="1"/>
  <c r="D598" i="1"/>
  <c r="C598" i="1"/>
  <c r="B598" i="1"/>
  <c r="A598" i="1"/>
  <c r="AM597" i="1"/>
  <c r="AL597" i="1"/>
  <c r="AK597" i="1"/>
  <c r="AJ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N597" i="1"/>
  <c r="J597" i="1"/>
  <c r="I597" i="1"/>
  <c r="H597" i="1"/>
  <c r="G597" i="1"/>
  <c r="F597" i="1"/>
  <c r="E597" i="1"/>
  <c r="D597" i="1"/>
  <c r="C597" i="1"/>
  <c r="B597" i="1"/>
  <c r="A597" i="1"/>
  <c r="AM596" i="1"/>
  <c r="AL596" i="1"/>
  <c r="AK596" i="1"/>
  <c r="AJ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N596" i="1"/>
  <c r="H596" i="1"/>
  <c r="G596" i="1"/>
  <c r="F596" i="1"/>
  <c r="E596" i="1"/>
  <c r="D596" i="1"/>
  <c r="C596" i="1"/>
  <c r="B596" i="1"/>
  <c r="A596" i="1"/>
  <c r="AM595" i="1"/>
  <c r="AL595" i="1"/>
  <c r="AK595" i="1"/>
  <c r="AJ595" i="1"/>
  <c r="AI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Q595" i="1"/>
  <c r="P595" i="1"/>
  <c r="N595" i="1"/>
  <c r="H595" i="1"/>
  <c r="G595" i="1"/>
  <c r="F595" i="1"/>
  <c r="E595" i="1"/>
  <c r="D595" i="1"/>
  <c r="C595" i="1"/>
  <c r="B595" i="1"/>
  <c r="A595" i="1"/>
  <c r="AM594" i="1"/>
  <c r="AL594" i="1"/>
  <c r="AK594" i="1"/>
  <c r="AJ594" i="1"/>
  <c r="AI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Q594" i="1"/>
  <c r="P594" i="1"/>
  <c r="N594" i="1"/>
  <c r="H594" i="1"/>
  <c r="G594" i="1"/>
  <c r="F594" i="1"/>
  <c r="E594" i="1"/>
  <c r="D594" i="1"/>
  <c r="C594" i="1"/>
  <c r="B594" i="1"/>
  <c r="A594" i="1"/>
  <c r="AM593" i="1"/>
  <c r="AK593" i="1"/>
  <c r="AJ593" i="1"/>
  <c r="AF593" i="1"/>
  <c r="AD593" i="1"/>
  <c r="AB593" i="1"/>
  <c r="Z593" i="1"/>
  <c r="X593" i="1"/>
  <c r="V593" i="1"/>
  <c r="T593" i="1"/>
  <c r="S593" i="1"/>
  <c r="R593" i="1"/>
  <c r="Q593" i="1"/>
  <c r="P593" i="1"/>
  <c r="N593" i="1"/>
  <c r="J593" i="1"/>
  <c r="I593" i="1"/>
  <c r="H593" i="1"/>
  <c r="G593" i="1"/>
  <c r="F593" i="1"/>
  <c r="E593" i="1"/>
  <c r="D593" i="1"/>
  <c r="C593" i="1"/>
  <c r="B593" i="1"/>
  <c r="A593" i="1"/>
  <c r="AM592" i="1"/>
  <c r="AL592" i="1"/>
  <c r="AK592" i="1"/>
  <c r="AJ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P592" i="1"/>
  <c r="N592" i="1"/>
  <c r="J592" i="1"/>
  <c r="I592" i="1"/>
  <c r="H592" i="1"/>
  <c r="G592" i="1"/>
  <c r="F592" i="1"/>
  <c r="E592" i="1"/>
  <c r="D592" i="1"/>
  <c r="C592" i="1"/>
  <c r="B592" i="1"/>
  <c r="A592" i="1"/>
  <c r="AM591" i="1"/>
  <c r="AL591" i="1"/>
  <c r="AK591" i="1"/>
  <c r="AJ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P591" i="1"/>
  <c r="N591" i="1"/>
  <c r="H591" i="1"/>
  <c r="G591" i="1"/>
  <c r="F591" i="1"/>
  <c r="E591" i="1"/>
  <c r="D591" i="1"/>
  <c r="C591" i="1"/>
  <c r="B591" i="1"/>
  <c r="A591" i="1"/>
  <c r="AM590" i="1"/>
  <c r="AL590" i="1"/>
  <c r="AK590" i="1"/>
  <c r="AJ590" i="1"/>
  <c r="AH590" i="1"/>
  <c r="AG590" i="1"/>
  <c r="AF590" i="1"/>
  <c r="AE590" i="1"/>
  <c r="AD590" i="1"/>
  <c r="AC590" i="1"/>
  <c r="AB590" i="1"/>
  <c r="Z590" i="1"/>
  <c r="Y590" i="1"/>
  <c r="X590" i="1"/>
  <c r="W590" i="1"/>
  <c r="V590" i="1"/>
  <c r="U590" i="1"/>
  <c r="T590" i="1"/>
  <c r="P590" i="1"/>
  <c r="N590" i="1"/>
  <c r="H590" i="1"/>
  <c r="G590" i="1"/>
  <c r="F590" i="1"/>
  <c r="E590" i="1"/>
  <c r="D590" i="1"/>
  <c r="C590" i="1"/>
  <c r="B590" i="1"/>
  <c r="A590" i="1"/>
  <c r="AM589" i="1"/>
  <c r="AL589" i="1"/>
  <c r="AK589" i="1"/>
  <c r="AJ589" i="1"/>
  <c r="AG589" i="1"/>
  <c r="AF589" i="1"/>
  <c r="AE589" i="1"/>
  <c r="AD589" i="1"/>
  <c r="AC589" i="1"/>
  <c r="AB589" i="1"/>
  <c r="AA589" i="1"/>
  <c r="Y589" i="1"/>
  <c r="X589" i="1"/>
  <c r="W589" i="1"/>
  <c r="V589" i="1"/>
  <c r="U589" i="1"/>
  <c r="T589" i="1"/>
  <c r="R589" i="1"/>
  <c r="Q589" i="1"/>
  <c r="P589" i="1"/>
  <c r="N589" i="1"/>
  <c r="J589" i="1"/>
  <c r="I589" i="1"/>
  <c r="H589" i="1"/>
  <c r="G589" i="1"/>
  <c r="F589" i="1"/>
  <c r="E589" i="1"/>
  <c r="D589" i="1"/>
  <c r="C589" i="1"/>
  <c r="B589" i="1"/>
  <c r="A589" i="1"/>
  <c r="AM588" i="1"/>
  <c r="AL588" i="1"/>
  <c r="AK588" i="1"/>
  <c r="AJ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R588" i="1"/>
  <c r="P588" i="1"/>
  <c r="N588" i="1"/>
  <c r="J588" i="1"/>
  <c r="I588" i="1"/>
  <c r="H588" i="1"/>
  <c r="G588" i="1"/>
  <c r="F588" i="1"/>
  <c r="E588" i="1"/>
  <c r="D588" i="1"/>
  <c r="C588" i="1"/>
  <c r="B588" i="1"/>
  <c r="A588" i="1"/>
  <c r="AM587" i="1"/>
  <c r="AL587" i="1"/>
  <c r="AK587" i="1"/>
  <c r="AJ587" i="1"/>
  <c r="AG587" i="1"/>
  <c r="AF587" i="1"/>
  <c r="AE587" i="1"/>
  <c r="AD587" i="1"/>
  <c r="AC587" i="1"/>
  <c r="AB587" i="1"/>
  <c r="Y587" i="1"/>
  <c r="X587" i="1"/>
  <c r="W587" i="1"/>
  <c r="V587" i="1"/>
  <c r="U587" i="1"/>
  <c r="T587" i="1"/>
  <c r="R587" i="1"/>
  <c r="P587" i="1"/>
  <c r="N587" i="1"/>
  <c r="J587" i="1"/>
  <c r="I587" i="1"/>
  <c r="H587" i="1"/>
  <c r="G587" i="1"/>
  <c r="F587" i="1"/>
  <c r="E587" i="1"/>
  <c r="D587" i="1"/>
  <c r="C587" i="1"/>
  <c r="B587" i="1"/>
  <c r="A587" i="1"/>
  <c r="AM586" i="1"/>
  <c r="AL586" i="1"/>
  <c r="AK586" i="1"/>
  <c r="AJ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P586" i="1"/>
  <c r="N586" i="1"/>
  <c r="H586" i="1"/>
  <c r="G586" i="1"/>
  <c r="F586" i="1"/>
  <c r="E586" i="1"/>
  <c r="D586" i="1"/>
  <c r="C586" i="1"/>
  <c r="B586" i="1"/>
  <c r="A586" i="1"/>
  <c r="AM585" i="1"/>
  <c r="AL585" i="1"/>
  <c r="AK585" i="1"/>
  <c r="AJ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P585" i="1"/>
  <c r="N585" i="1"/>
  <c r="H585" i="1"/>
  <c r="G585" i="1"/>
  <c r="F585" i="1"/>
  <c r="E585" i="1"/>
  <c r="D585" i="1"/>
  <c r="C585" i="1"/>
  <c r="B585" i="1"/>
  <c r="A585" i="1"/>
  <c r="AM584" i="1"/>
  <c r="AL584" i="1"/>
  <c r="AK584" i="1"/>
  <c r="AJ584" i="1"/>
  <c r="AG584" i="1"/>
  <c r="AF584" i="1"/>
  <c r="AE584" i="1"/>
  <c r="AD584" i="1"/>
  <c r="AC584" i="1"/>
  <c r="AB584" i="1"/>
  <c r="Y584" i="1"/>
  <c r="X584" i="1"/>
  <c r="W584" i="1"/>
  <c r="V584" i="1"/>
  <c r="U584" i="1"/>
  <c r="T584" i="1"/>
  <c r="P584" i="1"/>
  <c r="N584" i="1"/>
  <c r="H584" i="1"/>
  <c r="G584" i="1"/>
  <c r="F584" i="1"/>
  <c r="E584" i="1"/>
  <c r="D584" i="1"/>
  <c r="C584" i="1"/>
  <c r="B584" i="1"/>
  <c r="A584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Q583" i="1"/>
  <c r="P583" i="1"/>
  <c r="N583" i="1"/>
  <c r="H583" i="1"/>
  <c r="G583" i="1"/>
  <c r="F583" i="1"/>
  <c r="E583" i="1"/>
  <c r="D583" i="1"/>
  <c r="C583" i="1"/>
  <c r="B583" i="1"/>
  <c r="A583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Q582" i="1"/>
  <c r="P582" i="1"/>
  <c r="N582" i="1"/>
  <c r="H582" i="1"/>
  <c r="G582" i="1"/>
  <c r="F582" i="1"/>
  <c r="E582" i="1"/>
  <c r="D582" i="1"/>
  <c r="C582" i="1"/>
  <c r="B582" i="1"/>
  <c r="A582" i="1"/>
  <c r="AM581" i="1"/>
  <c r="AK581" i="1"/>
  <c r="AJ581" i="1"/>
  <c r="AH581" i="1"/>
  <c r="AF581" i="1"/>
  <c r="AD581" i="1"/>
  <c r="AB581" i="1"/>
  <c r="X581" i="1"/>
  <c r="V581" i="1"/>
  <c r="T581" i="1"/>
  <c r="S581" i="1"/>
  <c r="R581" i="1"/>
  <c r="Q581" i="1"/>
  <c r="P581" i="1"/>
  <c r="N581" i="1"/>
  <c r="J581" i="1"/>
  <c r="I581" i="1"/>
  <c r="H581" i="1"/>
  <c r="G581" i="1"/>
  <c r="F581" i="1"/>
  <c r="E581" i="1"/>
  <c r="D581" i="1"/>
  <c r="C581" i="1"/>
  <c r="B581" i="1"/>
  <c r="A581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P580" i="1"/>
  <c r="N580" i="1"/>
  <c r="J580" i="1"/>
  <c r="I580" i="1"/>
  <c r="H580" i="1"/>
  <c r="G580" i="1"/>
  <c r="F580" i="1"/>
  <c r="E580" i="1"/>
  <c r="D580" i="1"/>
  <c r="C580" i="1"/>
  <c r="B580" i="1"/>
  <c r="A580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Q579" i="1"/>
  <c r="P579" i="1"/>
  <c r="N579" i="1"/>
  <c r="H579" i="1"/>
  <c r="G579" i="1"/>
  <c r="F579" i="1"/>
  <c r="E579" i="1"/>
  <c r="D579" i="1"/>
  <c r="C579" i="1"/>
  <c r="B579" i="1"/>
  <c r="A579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R578" i="1"/>
  <c r="Q578" i="1"/>
  <c r="P578" i="1"/>
  <c r="N578" i="1"/>
  <c r="M578" i="1"/>
  <c r="J578" i="1"/>
  <c r="I578" i="1"/>
  <c r="H578" i="1"/>
  <c r="G578" i="1"/>
  <c r="F578" i="1"/>
  <c r="E578" i="1"/>
  <c r="D578" i="1"/>
  <c r="C578" i="1"/>
  <c r="B578" i="1"/>
  <c r="A578" i="1"/>
  <c r="AM577" i="1"/>
  <c r="AL577" i="1"/>
  <c r="AJ577" i="1"/>
  <c r="AG577" i="1"/>
  <c r="AF577" i="1"/>
  <c r="AE577" i="1"/>
  <c r="AD577" i="1"/>
  <c r="AC577" i="1"/>
  <c r="AB577" i="1"/>
  <c r="Y577" i="1"/>
  <c r="X577" i="1"/>
  <c r="W577" i="1"/>
  <c r="V577" i="1"/>
  <c r="U577" i="1"/>
  <c r="T577" i="1"/>
  <c r="R577" i="1"/>
  <c r="P577" i="1"/>
  <c r="N577" i="1"/>
  <c r="M577" i="1"/>
  <c r="J577" i="1"/>
  <c r="I577" i="1"/>
  <c r="H577" i="1"/>
  <c r="G577" i="1"/>
  <c r="F577" i="1"/>
  <c r="E577" i="1"/>
  <c r="D577" i="1"/>
  <c r="C577" i="1"/>
  <c r="B577" i="1"/>
  <c r="A577" i="1"/>
  <c r="AM576" i="1"/>
  <c r="AK576" i="1"/>
  <c r="AJ576" i="1"/>
  <c r="AI576" i="1"/>
  <c r="AH576" i="1"/>
  <c r="AG576" i="1"/>
  <c r="AF576" i="1"/>
  <c r="AE576" i="1"/>
  <c r="AD576" i="1"/>
  <c r="AC576" i="1"/>
  <c r="AB576" i="1"/>
  <c r="AA576" i="1"/>
  <c r="Y576" i="1"/>
  <c r="X576" i="1"/>
  <c r="W576" i="1"/>
  <c r="V576" i="1"/>
  <c r="U576" i="1"/>
  <c r="T576" i="1"/>
  <c r="Q576" i="1"/>
  <c r="P576" i="1"/>
  <c r="N576" i="1"/>
  <c r="H576" i="1"/>
  <c r="G576" i="1"/>
  <c r="F576" i="1"/>
  <c r="E576" i="1"/>
  <c r="D576" i="1"/>
  <c r="C576" i="1"/>
  <c r="B576" i="1"/>
  <c r="A576" i="1"/>
  <c r="AM575" i="1"/>
  <c r="AK575" i="1"/>
  <c r="AJ575" i="1"/>
  <c r="AI575" i="1"/>
  <c r="AH575" i="1"/>
  <c r="AG575" i="1"/>
  <c r="AF575" i="1"/>
  <c r="AE575" i="1"/>
  <c r="AD575" i="1"/>
  <c r="AC575" i="1"/>
  <c r="AB575" i="1"/>
  <c r="AA575" i="1"/>
  <c r="Y575" i="1"/>
  <c r="X575" i="1"/>
  <c r="W575" i="1"/>
  <c r="V575" i="1"/>
  <c r="U575" i="1"/>
  <c r="T575" i="1"/>
  <c r="R575" i="1"/>
  <c r="Q575" i="1"/>
  <c r="P575" i="1"/>
  <c r="N575" i="1"/>
  <c r="J575" i="1"/>
  <c r="I575" i="1"/>
  <c r="H575" i="1"/>
  <c r="G575" i="1"/>
  <c r="F575" i="1"/>
  <c r="E575" i="1"/>
  <c r="D575" i="1"/>
  <c r="C575" i="1"/>
  <c r="B575" i="1"/>
  <c r="A575" i="1"/>
  <c r="AM574" i="1"/>
  <c r="AL574" i="1"/>
  <c r="AK574" i="1"/>
  <c r="AJ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R574" i="1"/>
  <c r="P574" i="1"/>
  <c r="N574" i="1"/>
  <c r="M574" i="1"/>
  <c r="J574" i="1"/>
  <c r="I574" i="1"/>
  <c r="H574" i="1"/>
  <c r="G574" i="1"/>
  <c r="F574" i="1"/>
  <c r="E574" i="1"/>
  <c r="D574" i="1"/>
  <c r="C574" i="1"/>
  <c r="B574" i="1"/>
  <c r="A574" i="1"/>
  <c r="AM573" i="1"/>
  <c r="AL573" i="1"/>
  <c r="AK573" i="1"/>
  <c r="AJ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R573" i="1"/>
  <c r="P573" i="1"/>
  <c r="N573" i="1"/>
  <c r="J573" i="1"/>
  <c r="I573" i="1"/>
  <c r="H573" i="1"/>
  <c r="G573" i="1"/>
  <c r="F573" i="1"/>
  <c r="E573" i="1"/>
  <c r="D573" i="1"/>
  <c r="C573" i="1"/>
  <c r="B573" i="1"/>
  <c r="A573" i="1"/>
  <c r="AM572" i="1"/>
  <c r="AL572" i="1"/>
  <c r="AK572" i="1"/>
  <c r="AJ572" i="1"/>
  <c r="AG572" i="1"/>
  <c r="AF572" i="1"/>
  <c r="AE572" i="1"/>
  <c r="AD572" i="1"/>
  <c r="AC572" i="1"/>
  <c r="AB572" i="1"/>
  <c r="Y572" i="1"/>
  <c r="X572" i="1"/>
  <c r="W572" i="1"/>
  <c r="V572" i="1"/>
  <c r="U572" i="1"/>
  <c r="T572" i="1"/>
  <c r="Q572" i="1"/>
  <c r="P572" i="1"/>
  <c r="N572" i="1"/>
  <c r="H572" i="1"/>
  <c r="G572" i="1"/>
  <c r="F572" i="1"/>
  <c r="E572" i="1"/>
  <c r="D572" i="1"/>
  <c r="C572" i="1"/>
  <c r="B572" i="1"/>
  <c r="A572" i="1"/>
  <c r="AM571" i="1"/>
  <c r="AL571" i="1"/>
  <c r="AK571" i="1"/>
  <c r="AJ571" i="1"/>
  <c r="AG571" i="1"/>
  <c r="AF571" i="1"/>
  <c r="AE571" i="1"/>
  <c r="AD571" i="1"/>
  <c r="AC571" i="1"/>
  <c r="AB571" i="1"/>
  <c r="Y571" i="1"/>
  <c r="X571" i="1"/>
  <c r="W571" i="1"/>
  <c r="V571" i="1"/>
  <c r="U571" i="1"/>
  <c r="T571" i="1"/>
  <c r="S571" i="1"/>
  <c r="R571" i="1"/>
  <c r="Q571" i="1"/>
  <c r="P571" i="1"/>
  <c r="N571" i="1"/>
  <c r="J571" i="1"/>
  <c r="I571" i="1"/>
  <c r="H571" i="1"/>
  <c r="G571" i="1"/>
  <c r="F571" i="1"/>
  <c r="E571" i="1"/>
  <c r="D571" i="1"/>
  <c r="C571" i="1"/>
  <c r="B571" i="1"/>
  <c r="A571" i="1"/>
  <c r="AM570" i="1"/>
  <c r="AK570" i="1"/>
  <c r="AJ570" i="1"/>
  <c r="AF570" i="1"/>
  <c r="AD570" i="1"/>
  <c r="AB570" i="1"/>
  <c r="X570" i="1"/>
  <c r="V570" i="1"/>
  <c r="T570" i="1"/>
  <c r="R570" i="1"/>
  <c r="P570" i="1"/>
  <c r="N570" i="1"/>
  <c r="M570" i="1"/>
  <c r="K570" i="1"/>
  <c r="J570" i="1"/>
  <c r="I570" i="1"/>
  <c r="H570" i="1"/>
  <c r="G570" i="1"/>
  <c r="F570" i="1"/>
  <c r="E570" i="1"/>
  <c r="D570" i="1"/>
  <c r="C570" i="1"/>
  <c r="B570" i="1"/>
  <c r="A570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N569" i="1"/>
  <c r="J569" i="1"/>
  <c r="I569" i="1"/>
  <c r="H569" i="1"/>
  <c r="G569" i="1"/>
  <c r="F569" i="1"/>
  <c r="E569" i="1"/>
  <c r="D569" i="1"/>
  <c r="C569" i="1"/>
  <c r="B569" i="1"/>
  <c r="A569" i="1"/>
  <c r="AM568" i="1"/>
  <c r="AL568" i="1"/>
  <c r="AK568" i="1"/>
  <c r="AJ568" i="1"/>
  <c r="AH568" i="1"/>
  <c r="AG568" i="1"/>
  <c r="AF568" i="1"/>
  <c r="AE568" i="1"/>
  <c r="AD568" i="1"/>
  <c r="AC568" i="1"/>
  <c r="AB568" i="1"/>
  <c r="AA568" i="1"/>
  <c r="Y568" i="1"/>
  <c r="X568" i="1"/>
  <c r="W568" i="1"/>
  <c r="V568" i="1"/>
  <c r="U568" i="1"/>
  <c r="T568" i="1"/>
  <c r="S568" i="1"/>
  <c r="R568" i="1"/>
  <c r="Q568" i="1"/>
  <c r="P568" i="1"/>
  <c r="N568" i="1"/>
  <c r="J568" i="1"/>
  <c r="I568" i="1"/>
  <c r="H568" i="1"/>
  <c r="G568" i="1"/>
  <c r="F568" i="1"/>
  <c r="E568" i="1"/>
  <c r="D568" i="1"/>
  <c r="C568" i="1"/>
  <c r="B568" i="1"/>
  <c r="A568" i="1"/>
  <c r="AM567" i="1"/>
  <c r="AL567" i="1"/>
  <c r="AK567" i="1"/>
  <c r="AJ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R567" i="1"/>
  <c r="P567" i="1"/>
  <c r="N567" i="1"/>
  <c r="J567" i="1"/>
  <c r="I567" i="1"/>
  <c r="H567" i="1"/>
  <c r="G567" i="1"/>
  <c r="F567" i="1"/>
  <c r="E567" i="1"/>
  <c r="D567" i="1"/>
  <c r="C567" i="1"/>
  <c r="B567" i="1"/>
  <c r="A567" i="1"/>
  <c r="AM566" i="1"/>
  <c r="AL566" i="1"/>
  <c r="AK566" i="1"/>
  <c r="AJ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R566" i="1"/>
  <c r="P566" i="1"/>
  <c r="N566" i="1"/>
  <c r="M566" i="1"/>
  <c r="J566" i="1"/>
  <c r="I566" i="1"/>
  <c r="H566" i="1"/>
  <c r="G566" i="1"/>
  <c r="F566" i="1"/>
  <c r="E566" i="1"/>
  <c r="D566" i="1"/>
  <c r="C566" i="1"/>
  <c r="B566" i="1"/>
  <c r="A566" i="1"/>
  <c r="AM565" i="1"/>
  <c r="AL565" i="1"/>
  <c r="AK565" i="1"/>
  <c r="AJ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P565" i="1"/>
  <c r="N565" i="1"/>
  <c r="H565" i="1"/>
  <c r="G565" i="1"/>
  <c r="F565" i="1"/>
  <c r="E565" i="1"/>
  <c r="D565" i="1"/>
  <c r="C565" i="1"/>
  <c r="B565" i="1"/>
  <c r="A565" i="1"/>
  <c r="AM564" i="1"/>
  <c r="AL564" i="1"/>
  <c r="AK564" i="1"/>
  <c r="AJ564" i="1"/>
  <c r="AG564" i="1"/>
  <c r="AF564" i="1"/>
  <c r="AE564" i="1"/>
  <c r="AD564" i="1"/>
  <c r="AC564" i="1"/>
  <c r="AB564" i="1"/>
  <c r="Y564" i="1"/>
  <c r="X564" i="1"/>
  <c r="W564" i="1"/>
  <c r="V564" i="1"/>
  <c r="U564" i="1"/>
  <c r="T564" i="1"/>
  <c r="S564" i="1"/>
  <c r="R564" i="1"/>
  <c r="P564" i="1"/>
  <c r="N564" i="1"/>
  <c r="J564" i="1"/>
  <c r="I564" i="1"/>
  <c r="H564" i="1"/>
  <c r="G564" i="1"/>
  <c r="F564" i="1"/>
  <c r="E564" i="1"/>
  <c r="D564" i="1"/>
  <c r="C564" i="1"/>
  <c r="B564" i="1"/>
  <c r="A564" i="1"/>
  <c r="AM563" i="1"/>
  <c r="AL563" i="1"/>
  <c r="AK563" i="1"/>
  <c r="AJ563" i="1"/>
  <c r="AG563" i="1"/>
  <c r="AF563" i="1"/>
  <c r="AE563" i="1"/>
  <c r="AD563" i="1"/>
  <c r="AC563" i="1"/>
  <c r="AB563" i="1"/>
  <c r="X563" i="1"/>
  <c r="W563" i="1"/>
  <c r="V563" i="1"/>
  <c r="U563" i="1"/>
  <c r="T563" i="1"/>
  <c r="R563" i="1"/>
  <c r="P563" i="1"/>
  <c r="N563" i="1"/>
  <c r="J563" i="1"/>
  <c r="I563" i="1"/>
  <c r="H563" i="1"/>
  <c r="G563" i="1"/>
  <c r="F563" i="1"/>
  <c r="E563" i="1"/>
  <c r="D563" i="1"/>
  <c r="C563" i="1"/>
  <c r="B563" i="1"/>
  <c r="A563" i="1"/>
  <c r="AM562" i="1"/>
  <c r="AL562" i="1"/>
  <c r="AK562" i="1"/>
  <c r="AJ562" i="1"/>
  <c r="AG562" i="1"/>
  <c r="AF562" i="1"/>
  <c r="AE562" i="1"/>
  <c r="AD562" i="1"/>
  <c r="AC562" i="1"/>
  <c r="AB562" i="1"/>
  <c r="Y562" i="1"/>
  <c r="X562" i="1"/>
  <c r="W562" i="1"/>
  <c r="V562" i="1"/>
  <c r="U562" i="1"/>
  <c r="T562" i="1"/>
  <c r="P562" i="1"/>
  <c r="N562" i="1"/>
  <c r="H562" i="1"/>
  <c r="G562" i="1"/>
  <c r="F562" i="1"/>
  <c r="E562" i="1"/>
  <c r="D562" i="1"/>
  <c r="C562" i="1"/>
  <c r="B562" i="1"/>
  <c r="A562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N561" i="1"/>
  <c r="M561" i="1"/>
  <c r="J561" i="1"/>
  <c r="I561" i="1"/>
  <c r="H561" i="1"/>
  <c r="G561" i="1"/>
  <c r="F561" i="1"/>
  <c r="E561" i="1"/>
  <c r="D561" i="1"/>
  <c r="C561" i="1"/>
  <c r="B561" i="1"/>
  <c r="A561" i="1"/>
  <c r="AM560" i="1"/>
  <c r="AL560" i="1"/>
  <c r="AK560" i="1"/>
  <c r="AJ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Q560" i="1"/>
  <c r="P560" i="1"/>
  <c r="N560" i="1"/>
  <c r="H560" i="1"/>
  <c r="G560" i="1"/>
  <c r="F560" i="1"/>
  <c r="E560" i="1"/>
  <c r="D560" i="1"/>
  <c r="C560" i="1"/>
  <c r="B560" i="1"/>
  <c r="A560" i="1"/>
  <c r="AM559" i="1"/>
  <c r="AL559" i="1"/>
  <c r="AK559" i="1"/>
  <c r="AJ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Q559" i="1"/>
  <c r="P559" i="1"/>
  <c r="N559" i="1"/>
  <c r="H559" i="1"/>
  <c r="G559" i="1"/>
  <c r="F559" i="1"/>
  <c r="E559" i="1"/>
  <c r="D559" i="1"/>
  <c r="C559" i="1"/>
  <c r="B559" i="1"/>
  <c r="A559" i="1"/>
  <c r="AM558" i="1"/>
  <c r="AL558" i="1"/>
  <c r="AK558" i="1"/>
  <c r="AJ558" i="1"/>
  <c r="AG558" i="1"/>
  <c r="AF558" i="1"/>
  <c r="AE558" i="1"/>
  <c r="AD558" i="1"/>
  <c r="AC558" i="1"/>
  <c r="AB558" i="1"/>
  <c r="AA558" i="1"/>
  <c r="Y558" i="1"/>
  <c r="X558" i="1"/>
  <c r="W558" i="1"/>
  <c r="V558" i="1"/>
  <c r="U558" i="1"/>
  <c r="T558" i="1"/>
  <c r="R558" i="1"/>
  <c r="P558" i="1"/>
  <c r="N558" i="1"/>
  <c r="J558" i="1"/>
  <c r="I558" i="1"/>
  <c r="H558" i="1"/>
  <c r="G558" i="1"/>
  <c r="F558" i="1"/>
  <c r="E558" i="1"/>
  <c r="D558" i="1"/>
  <c r="C558" i="1"/>
  <c r="B558" i="1"/>
  <c r="A558" i="1"/>
  <c r="AM557" i="1"/>
  <c r="AL557" i="1"/>
  <c r="AK557" i="1"/>
  <c r="AJ557" i="1"/>
  <c r="AG557" i="1"/>
  <c r="AF557" i="1"/>
  <c r="AE557" i="1"/>
  <c r="AD557" i="1"/>
  <c r="AC557" i="1"/>
  <c r="AB557" i="1"/>
  <c r="Y557" i="1"/>
  <c r="X557" i="1"/>
  <c r="W557" i="1"/>
  <c r="V557" i="1"/>
  <c r="U557" i="1"/>
  <c r="T557" i="1"/>
  <c r="S557" i="1"/>
  <c r="R557" i="1"/>
  <c r="Q557" i="1"/>
  <c r="P557" i="1"/>
  <c r="N557" i="1"/>
  <c r="J557" i="1"/>
  <c r="I557" i="1"/>
  <c r="H557" i="1"/>
  <c r="G557" i="1"/>
  <c r="F557" i="1"/>
  <c r="E557" i="1"/>
  <c r="D557" i="1"/>
  <c r="C557" i="1"/>
  <c r="B557" i="1"/>
  <c r="A557" i="1"/>
  <c r="AM556" i="1"/>
  <c r="AL556" i="1"/>
  <c r="AK556" i="1"/>
  <c r="AJ556" i="1"/>
  <c r="AG556" i="1"/>
  <c r="AF556" i="1"/>
  <c r="AE556" i="1"/>
  <c r="AD556" i="1"/>
  <c r="AC556" i="1"/>
  <c r="AB556" i="1"/>
  <c r="Z556" i="1"/>
  <c r="Y556" i="1"/>
  <c r="X556" i="1"/>
  <c r="W556" i="1"/>
  <c r="V556" i="1"/>
  <c r="U556" i="1"/>
  <c r="T556" i="1"/>
  <c r="P556" i="1"/>
  <c r="N556" i="1"/>
  <c r="H556" i="1"/>
  <c r="G556" i="1"/>
  <c r="F556" i="1"/>
  <c r="E556" i="1"/>
  <c r="D556" i="1"/>
  <c r="C556" i="1"/>
  <c r="B556" i="1"/>
  <c r="A556" i="1"/>
  <c r="AM555" i="1"/>
  <c r="AL555" i="1"/>
  <c r="AK555" i="1"/>
  <c r="AJ555" i="1"/>
  <c r="AG555" i="1"/>
  <c r="AF555" i="1"/>
  <c r="AE555" i="1"/>
  <c r="AD555" i="1"/>
  <c r="AC555" i="1"/>
  <c r="AB555" i="1"/>
  <c r="Z555" i="1"/>
  <c r="Y555" i="1"/>
  <c r="X555" i="1"/>
  <c r="W555" i="1"/>
  <c r="V555" i="1"/>
  <c r="U555" i="1"/>
  <c r="T555" i="1"/>
  <c r="S555" i="1"/>
  <c r="R555" i="1"/>
  <c r="P555" i="1"/>
  <c r="N555" i="1"/>
  <c r="J555" i="1"/>
  <c r="I555" i="1"/>
  <c r="H555" i="1"/>
  <c r="G555" i="1"/>
  <c r="F555" i="1"/>
  <c r="E555" i="1"/>
  <c r="D555" i="1"/>
  <c r="C555" i="1"/>
  <c r="B555" i="1"/>
  <c r="A555" i="1"/>
  <c r="AM554" i="1"/>
  <c r="AL554" i="1"/>
  <c r="AK554" i="1"/>
  <c r="AJ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N554" i="1"/>
  <c r="M554" i="1"/>
  <c r="J554" i="1"/>
  <c r="I554" i="1"/>
  <c r="H554" i="1"/>
  <c r="G554" i="1"/>
  <c r="F554" i="1"/>
  <c r="E554" i="1"/>
  <c r="D554" i="1"/>
  <c r="C554" i="1"/>
  <c r="B554" i="1"/>
  <c r="A554" i="1"/>
  <c r="AM553" i="1"/>
  <c r="AL553" i="1"/>
  <c r="AK553" i="1"/>
  <c r="AJ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R553" i="1"/>
  <c r="P553" i="1"/>
  <c r="N553" i="1"/>
  <c r="J553" i="1"/>
  <c r="I553" i="1"/>
  <c r="H553" i="1"/>
  <c r="G553" i="1"/>
  <c r="F553" i="1"/>
  <c r="E553" i="1"/>
  <c r="D553" i="1"/>
  <c r="C553" i="1"/>
  <c r="B553" i="1"/>
  <c r="A553" i="1"/>
  <c r="AM552" i="1"/>
  <c r="AL552" i="1"/>
  <c r="AK552" i="1"/>
  <c r="AJ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R552" i="1"/>
  <c r="Q552" i="1"/>
  <c r="P552" i="1"/>
  <c r="N552" i="1"/>
  <c r="M552" i="1"/>
  <c r="J552" i="1"/>
  <c r="I552" i="1"/>
  <c r="H552" i="1"/>
  <c r="G552" i="1"/>
  <c r="F552" i="1"/>
  <c r="E552" i="1"/>
  <c r="D552" i="1"/>
  <c r="C552" i="1"/>
  <c r="B552" i="1"/>
  <c r="A552" i="1"/>
  <c r="AM551" i="1"/>
  <c r="AL551" i="1"/>
  <c r="AK551" i="1"/>
  <c r="AJ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R551" i="1"/>
  <c r="Q551" i="1"/>
  <c r="P551" i="1"/>
  <c r="N551" i="1"/>
  <c r="M551" i="1"/>
  <c r="J551" i="1"/>
  <c r="I551" i="1"/>
  <c r="H551" i="1"/>
  <c r="G551" i="1"/>
  <c r="F551" i="1"/>
  <c r="E551" i="1"/>
  <c r="D551" i="1"/>
  <c r="C551" i="1"/>
  <c r="B551" i="1"/>
  <c r="A551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N550" i="1"/>
  <c r="J550" i="1"/>
  <c r="I550" i="1"/>
  <c r="H550" i="1"/>
  <c r="G550" i="1"/>
  <c r="F550" i="1"/>
  <c r="E550" i="1"/>
  <c r="D550" i="1"/>
  <c r="C550" i="1"/>
  <c r="B550" i="1"/>
  <c r="A550" i="1"/>
  <c r="AM549" i="1"/>
  <c r="AK549" i="1"/>
  <c r="AJ549" i="1"/>
  <c r="AH549" i="1"/>
  <c r="AF549" i="1"/>
  <c r="AD549" i="1"/>
  <c r="AB549" i="1"/>
  <c r="Z549" i="1"/>
  <c r="X549" i="1"/>
  <c r="V549" i="1"/>
  <c r="T549" i="1"/>
  <c r="S549" i="1"/>
  <c r="Q549" i="1"/>
  <c r="P549" i="1"/>
  <c r="N549" i="1"/>
  <c r="H549" i="1"/>
  <c r="G549" i="1"/>
  <c r="F549" i="1"/>
  <c r="E549" i="1"/>
  <c r="D549" i="1"/>
  <c r="C549" i="1"/>
  <c r="B549" i="1"/>
  <c r="A549" i="1"/>
  <c r="AM548" i="1"/>
  <c r="AL548" i="1"/>
  <c r="AK548" i="1"/>
  <c r="AJ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P548" i="1"/>
  <c r="N548" i="1"/>
  <c r="H548" i="1"/>
  <c r="G548" i="1"/>
  <c r="F548" i="1"/>
  <c r="E548" i="1"/>
  <c r="D548" i="1"/>
  <c r="C548" i="1"/>
  <c r="B548" i="1"/>
  <c r="A548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Q547" i="1"/>
  <c r="P547" i="1"/>
  <c r="N547" i="1"/>
  <c r="H547" i="1"/>
  <c r="G547" i="1"/>
  <c r="F547" i="1"/>
  <c r="E547" i="1"/>
  <c r="D547" i="1"/>
  <c r="C547" i="1"/>
  <c r="B547" i="1"/>
  <c r="A547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Q546" i="1"/>
  <c r="P546" i="1"/>
  <c r="N546" i="1"/>
  <c r="H546" i="1"/>
  <c r="G546" i="1"/>
  <c r="F546" i="1"/>
  <c r="E546" i="1"/>
  <c r="D546" i="1"/>
  <c r="C546" i="1"/>
  <c r="B546" i="1"/>
  <c r="A546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N545" i="1"/>
  <c r="M545" i="1"/>
  <c r="J545" i="1"/>
  <c r="I545" i="1"/>
  <c r="H545" i="1"/>
  <c r="G545" i="1"/>
  <c r="F545" i="1"/>
  <c r="E545" i="1"/>
  <c r="D545" i="1"/>
  <c r="C545" i="1"/>
  <c r="B545" i="1"/>
  <c r="A545" i="1"/>
  <c r="AM544" i="1"/>
  <c r="AL544" i="1"/>
  <c r="AK544" i="1"/>
  <c r="AJ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P544" i="1"/>
  <c r="N544" i="1"/>
  <c r="H544" i="1"/>
  <c r="G544" i="1"/>
  <c r="F544" i="1"/>
  <c r="E544" i="1"/>
  <c r="D544" i="1"/>
  <c r="C544" i="1"/>
  <c r="B544" i="1"/>
  <c r="A544" i="1"/>
  <c r="AM543" i="1"/>
  <c r="AL543" i="1"/>
  <c r="AK543" i="1"/>
  <c r="AJ543" i="1"/>
  <c r="AG543" i="1"/>
  <c r="AF543" i="1"/>
  <c r="AE543" i="1"/>
  <c r="AD543" i="1"/>
  <c r="AC543" i="1"/>
  <c r="AB543" i="1"/>
  <c r="Y543" i="1"/>
  <c r="X543" i="1"/>
  <c r="W543" i="1"/>
  <c r="V543" i="1"/>
  <c r="U543" i="1"/>
  <c r="T543" i="1"/>
  <c r="S543" i="1"/>
  <c r="Q543" i="1"/>
  <c r="P543" i="1"/>
  <c r="N543" i="1"/>
  <c r="H543" i="1"/>
  <c r="G543" i="1"/>
  <c r="F543" i="1"/>
  <c r="E543" i="1"/>
  <c r="D543" i="1"/>
  <c r="C543" i="1"/>
  <c r="B543" i="1"/>
  <c r="A543" i="1"/>
  <c r="AM542" i="1"/>
  <c r="AL542" i="1"/>
  <c r="AK542" i="1"/>
  <c r="AJ542" i="1"/>
  <c r="AG542" i="1"/>
  <c r="AF542" i="1"/>
  <c r="AE542" i="1"/>
  <c r="AD542" i="1"/>
  <c r="AC542" i="1"/>
  <c r="AB542" i="1"/>
  <c r="Y542" i="1"/>
  <c r="X542" i="1"/>
  <c r="W542" i="1"/>
  <c r="V542" i="1"/>
  <c r="U542" i="1"/>
  <c r="T542" i="1"/>
  <c r="S542" i="1"/>
  <c r="R542" i="1"/>
  <c r="P542" i="1"/>
  <c r="N542" i="1"/>
  <c r="J542" i="1"/>
  <c r="I542" i="1"/>
  <c r="H542" i="1"/>
  <c r="G542" i="1"/>
  <c r="F542" i="1"/>
  <c r="E542" i="1"/>
  <c r="D542" i="1"/>
  <c r="C542" i="1"/>
  <c r="B542" i="1"/>
  <c r="A542" i="1"/>
  <c r="AM541" i="1"/>
  <c r="AL541" i="1"/>
  <c r="AK541" i="1"/>
  <c r="AJ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N541" i="1"/>
  <c r="J541" i="1"/>
  <c r="I541" i="1"/>
  <c r="H541" i="1"/>
  <c r="G541" i="1"/>
  <c r="F541" i="1"/>
  <c r="E541" i="1"/>
  <c r="D541" i="1"/>
  <c r="C541" i="1"/>
  <c r="B541" i="1"/>
  <c r="A541" i="1"/>
  <c r="AM540" i="1"/>
  <c r="AL540" i="1"/>
  <c r="AK540" i="1"/>
  <c r="AJ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N540" i="1"/>
  <c r="J540" i="1"/>
  <c r="I540" i="1"/>
  <c r="H540" i="1"/>
  <c r="G540" i="1"/>
  <c r="F540" i="1"/>
  <c r="E540" i="1"/>
  <c r="D540" i="1"/>
  <c r="C540" i="1"/>
  <c r="B540" i="1"/>
  <c r="A540" i="1"/>
  <c r="AM539" i="1"/>
  <c r="AL539" i="1"/>
  <c r="AK539" i="1"/>
  <c r="AJ539" i="1"/>
  <c r="AG539" i="1"/>
  <c r="AF539" i="1"/>
  <c r="AE539" i="1"/>
  <c r="AD539" i="1"/>
  <c r="AC539" i="1"/>
  <c r="AB539" i="1"/>
  <c r="Z539" i="1"/>
  <c r="Y539" i="1"/>
  <c r="X539" i="1"/>
  <c r="W539" i="1"/>
  <c r="V539" i="1"/>
  <c r="U539" i="1"/>
  <c r="T539" i="1"/>
  <c r="S539" i="1"/>
  <c r="R539" i="1"/>
  <c r="P539" i="1"/>
  <c r="N539" i="1"/>
  <c r="M539" i="1"/>
  <c r="J539" i="1"/>
  <c r="I539" i="1"/>
  <c r="H539" i="1"/>
  <c r="G539" i="1"/>
  <c r="F539" i="1"/>
  <c r="E539" i="1"/>
  <c r="D539" i="1"/>
  <c r="C539" i="1"/>
  <c r="B539" i="1"/>
  <c r="A539" i="1"/>
  <c r="AM538" i="1"/>
  <c r="AK538" i="1"/>
  <c r="AJ538" i="1"/>
  <c r="AF538" i="1"/>
  <c r="AD538" i="1"/>
  <c r="AB538" i="1"/>
  <c r="Z538" i="1"/>
  <c r="X538" i="1"/>
  <c r="V538" i="1"/>
  <c r="T538" i="1"/>
  <c r="P538" i="1"/>
  <c r="N538" i="1"/>
  <c r="H538" i="1"/>
  <c r="G538" i="1"/>
  <c r="F538" i="1"/>
  <c r="E538" i="1"/>
  <c r="D538" i="1"/>
  <c r="C538" i="1"/>
  <c r="B538" i="1"/>
  <c r="A538" i="1"/>
  <c r="AM537" i="1"/>
  <c r="AL537" i="1"/>
  <c r="AK537" i="1"/>
  <c r="AJ537" i="1"/>
  <c r="AG537" i="1"/>
  <c r="AF537" i="1"/>
  <c r="AE537" i="1"/>
  <c r="AD537" i="1"/>
  <c r="AC537" i="1"/>
  <c r="AB537" i="1"/>
  <c r="Z537" i="1"/>
  <c r="Y537" i="1"/>
  <c r="X537" i="1"/>
  <c r="W537" i="1"/>
  <c r="V537" i="1"/>
  <c r="U537" i="1"/>
  <c r="T537" i="1"/>
  <c r="S537" i="1"/>
  <c r="R537" i="1"/>
  <c r="P537" i="1"/>
  <c r="N537" i="1"/>
  <c r="J537" i="1"/>
  <c r="I537" i="1"/>
  <c r="H537" i="1"/>
  <c r="G537" i="1"/>
  <c r="F537" i="1"/>
  <c r="E537" i="1"/>
  <c r="D537" i="1"/>
  <c r="C537" i="1"/>
  <c r="B537" i="1"/>
  <c r="A537" i="1"/>
  <c r="AM536" i="1"/>
  <c r="AL536" i="1"/>
  <c r="AK536" i="1"/>
  <c r="AJ536" i="1"/>
  <c r="AG536" i="1"/>
  <c r="AF536" i="1"/>
  <c r="AE536" i="1"/>
  <c r="AD536" i="1"/>
  <c r="AC536" i="1"/>
  <c r="AB536" i="1"/>
  <c r="Z536" i="1"/>
  <c r="Y536" i="1"/>
  <c r="X536" i="1"/>
  <c r="W536" i="1"/>
  <c r="V536" i="1"/>
  <c r="U536" i="1"/>
  <c r="T536" i="1"/>
  <c r="P536" i="1"/>
  <c r="N536" i="1"/>
  <c r="H536" i="1"/>
  <c r="G536" i="1"/>
  <c r="F536" i="1"/>
  <c r="E536" i="1"/>
  <c r="D536" i="1"/>
  <c r="C536" i="1"/>
  <c r="B536" i="1"/>
  <c r="A536" i="1"/>
  <c r="AM535" i="1"/>
  <c r="AL535" i="1"/>
  <c r="AK535" i="1"/>
  <c r="AJ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Q535" i="1"/>
  <c r="P535" i="1"/>
  <c r="N535" i="1"/>
  <c r="H535" i="1"/>
  <c r="G535" i="1"/>
  <c r="F535" i="1"/>
  <c r="E535" i="1"/>
  <c r="D535" i="1"/>
  <c r="C535" i="1"/>
  <c r="B535" i="1"/>
  <c r="A535" i="1"/>
  <c r="AM534" i="1"/>
  <c r="AL534" i="1"/>
  <c r="AK534" i="1"/>
  <c r="AJ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N534" i="1"/>
  <c r="J534" i="1"/>
  <c r="I534" i="1"/>
  <c r="H534" i="1"/>
  <c r="G534" i="1"/>
  <c r="F534" i="1"/>
  <c r="E534" i="1"/>
  <c r="D534" i="1"/>
  <c r="C534" i="1"/>
  <c r="B534" i="1"/>
  <c r="A534" i="1"/>
  <c r="AM533" i="1"/>
  <c r="AL533" i="1"/>
  <c r="AK533" i="1"/>
  <c r="AJ533" i="1"/>
  <c r="AG533" i="1"/>
  <c r="AF533" i="1"/>
  <c r="AE533" i="1"/>
  <c r="AD533" i="1"/>
  <c r="AC533" i="1"/>
  <c r="AB533" i="1"/>
  <c r="Y533" i="1"/>
  <c r="X533" i="1"/>
  <c r="W533" i="1"/>
  <c r="V533" i="1"/>
  <c r="U533" i="1"/>
  <c r="T533" i="1"/>
  <c r="S533" i="1"/>
  <c r="R533" i="1"/>
  <c r="P533" i="1"/>
  <c r="N533" i="1"/>
  <c r="J533" i="1"/>
  <c r="I533" i="1"/>
  <c r="H533" i="1"/>
  <c r="G533" i="1"/>
  <c r="F533" i="1"/>
  <c r="E533" i="1"/>
  <c r="D533" i="1"/>
  <c r="C533" i="1"/>
  <c r="B533" i="1"/>
  <c r="A533" i="1"/>
  <c r="AM532" i="1"/>
  <c r="AJ532" i="1"/>
  <c r="AI532" i="1"/>
  <c r="AH532" i="1"/>
  <c r="AG532" i="1"/>
  <c r="AF532" i="1"/>
  <c r="AE532" i="1"/>
  <c r="AD532" i="1"/>
  <c r="Y532" i="1"/>
  <c r="X532" i="1"/>
  <c r="W532" i="1"/>
  <c r="V532" i="1"/>
  <c r="U532" i="1"/>
  <c r="T532" i="1"/>
  <c r="R532" i="1"/>
  <c r="Q532" i="1"/>
  <c r="P532" i="1"/>
  <c r="N532" i="1"/>
  <c r="J532" i="1"/>
  <c r="I532" i="1"/>
  <c r="H532" i="1"/>
  <c r="G532" i="1"/>
  <c r="F532" i="1"/>
  <c r="E532" i="1"/>
  <c r="D532" i="1"/>
  <c r="C532" i="1"/>
  <c r="B532" i="1"/>
  <c r="A532" i="1"/>
  <c r="AM531" i="1"/>
  <c r="AL531" i="1"/>
  <c r="AK531" i="1"/>
  <c r="AJ531" i="1"/>
  <c r="AG531" i="1"/>
  <c r="AF531" i="1"/>
  <c r="AE531" i="1"/>
  <c r="AD531" i="1"/>
  <c r="AC531" i="1"/>
  <c r="AB531" i="1"/>
  <c r="AA531" i="1"/>
  <c r="Y531" i="1"/>
  <c r="X531" i="1"/>
  <c r="W531" i="1"/>
  <c r="V531" i="1"/>
  <c r="U531" i="1"/>
  <c r="T531" i="1"/>
  <c r="S531" i="1"/>
  <c r="R531" i="1"/>
  <c r="P531" i="1"/>
  <c r="N531" i="1"/>
  <c r="J531" i="1"/>
  <c r="I531" i="1"/>
  <c r="H531" i="1"/>
  <c r="G531" i="1"/>
  <c r="F531" i="1"/>
  <c r="E531" i="1"/>
  <c r="D531" i="1"/>
  <c r="C531" i="1"/>
  <c r="B531" i="1"/>
  <c r="A531" i="1"/>
  <c r="AM530" i="1"/>
  <c r="AL530" i="1"/>
  <c r="AK530" i="1"/>
  <c r="AJ530" i="1"/>
  <c r="AG530" i="1"/>
  <c r="AF530" i="1"/>
  <c r="AE530" i="1"/>
  <c r="AD530" i="1"/>
  <c r="AC530" i="1"/>
  <c r="AB530" i="1"/>
  <c r="AA530" i="1"/>
  <c r="Y530" i="1"/>
  <c r="X530" i="1"/>
  <c r="W530" i="1"/>
  <c r="V530" i="1"/>
  <c r="U530" i="1"/>
  <c r="T530" i="1"/>
  <c r="S530" i="1"/>
  <c r="R530" i="1"/>
  <c r="P530" i="1"/>
  <c r="N530" i="1"/>
  <c r="M530" i="1"/>
  <c r="J530" i="1"/>
  <c r="I530" i="1"/>
  <c r="H530" i="1"/>
  <c r="G530" i="1"/>
  <c r="F530" i="1"/>
  <c r="E530" i="1"/>
  <c r="D530" i="1"/>
  <c r="C530" i="1"/>
  <c r="B530" i="1"/>
  <c r="A530" i="1"/>
  <c r="AM529" i="1"/>
  <c r="AL529" i="1"/>
  <c r="AK529" i="1"/>
  <c r="AJ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P529" i="1"/>
  <c r="N529" i="1"/>
  <c r="H529" i="1"/>
  <c r="G529" i="1"/>
  <c r="F529" i="1"/>
  <c r="E529" i="1"/>
  <c r="D529" i="1"/>
  <c r="C529" i="1"/>
  <c r="B529" i="1"/>
  <c r="A529" i="1"/>
  <c r="AM528" i="1"/>
  <c r="AJ528" i="1"/>
  <c r="AF528" i="1"/>
  <c r="AD528" i="1"/>
  <c r="AB528" i="1"/>
  <c r="X528" i="1"/>
  <c r="V528" i="1"/>
  <c r="T528" i="1"/>
  <c r="R528" i="1"/>
  <c r="Q528" i="1"/>
  <c r="P528" i="1"/>
  <c r="N528" i="1"/>
  <c r="M528" i="1"/>
  <c r="J528" i="1"/>
  <c r="I528" i="1"/>
  <c r="H528" i="1"/>
  <c r="G528" i="1"/>
  <c r="F528" i="1"/>
  <c r="E528" i="1"/>
  <c r="D528" i="1"/>
  <c r="C528" i="1"/>
  <c r="B528" i="1"/>
  <c r="A528" i="1"/>
  <c r="AM527" i="1"/>
  <c r="AL527" i="1"/>
  <c r="AK527" i="1"/>
  <c r="AJ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P527" i="1"/>
  <c r="N527" i="1"/>
  <c r="H527" i="1"/>
  <c r="G527" i="1"/>
  <c r="F527" i="1"/>
  <c r="E527" i="1"/>
  <c r="D527" i="1"/>
  <c r="C527" i="1"/>
  <c r="B527" i="1"/>
  <c r="A527" i="1"/>
  <c r="AM526" i="1"/>
  <c r="AL526" i="1"/>
  <c r="AK526" i="1"/>
  <c r="AJ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P526" i="1"/>
  <c r="N526" i="1"/>
  <c r="H526" i="1"/>
  <c r="G526" i="1"/>
  <c r="F526" i="1"/>
  <c r="E526" i="1"/>
  <c r="D526" i="1"/>
  <c r="C526" i="1"/>
  <c r="B526" i="1"/>
  <c r="A526" i="1"/>
  <c r="AM525" i="1"/>
  <c r="AL525" i="1"/>
  <c r="AK525" i="1"/>
  <c r="AJ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Q525" i="1"/>
  <c r="P525" i="1"/>
  <c r="N525" i="1"/>
  <c r="H525" i="1"/>
  <c r="G525" i="1"/>
  <c r="F525" i="1"/>
  <c r="E525" i="1"/>
  <c r="D525" i="1"/>
  <c r="C525" i="1"/>
  <c r="B525" i="1"/>
  <c r="A525" i="1"/>
  <c r="AM524" i="1"/>
  <c r="AK524" i="1"/>
  <c r="AJ524" i="1"/>
  <c r="AH524" i="1"/>
  <c r="AF524" i="1"/>
  <c r="AD524" i="1"/>
  <c r="AB524" i="1"/>
  <c r="Z524" i="1"/>
  <c r="X524" i="1"/>
  <c r="V524" i="1"/>
  <c r="T524" i="1"/>
  <c r="S524" i="1"/>
  <c r="Q524" i="1"/>
  <c r="P524" i="1"/>
  <c r="N524" i="1"/>
  <c r="H524" i="1"/>
  <c r="G524" i="1"/>
  <c r="F524" i="1"/>
  <c r="E524" i="1"/>
  <c r="D524" i="1"/>
  <c r="C524" i="1"/>
  <c r="B524" i="1"/>
  <c r="A524" i="1"/>
  <c r="AM523" i="1"/>
  <c r="AK523" i="1"/>
  <c r="AJ523" i="1"/>
  <c r="AF523" i="1"/>
  <c r="AD523" i="1"/>
  <c r="AB523" i="1"/>
  <c r="Z523" i="1"/>
  <c r="X523" i="1"/>
  <c r="V523" i="1"/>
  <c r="T523" i="1"/>
  <c r="S523" i="1"/>
  <c r="P523" i="1"/>
  <c r="N523" i="1"/>
  <c r="H523" i="1"/>
  <c r="G523" i="1"/>
  <c r="F523" i="1"/>
  <c r="E523" i="1"/>
  <c r="D523" i="1"/>
  <c r="C523" i="1"/>
  <c r="B523" i="1"/>
  <c r="A523" i="1"/>
  <c r="AM522" i="1"/>
  <c r="AL522" i="1"/>
  <c r="AK522" i="1"/>
  <c r="AJ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P522" i="1"/>
  <c r="N522" i="1"/>
  <c r="H522" i="1"/>
  <c r="G522" i="1"/>
  <c r="F522" i="1"/>
  <c r="E522" i="1"/>
  <c r="D522" i="1"/>
  <c r="C522" i="1"/>
  <c r="B522" i="1"/>
  <c r="A522" i="1"/>
  <c r="AM521" i="1"/>
  <c r="AL521" i="1"/>
  <c r="AK521" i="1"/>
  <c r="AJ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Q521" i="1"/>
  <c r="P521" i="1"/>
  <c r="N521" i="1"/>
  <c r="H521" i="1"/>
  <c r="G521" i="1"/>
  <c r="F521" i="1"/>
  <c r="E521" i="1"/>
  <c r="D521" i="1"/>
  <c r="C521" i="1"/>
  <c r="B521" i="1"/>
  <c r="A521" i="1"/>
  <c r="AM520" i="1"/>
  <c r="AL520" i="1"/>
  <c r="AK520" i="1"/>
  <c r="AJ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P520" i="1"/>
  <c r="N520" i="1"/>
  <c r="H520" i="1"/>
  <c r="G520" i="1"/>
  <c r="F520" i="1"/>
  <c r="E520" i="1"/>
  <c r="D520" i="1"/>
  <c r="C520" i="1"/>
  <c r="B520" i="1"/>
  <c r="A520" i="1"/>
  <c r="AM519" i="1"/>
  <c r="AL519" i="1"/>
  <c r="AK519" i="1"/>
  <c r="AJ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P519" i="1"/>
  <c r="N519" i="1"/>
  <c r="H519" i="1"/>
  <c r="G519" i="1"/>
  <c r="F519" i="1"/>
  <c r="E519" i="1"/>
  <c r="D519" i="1"/>
  <c r="C519" i="1"/>
  <c r="B519" i="1"/>
  <c r="A519" i="1"/>
  <c r="AM518" i="1"/>
  <c r="AL518" i="1"/>
  <c r="AK518" i="1"/>
  <c r="AJ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P518" i="1"/>
  <c r="N518" i="1"/>
  <c r="H518" i="1"/>
  <c r="G518" i="1"/>
  <c r="F518" i="1"/>
  <c r="E518" i="1"/>
  <c r="D518" i="1"/>
  <c r="C518" i="1"/>
  <c r="B518" i="1"/>
  <c r="A518" i="1"/>
  <c r="AM517" i="1"/>
  <c r="AL517" i="1"/>
  <c r="AK517" i="1"/>
  <c r="AJ517" i="1"/>
  <c r="AG517" i="1"/>
  <c r="AF517" i="1"/>
  <c r="AE517" i="1"/>
  <c r="AD517" i="1"/>
  <c r="AC517" i="1"/>
  <c r="AB517" i="1"/>
  <c r="Y517" i="1"/>
  <c r="X517" i="1"/>
  <c r="W517" i="1"/>
  <c r="V517" i="1"/>
  <c r="U517" i="1"/>
  <c r="T517" i="1"/>
  <c r="R517" i="1"/>
  <c r="P517" i="1"/>
  <c r="N517" i="1"/>
  <c r="M517" i="1"/>
  <c r="J517" i="1"/>
  <c r="I517" i="1"/>
  <c r="H517" i="1"/>
  <c r="G517" i="1"/>
  <c r="F517" i="1"/>
  <c r="E517" i="1"/>
  <c r="D517" i="1"/>
  <c r="C517" i="1"/>
  <c r="B517" i="1"/>
  <c r="A517" i="1"/>
  <c r="AM516" i="1"/>
  <c r="AL516" i="1"/>
  <c r="AK516" i="1"/>
  <c r="AJ516" i="1"/>
  <c r="AG516" i="1"/>
  <c r="AF516" i="1"/>
  <c r="AE516" i="1"/>
  <c r="AD516" i="1"/>
  <c r="AC516" i="1"/>
  <c r="AB516" i="1"/>
  <c r="Y516" i="1"/>
  <c r="X516" i="1"/>
  <c r="W516" i="1"/>
  <c r="V516" i="1"/>
  <c r="U516" i="1"/>
  <c r="T516" i="1"/>
  <c r="S516" i="1"/>
  <c r="R516" i="1"/>
  <c r="Q516" i="1"/>
  <c r="P516" i="1"/>
  <c r="N516" i="1"/>
  <c r="J516" i="1"/>
  <c r="I516" i="1"/>
  <c r="H516" i="1"/>
  <c r="G516" i="1"/>
  <c r="F516" i="1"/>
  <c r="E516" i="1"/>
  <c r="D516" i="1"/>
  <c r="C516" i="1"/>
  <c r="B516" i="1"/>
  <c r="A516" i="1"/>
  <c r="AM515" i="1"/>
  <c r="AL515" i="1"/>
  <c r="AK515" i="1"/>
  <c r="AJ515" i="1"/>
  <c r="AG515" i="1"/>
  <c r="AF515" i="1"/>
  <c r="AE515" i="1"/>
  <c r="AD515" i="1"/>
  <c r="AC515" i="1"/>
  <c r="AB515" i="1"/>
  <c r="Z515" i="1"/>
  <c r="Y515" i="1"/>
  <c r="X515" i="1"/>
  <c r="W515" i="1"/>
  <c r="V515" i="1"/>
  <c r="U515" i="1"/>
  <c r="T515" i="1"/>
  <c r="S515" i="1"/>
  <c r="R515" i="1"/>
  <c r="Q515" i="1"/>
  <c r="P515" i="1"/>
  <c r="N515" i="1"/>
  <c r="J515" i="1"/>
  <c r="I515" i="1"/>
  <c r="H515" i="1"/>
  <c r="G515" i="1"/>
  <c r="F515" i="1"/>
  <c r="E515" i="1"/>
  <c r="D515" i="1"/>
  <c r="C515" i="1"/>
  <c r="B515" i="1"/>
  <c r="A515" i="1"/>
  <c r="AM514" i="1"/>
  <c r="AL514" i="1"/>
  <c r="AK514" i="1"/>
  <c r="AJ514" i="1"/>
  <c r="AG514" i="1"/>
  <c r="AF514" i="1"/>
  <c r="AE514" i="1"/>
  <c r="AD514" i="1"/>
  <c r="AC514" i="1"/>
  <c r="AB514" i="1"/>
  <c r="AA514" i="1"/>
  <c r="Y514" i="1"/>
  <c r="X514" i="1"/>
  <c r="W514" i="1"/>
  <c r="V514" i="1"/>
  <c r="U514" i="1"/>
  <c r="T514" i="1"/>
  <c r="R514" i="1"/>
  <c r="P514" i="1"/>
  <c r="N514" i="1"/>
  <c r="J514" i="1"/>
  <c r="I514" i="1"/>
  <c r="H514" i="1"/>
  <c r="G514" i="1"/>
  <c r="F514" i="1"/>
  <c r="E514" i="1"/>
  <c r="D514" i="1"/>
  <c r="C514" i="1"/>
  <c r="B514" i="1"/>
  <c r="A514" i="1"/>
  <c r="AM513" i="1"/>
  <c r="AL513" i="1"/>
  <c r="AK513" i="1"/>
  <c r="AJ513" i="1"/>
  <c r="AG513" i="1"/>
  <c r="AF513" i="1"/>
  <c r="AE513" i="1"/>
  <c r="AD513" i="1"/>
  <c r="AC513" i="1"/>
  <c r="AB513" i="1"/>
  <c r="AA513" i="1"/>
  <c r="Y513" i="1"/>
  <c r="X513" i="1"/>
  <c r="W513" i="1"/>
  <c r="V513" i="1"/>
  <c r="U513" i="1"/>
  <c r="T513" i="1"/>
  <c r="P513" i="1"/>
  <c r="N513" i="1"/>
  <c r="H513" i="1"/>
  <c r="G513" i="1"/>
  <c r="F513" i="1"/>
  <c r="E513" i="1"/>
  <c r="D513" i="1"/>
  <c r="C513" i="1"/>
  <c r="B513" i="1"/>
  <c r="A513" i="1"/>
  <c r="AM512" i="1"/>
  <c r="AL512" i="1"/>
  <c r="AK512" i="1"/>
  <c r="AJ512" i="1"/>
  <c r="AG512" i="1"/>
  <c r="AF512" i="1"/>
  <c r="AE512" i="1"/>
  <c r="AD512" i="1"/>
  <c r="AC512" i="1"/>
  <c r="AB512" i="1"/>
  <c r="AA512" i="1"/>
  <c r="Y512" i="1"/>
  <c r="X512" i="1"/>
  <c r="W512" i="1"/>
  <c r="V512" i="1"/>
  <c r="U512" i="1"/>
  <c r="T512" i="1"/>
  <c r="R512" i="1"/>
  <c r="P512" i="1"/>
  <c r="N512" i="1"/>
  <c r="J512" i="1"/>
  <c r="I512" i="1"/>
  <c r="H512" i="1"/>
  <c r="G512" i="1"/>
  <c r="F512" i="1"/>
  <c r="E512" i="1"/>
  <c r="D512" i="1"/>
  <c r="C512" i="1"/>
  <c r="B512" i="1"/>
  <c r="A512" i="1"/>
  <c r="AM511" i="1"/>
  <c r="AL511" i="1"/>
  <c r="AK511" i="1"/>
  <c r="AJ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P511" i="1"/>
  <c r="N511" i="1"/>
  <c r="H511" i="1"/>
  <c r="G511" i="1"/>
  <c r="F511" i="1"/>
  <c r="E511" i="1"/>
  <c r="D511" i="1"/>
  <c r="C511" i="1"/>
  <c r="B511" i="1"/>
  <c r="A511" i="1"/>
  <c r="AM510" i="1"/>
  <c r="AL510" i="1"/>
  <c r="AK510" i="1"/>
  <c r="AJ510" i="1"/>
  <c r="AH510" i="1"/>
  <c r="AG510" i="1"/>
  <c r="AF510" i="1"/>
  <c r="AE510" i="1"/>
  <c r="AD510" i="1"/>
  <c r="AC510" i="1"/>
  <c r="AB510" i="1"/>
  <c r="Y510" i="1"/>
  <c r="X510" i="1"/>
  <c r="W510" i="1"/>
  <c r="V510" i="1"/>
  <c r="U510" i="1"/>
  <c r="T510" i="1"/>
  <c r="Q510" i="1"/>
  <c r="P510" i="1"/>
  <c r="N510" i="1"/>
  <c r="H510" i="1"/>
  <c r="G510" i="1"/>
  <c r="F510" i="1"/>
  <c r="E510" i="1"/>
  <c r="D510" i="1"/>
  <c r="C510" i="1"/>
  <c r="B510" i="1"/>
  <c r="A510" i="1"/>
  <c r="AM509" i="1"/>
  <c r="AL509" i="1"/>
  <c r="AK509" i="1"/>
  <c r="AJ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N509" i="1"/>
  <c r="J509" i="1"/>
  <c r="I509" i="1"/>
  <c r="H509" i="1"/>
  <c r="G509" i="1"/>
  <c r="F509" i="1"/>
  <c r="E509" i="1"/>
  <c r="D509" i="1"/>
  <c r="C509" i="1"/>
  <c r="B509" i="1"/>
  <c r="A509" i="1"/>
  <c r="AM508" i="1"/>
  <c r="AL508" i="1"/>
  <c r="AK508" i="1"/>
  <c r="AJ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Q508" i="1"/>
  <c r="P508" i="1"/>
  <c r="N508" i="1"/>
  <c r="H508" i="1"/>
  <c r="G508" i="1"/>
  <c r="F508" i="1"/>
  <c r="E508" i="1"/>
  <c r="D508" i="1"/>
  <c r="C508" i="1"/>
  <c r="B508" i="1"/>
  <c r="A508" i="1"/>
  <c r="AM507" i="1"/>
  <c r="AL507" i="1"/>
  <c r="AK507" i="1"/>
  <c r="AJ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Q507" i="1"/>
  <c r="P507" i="1"/>
  <c r="N507" i="1"/>
  <c r="H507" i="1"/>
  <c r="G507" i="1"/>
  <c r="F507" i="1"/>
  <c r="E507" i="1"/>
  <c r="D507" i="1"/>
  <c r="C507" i="1"/>
  <c r="B507" i="1"/>
  <c r="A507" i="1"/>
  <c r="AM506" i="1"/>
  <c r="AL506" i="1"/>
  <c r="AK506" i="1"/>
  <c r="AJ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R506" i="1"/>
  <c r="P506" i="1"/>
  <c r="N506" i="1"/>
  <c r="J506" i="1"/>
  <c r="I506" i="1"/>
  <c r="H506" i="1"/>
  <c r="G506" i="1"/>
  <c r="F506" i="1"/>
  <c r="E506" i="1"/>
  <c r="D506" i="1"/>
  <c r="C506" i="1"/>
  <c r="B506" i="1"/>
  <c r="A506" i="1"/>
  <c r="AM505" i="1"/>
  <c r="AL505" i="1"/>
  <c r="AK505" i="1"/>
  <c r="AJ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P505" i="1"/>
  <c r="N505" i="1"/>
  <c r="H505" i="1"/>
  <c r="G505" i="1"/>
  <c r="F505" i="1"/>
  <c r="E505" i="1"/>
  <c r="D505" i="1"/>
  <c r="C505" i="1"/>
  <c r="B505" i="1"/>
  <c r="A505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Y504" i="1"/>
  <c r="X504" i="1"/>
  <c r="W504" i="1"/>
  <c r="V504" i="1"/>
  <c r="U504" i="1"/>
  <c r="T504" i="1"/>
  <c r="R504" i="1"/>
  <c r="Q504" i="1"/>
  <c r="P504" i="1"/>
  <c r="N504" i="1"/>
  <c r="M504" i="1"/>
  <c r="K504" i="1"/>
  <c r="J504" i="1"/>
  <c r="I504" i="1"/>
  <c r="H504" i="1"/>
  <c r="G504" i="1"/>
  <c r="F504" i="1"/>
  <c r="E504" i="1"/>
  <c r="D504" i="1"/>
  <c r="C504" i="1"/>
  <c r="B504" i="1"/>
  <c r="A504" i="1"/>
  <c r="AM503" i="1"/>
  <c r="AL503" i="1"/>
  <c r="AK503" i="1"/>
  <c r="AJ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N503" i="1"/>
  <c r="J503" i="1"/>
  <c r="I503" i="1"/>
  <c r="H503" i="1"/>
  <c r="G503" i="1"/>
  <c r="F503" i="1"/>
  <c r="E503" i="1"/>
  <c r="D503" i="1"/>
  <c r="C503" i="1"/>
  <c r="B503" i="1"/>
  <c r="A503" i="1"/>
  <c r="AM502" i="1"/>
  <c r="AL502" i="1"/>
  <c r="AK502" i="1"/>
  <c r="AJ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P502" i="1"/>
  <c r="N502" i="1"/>
  <c r="H502" i="1"/>
  <c r="G502" i="1"/>
  <c r="F502" i="1"/>
  <c r="E502" i="1"/>
  <c r="D502" i="1"/>
  <c r="C502" i="1"/>
  <c r="B502" i="1"/>
  <c r="A502" i="1"/>
  <c r="AM501" i="1"/>
  <c r="AL501" i="1"/>
  <c r="AK501" i="1"/>
  <c r="AJ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P501" i="1"/>
  <c r="N501" i="1"/>
  <c r="H501" i="1"/>
  <c r="G501" i="1"/>
  <c r="F501" i="1"/>
  <c r="E501" i="1"/>
  <c r="D501" i="1"/>
  <c r="C501" i="1"/>
  <c r="B501" i="1"/>
  <c r="A501" i="1"/>
  <c r="AM500" i="1"/>
  <c r="AL500" i="1"/>
  <c r="AK500" i="1"/>
  <c r="AJ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N500" i="1"/>
  <c r="J500" i="1"/>
  <c r="I500" i="1"/>
  <c r="H500" i="1"/>
  <c r="G500" i="1"/>
  <c r="F500" i="1"/>
  <c r="E500" i="1"/>
  <c r="D500" i="1"/>
  <c r="C500" i="1"/>
  <c r="B500" i="1"/>
  <c r="A500" i="1"/>
  <c r="AM499" i="1"/>
  <c r="AL499" i="1"/>
  <c r="AK499" i="1"/>
  <c r="AJ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Q499" i="1"/>
  <c r="P499" i="1"/>
  <c r="N499" i="1"/>
  <c r="H499" i="1"/>
  <c r="G499" i="1"/>
  <c r="F499" i="1"/>
  <c r="E499" i="1"/>
  <c r="D499" i="1"/>
  <c r="C499" i="1"/>
  <c r="B499" i="1"/>
  <c r="A499" i="1"/>
  <c r="AM498" i="1"/>
  <c r="AK498" i="1"/>
  <c r="AJ498" i="1"/>
  <c r="AF498" i="1"/>
  <c r="AD498" i="1"/>
  <c r="AB498" i="1"/>
  <c r="Z498" i="1"/>
  <c r="X498" i="1"/>
  <c r="V498" i="1"/>
  <c r="T498" i="1"/>
  <c r="S498" i="1"/>
  <c r="R498" i="1"/>
  <c r="P498" i="1"/>
  <c r="N498" i="1"/>
  <c r="J498" i="1"/>
  <c r="I498" i="1"/>
  <c r="H498" i="1"/>
  <c r="G498" i="1"/>
  <c r="F498" i="1"/>
  <c r="E498" i="1"/>
  <c r="D498" i="1"/>
  <c r="C498" i="1"/>
  <c r="B498" i="1"/>
  <c r="A498" i="1"/>
  <c r="AM497" i="1"/>
  <c r="AL497" i="1"/>
  <c r="AK497" i="1"/>
  <c r="AJ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N497" i="1"/>
  <c r="J497" i="1"/>
  <c r="I497" i="1"/>
  <c r="H497" i="1"/>
  <c r="G497" i="1"/>
  <c r="F497" i="1"/>
  <c r="E497" i="1"/>
  <c r="D497" i="1"/>
  <c r="C497" i="1"/>
  <c r="B497" i="1"/>
  <c r="A497" i="1"/>
  <c r="AM496" i="1"/>
  <c r="AL496" i="1"/>
  <c r="AK496" i="1"/>
  <c r="AJ496" i="1"/>
  <c r="AH496" i="1"/>
  <c r="AG496" i="1"/>
  <c r="AF496" i="1"/>
  <c r="AE496" i="1"/>
  <c r="AD496" i="1"/>
  <c r="AC496" i="1"/>
  <c r="AB496" i="1"/>
  <c r="Z496" i="1"/>
  <c r="Y496" i="1"/>
  <c r="X496" i="1"/>
  <c r="W496" i="1"/>
  <c r="V496" i="1"/>
  <c r="U496" i="1"/>
  <c r="T496" i="1"/>
  <c r="R496" i="1"/>
  <c r="Q496" i="1"/>
  <c r="P496" i="1"/>
  <c r="N496" i="1"/>
  <c r="J496" i="1"/>
  <c r="I496" i="1"/>
  <c r="H496" i="1"/>
  <c r="G496" i="1"/>
  <c r="F496" i="1"/>
  <c r="E496" i="1"/>
  <c r="D496" i="1"/>
  <c r="C496" i="1"/>
  <c r="B496" i="1"/>
  <c r="A496" i="1"/>
  <c r="AM495" i="1"/>
  <c r="AL495" i="1"/>
  <c r="AK495" i="1"/>
  <c r="AJ495" i="1"/>
  <c r="AG495" i="1"/>
  <c r="AF495" i="1"/>
  <c r="AE495" i="1"/>
  <c r="AD495" i="1"/>
  <c r="AC495" i="1"/>
  <c r="AB495" i="1"/>
  <c r="Y495" i="1"/>
  <c r="X495" i="1"/>
  <c r="W495" i="1"/>
  <c r="V495" i="1"/>
  <c r="U495" i="1"/>
  <c r="T495" i="1"/>
  <c r="S495" i="1"/>
  <c r="R495" i="1"/>
  <c r="P495" i="1"/>
  <c r="N495" i="1"/>
  <c r="J495" i="1"/>
  <c r="I495" i="1"/>
  <c r="H495" i="1"/>
  <c r="G495" i="1"/>
  <c r="F495" i="1"/>
  <c r="E495" i="1"/>
  <c r="D495" i="1"/>
  <c r="C495" i="1"/>
  <c r="B495" i="1"/>
  <c r="A495" i="1"/>
  <c r="AM494" i="1"/>
  <c r="AL494" i="1"/>
  <c r="AK494" i="1"/>
  <c r="AJ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Q494" i="1"/>
  <c r="P494" i="1"/>
  <c r="N494" i="1"/>
  <c r="H494" i="1"/>
  <c r="G494" i="1"/>
  <c r="F494" i="1"/>
  <c r="E494" i="1"/>
  <c r="D494" i="1"/>
  <c r="C494" i="1"/>
  <c r="B494" i="1"/>
  <c r="A494" i="1"/>
  <c r="AM493" i="1"/>
  <c r="AL493" i="1"/>
  <c r="AK493" i="1"/>
  <c r="AJ493" i="1"/>
  <c r="AI493" i="1"/>
  <c r="AG493" i="1"/>
  <c r="AF493" i="1"/>
  <c r="AE493" i="1"/>
  <c r="AD493" i="1"/>
  <c r="AC493" i="1"/>
  <c r="AB493" i="1"/>
  <c r="AA493" i="1"/>
  <c r="Y493" i="1"/>
  <c r="X493" i="1"/>
  <c r="W493" i="1"/>
  <c r="V493" i="1"/>
  <c r="U493" i="1"/>
  <c r="T493" i="1"/>
  <c r="Q493" i="1"/>
  <c r="P493" i="1"/>
  <c r="N493" i="1"/>
  <c r="H493" i="1"/>
  <c r="G493" i="1"/>
  <c r="F493" i="1"/>
  <c r="E493" i="1"/>
  <c r="D493" i="1"/>
  <c r="C493" i="1"/>
  <c r="B493" i="1"/>
  <c r="A493" i="1"/>
  <c r="AM492" i="1"/>
  <c r="AL492" i="1"/>
  <c r="AK492" i="1"/>
  <c r="AJ492" i="1"/>
  <c r="AI492" i="1"/>
  <c r="AG492" i="1"/>
  <c r="AF492" i="1"/>
  <c r="AE492" i="1"/>
  <c r="AD492" i="1"/>
  <c r="AC492" i="1"/>
  <c r="AB492" i="1"/>
  <c r="AA492" i="1"/>
  <c r="Y492" i="1"/>
  <c r="X492" i="1"/>
  <c r="W492" i="1"/>
  <c r="V492" i="1"/>
  <c r="U492" i="1"/>
  <c r="T492" i="1"/>
  <c r="Q492" i="1"/>
  <c r="P492" i="1"/>
  <c r="N492" i="1"/>
  <c r="H492" i="1"/>
  <c r="G492" i="1"/>
  <c r="F492" i="1"/>
  <c r="E492" i="1"/>
  <c r="D492" i="1"/>
  <c r="C492" i="1"/>
  <c r="B492" i="1"/>
  <c r="A492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R491" i="1"/>
  <c r="Q491" i="1"/>
  <c r="P491" i="1"/>
  <c r="N491" i="1"/>
  <c r="J491" i="1"/>
  <c r="I491" i="1"/>
  <c r="H491" i="1"/>
  <c r="G491" i="1"/>
  <c r="F491" i="1"/>
  <c r="E491" i="1"/>
  <c r="D491" i="1"/>
  <c r="C491" i="1"/>
  <c r="B491" i="1"/>
  <c r="A491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Y490" i="1"/>
  <c r="X490" i="1"/>
  <c r="W490" i="1"/>
  <c r="V490" i="1"/>
  <c r="U490" i="1"/>
  <c r="T490" i="1"/>
  <c r="S490" i="1"/>
  <c r="R490" i="1"/>
  <c r="Q490" i="1"/>
  <c r="P490" i="1"/>
  <c r="N490" i="1"/>
  <c r="J490" i="1"/>
  <c r="I490" i="1"/>
  <c r="H490" i="1"/>
  <c r="G490" i="1"/>
  <c r="F490" i="1"/>
  <c r="E490" i="1"/>
  <c r="D490" i="1"/>
  <c r="C490" i="1"/>
  <c r="B490" i="1"/>
  <c r="A490" i="1"/>
  <c r="AM489" i="1"/>
  <c r="AL489" i="1"/>
  <c r="AK489" i="1"/>
  <c r="AJ489" i="1"/>
  <c r="AG489" i="1"/>
  <c r="AF489" i="1"/>
  <c r="AE489" i="1"/>
  <c r="AD489" i="1"/>
  <c r="AC489" i="1"/>
  <c r="AB489" i="1"/>
  <c r="X489" i="1"/>
  <c r="W489" i="1"/>
  <c r="V489" i="1"/>
  <c r="U489" i="1"/>
  <c r="T489" i="1"/>
  <c r="P489" i="1"/>
  <c r="N489" i="1"/>
  <c r="H489" i="1"/>
  <c r="G489" i="1"/>
  <c r="F489" i="1"/>
  <c r="E489" i="1"/>
  <c r="D489" i="1"/>
  <c r="C489" i="1"/>
  <c r="B489" i="1"/>
  <c r="A489" i="1"/>
  <c r="AM488" i="1"/>
  <c r="AL488" i="1"/>
  <c r="AK488" i="1"/>
  <c r="AJ488" i="1"/>
  <c r="AG488" i="1"/>
  <c r="AF488" i="1"/>
  <c r="AE488" i="1"/>
  <c r="AD488" i="1"/>
  <c r="AC488" i="1"/>
  <c r="AB488" i="1"/>
  <c r="Z488" i="1"/>
  <c r="Y488" i="1"/>
  <c r="X488" i="1"/>
  <c r="W488" i="1"/>
  <c r="V488" i="1"/>
  <c r="U488" i="1"/>
  <c r="T488" i="1"/>
  <c r="R488" i="1"/>
  <c r="P488" i="1"/>
  <c r="N488" i="1"/>
  <c r="M488" i="1"/>
  <c r="J488" i="1"/>
  <c r="I488" i="1"/>
  <c r="H488" i="1"/>
  <c r="G488" i="1"/>
  <c r="F488" i="1"/>
  <c r="E488" i="1"/>
  <c r="D488" i="1"/>
  <c r="C488" i="1"/>
  <c r="B488" i="1"/>
  <c r="A488" i="1"/>
  <c r="AM487" i="1"/>
  <c r="AK487" i="1"/>
  <c r="AJ487" i="1"/>
  <c r="AF487" i="1"/>
  <c r="AD487" i="1"/>
  <c r="AB487" i="1"/>
  <c r="Z487" i="1"/>
  <c r="X487" i="1"/>
  <c r="V487" i="1"/>
  <c r="T487" i="1"/>
  <c r="R487" i="1"/>
  <c r="P487" i="1"/>
  <c r="N487" i="1"/>
  <c r="J487" i="1"/>
  <c r="I487" i="1"/>
  <c r="H487" i="1"/>
  <c r="G487" i="1"/>
  <c r="F487" i="1"/>
  <c r="E487" i="1"/>
  <c r="D487" i="1"/>
  <c r="C487" i="1"/>
  <c r="B487" i="1"/>
  <c r="A487" i="1"/>
  <c r="AM486" i="1"/>
  <c r="AK486" i="1"/>
  <c r="AJ486" i="1"/>
  <c r="AF486" i="1"/>
  <c r="AD486" i="1"/>
  <c r="AB486" i="1"/>
  <c r="Z486" i="1"/>
  <c r="X486" i="1"/>
  <c r="V486" i="1"/>
  <c r="T486" i="1"/>
  <c r="S486" i="1"/>
  <c r="R486" i="1"/>
  <c r="P486" i="1"/>
  <c r="N486" i="1"/>
  <c r="J486" i="1"/>
  <c r="I486" i="1"/>
  <c r="H486" i="1"/>
  <c r="G486" i="1"/>
  <c r="F486" i="1"/>
  <c r="E486" i="1"/>
  <c r="D486" i="1"/>
  <c r="C486" i="1"/>
  <c r="B486" i="1"/>
  <c r="A486" i="1"/>
  <c r="AM485" i="1"/>
  <c r="AL485" i="1"/>
  <c r="AK485" i="1"/>
  <c r="AJ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P485" i="1"/>
  <c r="N485" i="1"/>
  <c r="H485" i="1"/>
  <c r="G485" i="1"/>
  <c r="F485" i="1"/>
  <c r="E485" i="1"/>
  <c r="D485" i="1"/>
  <c r="C485" i="1"/>
  <c r="B485" i="1"/>
  <c r="A485" i="1"/>
  <c r="AM484" i="1"/>
  <c r="AL484" i="1"/>
  <c r="AK484" i="1"/>
  <c r="AJ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P484" i="1"/>
  <c r="N484" i="1"/>
  <c r="H484" i="1"/>
  <c r="G484" i="1"/>
  <c r="F484" i="1"/>
  <c r="E484" i="1"/>
  <c r="D484" i="1"/>
  <c r="C484" i="1"/>
  <c r="B484" i="1"/>
  <c r="A484" i="1"/>
  <c r="AM483" i="1"/>
  <c r="AL483" i="1"/>
  <c r="AK483" i="1"/>
  <c r="AJ483" i="1"/>
  <c r="AG483" i="1"/>
  <c r="AF483" i="1"/>
  <c r="AE483" i="1"/>
  <c r="AD483" i="1"/>
  <c r="AC483" i="1"/>
  <c r="AB483" i="1"/>
  <c r="Y483" i="1"/>
  <c r="X483" i="1"/>
  <c r="W483" i="1"/>
  <c r="V483" i="1"/>
  <c r="U483" i="1"/>
  <c r="T483" i="1"/>
  <c r="S483" i="1"/>
  <c r="R483" i="1"/>
  <c r="Q483" i="1"/>
  <c r="P483" i="1"/>
  <c r="N483" i="1"/>
  <c r="J483" i="1"/>
  <c r="I483" i="1"/>
  <c r="H483" i="1"/>
  <c r="G483" i="1"/>
  <c r="F483" i="1"/>
  <c r="E483" i="1"/>
  <c r="D483" i="1"/>
  <c r="C483" i="1"/>
  <c r="B483" i="1"/>
  <c r="A483" i="1"/>
  <c r="AM482" i="1"/>
  <c r="AL482" i="1"/>
  <c r="AK482" i="1"/>
  <c r="AJ482" i="1"/>
  <c r="AG482" i="1"/>
  <c r="AF482" i="1"/>
  <c r="AE482" i="1"/>
  <c r="AD482" i="1"/>
  <c r="AC482" i="1"/>
  <c r="AB482" i="1"/>
  <c r="Y482" i="1"/>
  <c r="X482" i="1"/>
  <c r="W482" i="1"/>
  <c r="V482" i="1"/>
  <c r="U482" i="1"/>
  <c r="T482" i="1"/>
  <c r="S482" i="1"/>
  <c r="R482" i="1"/>
  <c r="Q482" i="1"/>
  <c r="P482" i="1"/>
  <c r="N482" i="1"/>
  <c r="J482" i="1"/>
  <c r="I482" i="1"/>
  <c r="H482" i="1"/>
  <c r="G482" i="1"/>
  <c r="F482" i="1"/>
  <c r="E482" i="1"/>
  <c r="D482" i="1"/>
  <c r="C482" i="1"/>
  <c r="B482" i="1"/>
  <c r="A482" i="1"/>
  <c r="AM481" i="1"/>
  <c r="AL481" i="1"/>
  <c r="AK481" i="1"/>
  <c r="AJ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P481" i="1"/>
  <c r="N481" i="1"/>
  <c r="H481" i="1"/>
  <c r="G481" i="1"/>
  <c r="F481" i="1"/>
  <c r="E481" i="1"/>
  <c r="D481" i="1"/>
  <c r="C481" i="1"/>
  <c r="B481" i="1"/>
  <c r="A481" i="1"/>
  <c r="AM480" i="1"/>
  <c r="AL480" i="1"/>
  <c r="AK480" i="1"/>
  <c r="AJ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P480" i="1"/>
  <c r="N480" i="1"/>
  <c r="H480" i="1"/>
  <c r="G480" i="1"/>
  <c r="F480" i="1"/>
  <c r="E480" i="1"/>
  <c r="D480" i="1"/>
  <c r="C480" i="1"/>
  <c r="B480" i="1"/>
  <c r="A480" i="1"/>
  <c r="AM479" i="1"/>
  <c r="AL479" i="1"/>
  <c r="AK479" i="1"/>
  <c r="AJ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P479" i="1"/>
  <c r="N479" i="1"/>
  <c r="H479" i="1"/>
  <c r="G479" i="1"/>
  <c r="F479" i="1"/>
  <c r="E479" i="1"/>
  <c r="D479" i="1"/>
  <c r="C479" i="1"/>
  <c r="B479" i="1"/>
  <c r="A479" i="1"/>
  <c r="AM478" i="1"/>
  <c r="AK478" i="1"/>
  <c r="AJ478" i="1"/>
  <c r="AF478" i="1"/>
  <c r="AD478" i="1"/>
  <c r="AB478" i="1"/>
  <c r="Z478" i="1"/>
  <c r="X478" i="1"/>
  <c r="V478" i="1"/>
  <c r="T478" i="1"/>
  <c r="R478" i="1"/>
  <c r="P478" i="1"/>
  <c r="N478" i="1"/>
  <c r="J478" i="1"/>
  <c r="I478" i="1"/>
  <c r="H478" i="1"/>
  <c r="G478" i="1"/>
  <c r="F478" i="1"/>
  <c r="E478" i="1"/>
  <c r="D478" i="1"/>
  <c r="C478" i="1"/>
  <c r="B478" i="1"/>
  <c r="A478" i="1"/>
  <c r="AM477" i="1"/>
  <c r="AL477" i="1"/>
  <c r="AK477" i="1"/>
  <c r="AJ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P477" i="1"/>
  <c r="N477" i="1"/>
  <c r="H477" i="1"/>
  <c r="G477" i="1"/>
  <c r="F477" i="1"/>
  <c r="E477" i="1"/>
  <c r="D477" i="1"/>
  <c r="C477" i="1"/>
  <c r="B477" i="1"/>
  <c r="A477" i="1"/>
  <c r="AM476" i="1"/>
  <c r="AL476" i="1"/>
  <c r="AK476" i="1"/>
  <c r="AJ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P476" i="1"/>
  <c r="N476" i="1"/>
  <c r="M476" i="1"/>
  <c r="J476" i="1"/>
  <c r="I476" i="1"/>
  <c r="H476" i="1"/>
  <c r="G476" i="1"/>
  <c r="F476" i="1"/>
  <c r="E476" i="1"/>
  <c r="D476" i="1"/>
  <c r="C476" i="1"/>
  <c r="B476" i="1"/>
  <c r="A476" i="1"/>
  <c r="AM475" i="1"/>
  <c r="AL475" i="1"/>
  <c r="AK475" i="1"/>
  <c r="AJ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P475" i="1"/>
  <c r="N475" i="1"/>
  <c r="J475" i="1"/>
  <c r="I475" i="1"/>
  <c r="H475" i="1"/>
  <c r="G475" i="1"/>
  <c r="F475" i="1"/>
  <c r="E475" i="1"/>
  <c r="D475" i="1"/>
  <c r="C475" i="1"/>
  <c r="B475" i="1"/>
  <c r="A475" i="1"/>
  <c r="AM474" i="1"/>
  <c r="AL474" i="1"/>
  <c r="AK474" i="1"/>
  <c r="AJ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P474" i="1"/>
  <c r="N474" i="1"/>
  <c r="J474" i="1"/>
  <c r="I474" i="1"/>
  <c r="H474" i="1"/>
  <c r="G474" i="1"/>
  <c r="F474" i="1"/>
  <c r="E474" i="1"/>
  <c r="D474" i="1"/>
  <c r="C474" i="1"/>
  <c r="B474" i="1"/>
  <c r="A474" i="1"/>
  <c r="AM473" i="1"/>
  <c r="AL473" i="1"/>
  <c r="AK473" i="1"/>
  <c r="AJ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P473" i="1"/>
  <c r="N473" i="1"/>
  <c r="H473" i="1"/>
  <c r="G473" i="1"/>
  <c r="F473" i="1"/>
  <c r="E473" i="1"/>
  <c r="D473" i="1"/>
  <c r="C473" i="1"/>
  <c r="B473" i="1"/>
  <c r="A473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Y472" i="1"/>
  <c r="X472" i="1"/>
  <c r="W472" i="1"/>
  <c r="V472" i="1"/>
  <c r="U472" i="1"/>
  <c r="T472" i="1"/>
  <c r="R472" i="1"/>
  <c r="P472" i="1"/>
  <c r="N472" i="1"/>
  <c r="J472" i="1"/>
  <c r="I472" i="1"/>
  <c r="H472" i="1"/>
  <c r="G472" i="1"/>
  <c r="F472" i="1"/>
  <c r="E472" i="1"/>
  <c r="D472" i="1"/>
  <c r="C472" i="1"/>
  <c r="B472" i="1"/>
  <c r="A472" i="1"/>
  <c r="AM471" i="1"/>
  <c r="AK471" i="1"/>
  <c r="AJ471" i="1"/>
  <c r="AF471" i="1"/>
  <c r="AD471" i="1"/>
  <c r="AB471" i="1"/>
  <c r="Z471" i="1"/>
  <c r="X471" i="1"/>
  <c r="V471" i="1"/>
  <c r="T471" i="1"/>
  <c r="R471" i="1"/>
  <c r="P471" i="1"/>
  <c r="N471" i="1"/>
  <c r="M471" i="1"/>
  <c r="J471" i="1"/>
  <c r="I471" i="1"/>
  <c r="H471" i="1"/>
  <c r="G471" i="1"/>
  <c r="F471" i="1"/>
  <c r="E471" i="1"/>
  <c r="D471" i="1"/>
  <c r="C471" i="1"/>
  <c r="B471" i="1"/>
  <c r="A471" i="1"/>
  <c r="AM470" i="1"/>
  <c r="AK470" i="1"/>
  <c r="AJ470" i="1"/>
  <c r="AF470" i="1"/>
  <c r="AD470" i="1"/>
  <c r="AB470" i="1"/>
  <c r="Z470" i="1"/>
  <c r="X470" i="1"/>
  <c r="V470" i="1"/>
  <c r="T470" i="1"/>
  <c r="P470" i="1"/>
  <c r="N470" i="1"/>
  <c r="H470" i="1"/>
  <c r="G470" i="1"/>
  <c r="F470" i="1"/>
  <c r="E470" i="1"/>
  <c r="D470" i="1"/>
  <c r="C470" i="1"/>
  <c r="B470" i="1"/>
  <c r="A470" i="1"/>
  <c r="AM469" i="1"/>
  <c r="AL469" i="1"/>
  <c r="AK469" i="1"/>
  <c r="AJ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R469" i="1"/>
  <c r="P469" i="1"/>
  <c r="N469" i="1"/>
  <c r="J469" i="1"/>
  <c r="I469" i="1"/>
  <c r="H469" i="1"/>
  <c r="G469" i="1"/>
  <c r="F469" i="1"/>
  <c r="E469" i="1"/>
  <c r="D469" i="1"/>
  <c r="C469" i="1"/>
  <c r="B469" i="1"/>
  <c r="A469" i="1"/>
  <c r="AM468" i="1"/>
  <c r="AK468" i="1"/>
  <c r="AJ468" i="1"/>
  <c r="AF468" i="1"/>
  <c r="AD468" i="1"/>
  <c r="AB468" i="1"/>
  <c r="Z468" i="1"/>
  <c r="X468" i="1"/>
  <c r="V468" i="1"/>
  <c r="T468" i="1"/>
  <c r="P468" i="1"/>
  <c r="N468" i="1"/>
  <c r="H468" i="1"/>
  <c r="G468" i="1"/>
  <c r="F468" i="1"/>
  <c r="E468" i="1"/>
  <c r="D468" i="1"/>
  <c r="C468" i="1"/>
  <c r="B468" i="1"/>
  <c r="A468" i="1"/>
  <c r="AM467" i="1"/>
  <c r="AL467" i="1"/>
  <c r="AK467" i="1"/>
  <c r="AJ467" i="1"/>
  <c r="AH467" i="1"/>
  <c r="AG467" i="1"/>
  <c r="AF467" i="1"/>
  <c r="AE467" i="1"/>
  <c r="AD467" i="1"/>
  <c r="AC467" i="1"/>
  <c r="AB467" i="1"/>
  <c r="Z467" i="1"/>
  <c r="Y467" i="1"/>
  <c r="X467" i="1"/>
  <c r="W467" i="1"/>
  <c r="V467" i="1"/>
  <c r="U467" i="1"/>
  <c r="T467" i="1"/>
  <c r="Q467" i="1"/>
  <c r="P467" i="1"/>
  <c r="N467" i="1"/>
  <c r="H467" i="1"/>
  <c r="G467" i="1"/>
  <c r="F467" i="1"/>
  <c r="E467" i="1"/>
  <c r="D467" i="1"/>
  <c r="C467" i="1"/>
  <c r="B467" i="1"/>
  <c r="A467" i="1"/>
  <c r="AM466" i="1"/>
  <c r="AL466" i="1"/>
  <c r="AK466" i="1"/>
  <c r="AJ466" i="1"/>
  <c r="AH466" i="1"/>
  <c r="AG466" i="1"/>
  <c r="AF466" i="1"/>
  <c r="AE466" i="1"/>
  <c r="AD466" i="1"/>
  <c r="AC466" i="1"/>
  <c r="AB466" i="1"/>
  <c r="Z466" i="1"/>
  <c r="Y466" i="1"/>
  <c r="X466" i="1"/>
  <c r="W466" i="1"/>
  <c r="V466" i="1"/>
  <c r="U466" i="1"/>
  <c r="T466" i="1"/>
  <c r="S466" i="1"/>
  <c r="R466" i="1"/>
  <c r="Q466" i="1"/>
  <c r="P466" i="1"/>
  <c r="N466" i="1"/>
  <c r="M466" i="1"/>
  <c r="J466" i="1"/>
  <c r="I466" i="1"/>
  <c r="H466" i="1"/>
  <c r="G466" i="1"/>
  <c r="F466" i="1"/>
  <c r="E466" i="1"/>
  <c r="D466" i="1"/>
  <c r="C466" i="1"/>
  <c r="B466" i="1"/>
  <c r="A466" i="1"/>
  <c r="AM465" i="1"/>
  <c r="AK465" i="1"/>
  <c r="AJ465" i="1"/>
  <c r="AF465" i="1"/>
  <c r="AD465" i="1"/>
  <c r="AB465" i="1"/>
  <c r="Z465" i="1"/>
  <c r="X465" i="1"/>
  <c r="V465" i="1"/>
  <c r="T465" i="1"/>
  <c r="S465" i="1"/>
  <c r="R465" i="1"/>
  <c r="P465" i="1"/>
  <c r="N465" i="1"/>
  <c r="J465" i="1"/>
  <c r="I465" i="1"/>
  <c r="H465" i="1"/>
  <c r="G465" i="1"/>
  <c r="F465" i="1"/>
  <c r="E465" i="1"/>
  <c r="D465" i="1"/>
  <c r="C465" i="1"/>
  <c r="B465" i="1"/>
  <c r="A465" i="1"/>
  <c r="AM464" i="1"/>
  <c r="AL464" i="1"/>
  <c r="AK464" i="1"/>
  <c r="AJ464" i="1"/>
  <c r="AH464" i="1"/>
  <c r="AG464" i="1"/>
  <c r="AF464" i="1"/>
  <c r="AE464" i="1"/>
  <c r="AD464" i="1"/>
  <c r="AC464" i="1"/>
  <c r="AB464" i="1"/>
  <c r="Z464" i="1"/>
  <c r="Y464" i="1"/>
  <c r="X464" i="1"/>
  <c r="W464" i="1"/>
  <c r="V464" i="1"/>
  <c r="U464" i="1"/>
  <c r="T464" i="1"/>
  <c r="S464" i="1"/>
  <c r="R464" i="1"/>
  <c r="Q464" i="1"/>
  <c r="P464" i="1"/>
  <c r="N464" i="1"/>
  <c r="J464" i="1"/>
  <c r="I464" i="1"/>
  <c r="H464" i="1"/>
  <c r="G464" i="1"/>
  <c r="F464" i="1"/>
  <c r="E464" i="1"/>
  <c r="D464" i="1"/>
  <c r="C464" i="1"/>
  <c r="B464" i="1"/>
  <c r="A464" i="1"/>
  <c r="AM463" i="1"/>
  <c r="AL463" i="1"/>
  <c r="AK463" i="1"/>
  <c r="AJ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P463" i="1"/>
  <c r="N463" i="1"/>
  <c r="H463" i="1"/>
  <c r="G463" i="1"/>
  <c r="F463" i="1"/>
  <c r="E463" i="1"/>
  <c r="D463" i="1"/>
  <c r="C463" i="1"/>
  <c r="B463" i="1"/>
  <c r="A463" i="1"/>
  <c r="AM462" i="1"/>
  <c r="AL462" i="1"/>
  <c r="AK462" i="1"/>
  <c r="AJ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P462" i="1"/>
  <c r="N462" i="1"/>
  <c r="H462" i="1"/>
  <c r="G462" i="1"/>
  <c r="F462" i="1"/>
  <c r="E462" i="1"/>
  <c r="D462" i="1"/>
  <c r="C462" i="1"/>
  <c r="B462" i="1"/>
  <c r="A462" i="1"/>
  <c r="AM461" i="1"/>
  <c r="AK461" i="1"/>
  <c r="AJ461" i="1"/>
  <c r="AF461" i="1"/>
  <c r="AD461" i="1"/>
  <c r="AB461" i="1"/>
  <c r="Z461" i="1"/>
  <c r="X461" i="1"/>
  <c r="V461" i="1"/>
  <c r="T461" i="1"/>
  <c r="S461" i="1"/>
  <c r="R461" i="1"/>
  <c r="P461" i="1"/>
  <c r="N461" i="1"/>
  <c r="J461" i="1"/>
  <c r="I461" i="1"/>
  <c r="H461" i="1"/>
  <c r="G461" i="1"/>
  <c r="F461" i="1"/>
  <c r="E461" i="1"/>
  <c r="D461" i="1"/>
  <c r="C461" i="1"/>
  <c r="B461" i="1"/>
  <c r="A461" i="1"/>
  <c r="AM460" i="1"/>
  <c r="AL460" i="1"/>
  <c r="AK460" i="1"/>
  <c r="AJ460" i="1"/>
  <c r="AI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P460" i="1"/>
  <c r="N460" i="1"/>
  <c r="H460" i="1"/>
  <c r="G460" i="1"/>
  <c r="F460" i="1"/>
  <c r="E460" i="1"/>
  <c r="D460" i="1"/>
  <c r="C460" i="1"/>
  <c r="B460" i="1"/>
  <c r="A460" i="1"/>
  <c r="AM459" i="1"/>
  <c r="AL459" i="1"/>
  <c r="AK459" i="1"/>
  <c r="AJ459" i="1"/>
  <c r="AI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P459" i="1"/>
  <c r="N459" i="1"/>
  <c r="J459" i="1"/>
  <c r="I459" i="1"/>
  <c r="H459" i="1"/>
  <c r="G459" i="1"/>
  <c r="F459" i="1"/>
  <c r="E459" i="1"/>
  <c r="D459" i="1"/>
  <c r="C459" i="1"/>
  <c r="B459" i="1"/>
  <c r="A459" i="1"/>
  <c r="AM458" i="1"/>
  <c r="AL458" i="1"/>
  <c r="AK458" i="1"/>
  <c r="AJ458" i="1"/>
  <c r="AI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P458" i="1"/>
  <c r="N458" i="1"/>
  <c r="H458" i="1"/>
  <c r="G458" i="1"/>
  <c r="F458" i="1"/>
  <c r="E458" i="1"/>
  <c r="D458" i="1"/>
  <c r="C458" i="1"/>
  <c r="B458" i="1"/>
  <c r="A458" i="1"/>
  <c r="AM457" i="1"/>
  <c r="AK457" i="1"/>
  <c r="AJ457" i="1"/>
  <c r="AF457" i="1"/>
  <c r="AD457" i="1"/>
  <c r="AB457" i="1"/>
  <c r="Z457" i="1"/>
  <c r="X457" i="1"/>
  <c r="V457" i="1"/>
  <c r="T457" i="1"/>
  <c r="S457" i="1"/>
  <c r="R457" i="1"/>
  <c r="P457" i="1"/>
  <c r="N457" i="1"/>
  <c r="J457" i="1"/>
  <c r="I457" i="1"/>
  <c r="H457" i="1"/>
  <c r="G457" i="1"/>
  <c r="F457" i="1"/>
  <c r="E457" i="1"/>
  <c r="D457" i="1"/>
  <c r="C457" i="1"/>
  <c r="B457" i="1"/>
  <c r="A457" i="1"/>
  <c r="AM456" i="1"/>
  <c r="AL456" i="1"/>
  <c r="AK456" i="1"/>
  <c r="AJ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R456" i="1"/>
  <c r="P456" i="1"/>
  <c r="N456" i="1"/>
  <c r="M456" i="1"/>
  <c r="J456" i="1"/>
  <c r="I456" i="1"/>
  <c r="H456" i="1"/>
  <c r="G456" i="1"/>
  <c r="F456" i="1"/>
  <c r="E456" i="1"/>
  <c r="D456" i="1"/>
  <c r="C456" i="1"/>
  <c r="B456" i="1"/>
  <c r="A456" i="1"/>
  <c r="AM455" i="1"/>
  <c r="AL455" i="1"/>
  <c r="AK455" i="1"/>
  <c r="AJ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R455" i="1"/>
  <c r="P455" i="1"/>
  <c r="N455" i="1"/>
  <c r="J455" i="1"/>
  <c r="I455" i="1"/>
  <c r="H455" i="1"/>
  <c r="G455" i="1"/>
  <c r="F455" i="1"/>
  <c r="E455" i="1"/>
  <c r="D455" i="1"/>
  <c r="C455" i="1"/>
  <c r="B455" i="1"/>
  <c r="A455" i="1"/>
  <c r="AM454" i="1"/>
  <c r="AL454" i="1"/>
  <c r="AK454" i="1"/>
  <c r="AJ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R454" i="1"/>
  <c r="P454" i="1"/>
  <c r="N454" i="1"/>
  <c r="M454" i="1"/>
  <c r="J454" i="1"/>
  <c r="I454" i="1"/>
  <c r="H454" i="1"/>
  <c r="G454" i="1"/>
  <c r="F454" i="1"/>
  <c r="E454" i="1"/>
  <c r="D454" i="1"/>
  <c r="C454" i="1"/>
  <c r="B454" i="1"/>
  <c r="A454" i="1"/>
  <c r="AM453" i="1"/>
  <c r="AL453" i="1"/>
  <c r="AK453" i="1"/>
  <c r="AJ453" i="1"/>
  <c r="AI453" i="1"/>
  <c r="AG453" i="1"/>
  <c r="AF453" i="1"/>
  <c r="AE453" i="1"/>
  <c r="AD453" i="1"/>
  <c r="AC453" i="1"/>
  <c r="AB453" i="1"/>
  <c r="Z453" i="1"/>
  <c r="Y453" i="1"/>
  <c r="X453" i="1"/>
  <c r="W453" i="1"/>
  <c r="V453" i="1"/>
  <c r="U453" i="1"/>
  <c r="T453" i="1"/>
  <c r="S453" i="1"/>
  <c r="R453" i="1"/>
  <c r="P453" i="1"/>
  <c r="N453" i="1"/>
  <c r="J453" i="1"/>
  <c r="I453" i="1"/>
  <c r="H453" i="1"/>
  <c r="G453" i="1"/>
  <c r="F453" i="1"/>
  <c r="E453" i="1"/>
  <c r="D453" i="1"/>
  <c r="C453" i="1"/>
  <c r="B453" i="1"/>
  <c r="A453" i="1"/>
  <c r="AM452" i="1"/>
  <c r="AL452" i="1"/>
  <c r="AK452" i="1"/>
  <c r="AJ452" i="1"/>
  <c r="AI452" i="1"/>
  <c r="AG452" i="1"/>
  <c r="AF452" i="1"/>
  <c r="AE452" i="1"/>
  <c r="AD452" i="1"/>
  <c r="AC452" i="1"/>
  <c r="AB452" i="1"/>
  <c r="Z452" i="1"/>
  <c r="Y452" i="1"/>
  <c r="X452" i="1"/>
  <c r="W452" i="1"/>
  <c r="V452" i="1"/>
  <c r="U452" i="1"/>
  <c r="T452" i="1"/>
  <c r="S452" i="1"/>
  <c r="P452" i="1"/>
  <c r="N452" i="1"/>
  <c r="H452" i="1"/>
  <c r="G452" i="1"/>
  <c r="F452" i="1"/>
  <c r="E452" i="1"/>
  <c r="D452" i="1"/>
  <c r="C452" i="1"/>
  <c r="B452" i="1"/>
  <c r="A452" i="1"/>
  <c r="AM451" i="1"/>
  <c r="AK451" i="1"/>
  <c r="AJ451" i="1"/>
  <c r="AF451" i="1"/>
  <c r="AD451" i="1"/>
  <c r="AB451" i="1"/>
  <c r="Z451" i="1"/>
  <c r="X451" i="1"/>
  <c r="V451" i="1"/>
  <c r="T451" i="1"/>
  <c r="P451" i="1"/>
  <c r="N451" i="1"/>
  <c r="H451" i="1"/>
  <c r="G451" i="1"/>
  <c r="F451" i="1"/>
  <c r="E451" i="1"/>
  <c r="D451" i="1"/>
  <c r="C451" i="1"/>
  <c r="B451" i="1"/>
  <c r="A451" i="1"/>
  <c r="AM450" i="1"/>
  <c r="AL450" i="1"/>
  <c r="AK450" i="1"/>
  <c r="AJ450" i="1"/>
  <c r="AG450" i="1"/>
  <c r="AF450" i="1"/>
  <c r="AE450" i="1"/>
  <c r="AD450" i="1"/>
  <c r="AC450" i="1"/>
  <c r="AB450" i="1"/>
  <c r="X450" i="1"/>
  <c r="W450" i="1"/>
  <c r="V450" i="1"/>
  <c r="U450" i="1"/>
  <c r="T450" i="1"/>
  <c r="R450" i="1"/>
  <c r="P450" i="1"/>
  <c r="N450" i="1"/>
  <c r="M450" i="1"/>
  <c r="J450" i="1"/>
  <c r="I450" i="1"/>
  <c r="H450" i="1"/>
  <c r="G450" i="1"/>
  <c r="F450" i="1"/>
  <c r="E450" i="1"/>
  <c r="D450" i="1"/>
  <c r="C450" i="1"/>
  <c r="B450" i="1"/>
  <c r="A450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N449" i="1"/>
  <c r="J449" i="1"/>
  <c r="I449" i="1"/>
  <c r="H449" i="1"/>
  <c r="G449" i="1"/>
  <c r="F449" i="1"/>
  <c r="E449" i="1"/>
  <c r="D449" i="1"/>
  <c r="C449" i="1"/>
  <c r="B449" i="1"/>
  <c r="A449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Q448" i="1"/>
  <c r="P448" i="1"/>
  <c r="N448" i="1"/>
  <c r="H448" i="1"/>
  <c r="G448" i="1"/>
  <c r="F448" i="1"/>
  <c r="E448" i="1"/>
  <c r="D448" i="1"/>
  <c r="C448" i="1"/>
  <c r="B448" i="1"/>
  <c r="A448" i="1"/>
  <c r="AM447" i="1"/>
  <c r="AL447" i="1"/>
  <c r="AK447" i="1"/>
  <c r="AJ447" i="1"/>
  <c r="AI447" i="1"/>
  <c r="AG447" i="1"/>
  <c r="AF447" i="1"/>
  <c r="AE447" i="1"/>
  <c r="AD447" i="1"/>
  <c r="AC447" i="1"/>
  <c r="AB447" i="1"/>
  <c r="Y447" i="1"/>
  <c r="X447" i="1"/>
  <c r="W447" i="1"/>
  <c r="V447" i="1"/>
  <c r="U447" i="1"/>
  <c r="T447" i="1"/>
  <c r="S447" i="1"/>
  <c r="R447" i="1"/>
  <c r="P447" i="1"/>
  <c r="N447" i="1"/>
  <c r="J447" i="1"/>
  <c r="I447" i="1"/>
  <c r="H447" i="1"/>
  <c r="G447" i="1"/>
  <c r="F447" i="1"/>
  <c r="E447" i="1"/>
  <c r="D447" i="1"/>
  <c r="C447" i="1"/>
  <c r="B447" i="1"/>
  <c r="A447" i="1"/>
  <c r="AM446" i="1"/>
  <c r="AL446" i="1"/>
  <c r="AK446" i="1"/>
  <c r="AJ446" i="1"/>
  <c r="AI446" i="1"/>
  <c r="AG446" i="1"/>
  <c r="AF446" i="1"/>
  <c r="AE446" i="1"/>
  <c r="AD446" i="1"/>
  <c r="AC446" i="1"/>
  <c r="AB446" i="1"/>
  <c r="Y446" i="1"/>
  <c r="X446" i="1"/>
  <c r="W446" i="1"/>
  <c r="V446" i="1"/>
  <c r="U446" i="1"/>
  <c r="T446" i="1"/>
  <c r="S446" i="1"/>
  <c r="P446" i="1"/>
  <c r="N446" i="1"/>
  <c r="H446" i="1"/>
  <c r="G446" i="1"/>
  <c r="F446" i="1"/>
  <c r="E446" i="1"/>
  <c r="D446" i="1"/>
  <c r="C446" i="1"/>
  <c r="B446" i="1"/>
  <c r="A446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Q445" i="1"/>
  <c r="P445" i="1"/>
  <c r="N445" i="1"/>
  <c r="H445" i="1"/>
  <c r="G445" i="1"/>
  <c r="F445" i="1"/>
  <c r="E445" i="1"/>
  <c r="D445" i="1"/>
  <c r="C445" i="1"/>
  <c r="B445" i="1"/>
  <c r="A445" i="1"/>
  <c r="AM444" i="1"/>
  <c r="AL444" i="1"/>
  <c r="AK444" i="1"/>
  <c r="AJ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R444" i="1"/>
  <c r="Q444" i="1"/>
  <c r="P444" i="1"/>
  <c r="N444" i="1"/>
  <c r="J444" i="1"/>
  <c r="I444" i="1"/>
  <c r="H444" i="1"/>
  <c r="G444" i="1"/>
  <c r="F444" i="1"/>
  <c r="E444" i="1"/>
  <c r="D444" i="1"/>
  <c r="C444" i="1"/>
  <c r="B444" i="1"/>
  <c r="A444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N443" i="1"/>
  <c r="J443" i="1"/>
  <c r="I443" i="1"/>
  <c r="H443" i="1"/>
  <c r="G443" i="1"/>
  <c r="F443" i="1"/>
  <c r="E443" i="1"/>
  <c r="D443" i="1"/>
  <c r="C443" i="1"/>
  <c r="B443" i="1"/>
  <c r="A443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R442" i="1"/>
  <c r="Q442" i="1"/>
  <c r="P442" i="1"/>
  <c r="N442" i="1"/>
  <c r="J442" i="1"/>
  <c r="I442" i="1"/>
  <c r="H442" i="1"/>
  <c r="G442" i="1"/>
  <c r="F442" i="1"/>
  <c r="E442" i="1"/>
  <c r="D442" i="1"/>
  <c r="C442" i="1"/>
  <c r="B442" i="1"/>
  <c r="A442" i="1"/>
  <c r="AM441" i="1"/>
  <c r="AL441" i="1"/>
  <c r="AK441" i="1"/>
  <c r="AJ441" i="1"/>
  <c r="AI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Q441" i="1"/>
  <c r="P441" i="1"/>
  <c r="N441" i="1"/>
  <c r="H441" i="1"/>
  <c r="G441" i="1"/>
  <c r="F441" i="1"/>
  <c r="E441" i="1"/>
  <c r="D441" i="1"/>
  <c r="C441" i="1"/>
  <c r="B441" i="1"/>
  <c r="A441" i="1"/>
  <c r="AM440" i="1"/>
  <c r="AL440" i="1"/>
  <c r="AK440" i="1"/>
  <c r="AJ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N440" i="1"/>
  <c r="M440" i="1"/>
  <c r="J440" i="1"/>
  <c r="I440" i="1"/>
  <c r="H440" i="1"/>
  <c r="G440" i="1"/>
  <c r="F440" i="1"/>
  <c r="E440" i="1"/>
  <c r="D440" i="1"/>
  <c r="C440" i="1"/>
  <c r="B440" i="1"/>
  <c r="A440" i="1"/>
  <c r="AM439" i="1"/>
  <c r="AL439" i="1"/>
  <c r="AK439" i="1"/>
  <c r="AJ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P439" i="1"/>
  <c r="N439" i="1"/>
  <c r="H439" i="1"/>
  <c r="G439" i="1"/>
  <c r="F439" i="1"/>
  <c r="E439" i="1"/>
  <c r="D439" i="1"/>
  <c r="C439" i="1"/>
  <c r="B439" i="1"/>
  <c r="A439" i="1"/>
  <c r="AM438" i="1"/>
  <c r="AL438" i="1"/>
  <c r="AK438" i="1"/>
  <c r="AJ438" i="1"/>
  <c r="AI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N438" i="1"/>
  <c r="J438" i="1"/>
  <c r="I438" i="1"/>
  <c r="H438" i="1"/>
  <c r="G438" i="1"/>
  <c r="F438" i="1"/>
  <c r="E438" i="1"/>
  <c r="D438" i="1"/>
  <c r="C438" i="1"/>
  <c r="B438" i="1"/>
  <c r="A438" i="1"/>
  <c r="AM437" i="1"/>
  <c r="AL437" i="1"/>
  <c r="AK437" i="1"/>
  <c r="AJ437" i="1"/>
  <c r="AG437" i="1"/>
  <c r="AF437" i="1"/>
  <c r="AE437" i="1"/>
  <c r="AD437" i="1"/>
  <c r="AC437" i="1"/>
  <c r="AB437" i="1"/>
  <c r="Z437" i="1"/>
  <c r="Y437" i="1"/>
  <c r="X437" i="1"/>
  <c r="W437" i="1"/>
  <c r="V437" i="1"/>
  <c r="U437" i="1"/>
  <c r="T437" i="1"/>
  <c r="S437" i="1"/>
  <c r="R437" i="1"/>
  <c r="P437" i="1"/>
  <c r="N437" i="1"/>
  <c r="M437" i="1"/>
  <c r="J437" i="1"/>
  <c r="I437" i="1"/>
  <c r="H437" i="1"/>
  <c r="G437" i="1"/>
  <c r="F437" i="1"/>
  <c r="E437" i="1"/>
  <c r="D437" i="1"/>
  <c r="C437" i="1"/>
  <c r="B437" i="1"/>
  <c r="A437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P436" i="1"/>
  <c r="N436" i="1"/>
  <c r="H436" i="1"/>
  <c r="G436" i="1"/>
  <c r="F436" i="1"/>
  <c r="E436" i="1"/>
  <c r="D436" i="1"/>
  <c r="C436" i="1"/>
  <c r="B436" i="1"/>
  <c r="A436" i="1"/>
  <c r="AM435" i="1"/>
  <c r="AL435" i="1"/>
  <c r="AK435" i="1"/>
  <c r="AJ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Q435" i="1"/>
  <c r="P435" i="1"/>
  <c r="N435" i="1"/>
  <c r="H435" i="1"/>
  <c r="G435" i="1"/>
  <c r="F435" i="1"/>
  <c r="E435" i="1"/>
  <c r="D435" i="1"/>
  <c r="C435" i="1"/>
  <c r="B435" i="1"/>
  <c r="A435" i="1"/>
  <c r="AM434" i="1"/>
  <c r="AL434" i="1"/>
  <c r="AK434" i="1"/>
  <c r="AJ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Q434" i="1"/>
  <c r="P434" i="1"/>
  <c r="N434" i="1"/>
  <c r="H434" i="1"/>
  <c r="G434" i="1"/>
  <c r="F434" i="1"/>
  <c r="E434" i="1"/>
  <c r="D434" i="1"/>
  <c r="C434" i="1"/>
  <c r="B434" i="1"/>
  <c r="A434" i="1"/>
  <c r="AM433" i="1"/>
  <c r="AL433" i="1"/>
  <c r="AK433" i="1"/>
  <c r="AJ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Q433" i="1"/>
  <c r="P433" i="1"/>
  <c r="N433" i="1"/>
  <c r="H433" i="1"/>
  <c r="G433" i="1"/>
  <c r="F433" i="1"/>
  <c r="E433" i="1"/>
  <c r="D433" i="1"/>
  <c r="C433" i="1"/>
  <c r="B433" i="1"/>
  <c r="A433" i="1"/>
  <c r="AM432" i="1"/>
  <c r="AL432" i="1"/>
  <c r="AK432" i="1"/>
  <c r="AJ432" i="1"/>
  <c r="AH432" i="1"/>
  <c r="AG432" i="1"/>
  <c r="AF432" i="1"/>
  <c r="AE432" i="1"/>
  <c r="AD432" i="1"/>
  <c r="AC432" i="1"/>
  <c r="AB432" i="1"/>
  <c r="Y432" i="1"/>
  <c r="X432" i="1"/>
  <c r="W432" i="1"/>
  <c r="V432" i="1"/>
  <c r="U432" i="1"/>
  <c r="T432" i="1"/>
  <c r="P432" i="1"/>
  <c r="N432" i="1"/>
  <c r="H432" i="1"/>
  <c r="G432" i="1"/>
  <c r="F432" i="1"/>
  <c r="E432" i="1"/>
  <c r="D432" i="1"/>
  <c r="C432" i="1"/>
  <c r="B432" i="1"/>
  <c r="A432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P431" i="1"/>
  <c r="N431" i="1"/>
  <c r="J431" i="1"/>
  <c r="I431" i="1"/>
  <c r="H431" i="1"/>
  <c r="G431" i="1"/>
  <c r="F431" i="1"/>
  <c r="E431" i="1"/>
  <c r="D431" i="1"/>
  <c r="C431" i="1"/>
  <c r="B431" i="1"/>
  <c r="A431" i="1"/>
  <c r="AM430" i="1"/>
  <c r="AL430" i="1"/>
  <c r="AK430" i="1"/>
  <c r="AJ430" i="1"/>
  <c r="AH430" i="1"/>
  <c r="AG430" i="1"/>
  <c r="AF430" i="1"/>
  <c r="AE430" i="1"/>
  <c r="AD430" i="1"/>
  <c r="AC430" i="1"/>
  <c r="AB430" i="1"/>
  <c r="Y430" i="1"/>
  <c r="X430" i="1"/>
  <c r="W430" i="1"/>
  <c r="V430" i="1"/>
  <c r="U430" i="1"/>
  <c r="T430" i="1"/>
  <c r="P430" i="1"/>
  <c r="N430" i="1"/>
  <c r="H430" i="1"/>
  <c r="G430" i="1"/>
  <c r="F430" i="1"/>
  <c r="E430" i="1"/>
  <c r="D430" i="1"/>
  <c r="C430" i="1"/>
  <c r="B430" i="1"/>
  <c r="A430" i="1"/>
  <c r="AM429" i="1"/>
  <c r="AL429" i="1"/>
  <c r="AK429" i="1"/>
  <c r="AJ429" i="1"/>
  <c r="AG429" i="1"/>
  <c r="AF429" i="1"/>
  <c r="AE429" i="1"/>
  <c r="AD429" i="1"/>
  <c r="AC429" i="1"/>
  <c r="AB429" i="1"/>
  <c r="Y429" i="1"/>
  <c r="X429" i="1"/>
  <c r="W429" i="1"/>
  <c r="V429" i="1"/>
  <c r="U429" i="1"/>
  <c r="T429" i="1"/>
  <c r="P429" i="1"/>
  <c r="N429" i="1"/>
  <c r="H429" i="1"/>
  <c r="G429" i="1"/>
  <c r="F429" i="1"/>
  <c r="E429" i="1"/>
  <c r="D429" i="1"/>
  <c r="C429" i="1"/>
  <c r="B429" i="1"/>
  <c r="A429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P428" i="1"/>
  <c r="N428" i="1"/>
  <c r="H428" i="1"/>
  <c r="G428" i="1"/>
  <c r="F428" i="1"/>
  <c r="E428" i="1"/>
  <c r="D428" i="1"/>
  <c r="C428" i="1"/>
  <c r="B428" i="1"/>
  <c r="A428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Z427" i="1"/>
  <c r="Y427" i="1"/>
  <c r="X427" i="1"/>
  <c r="W427" i="1"/>
  <c r="V427" i="1"/>
  <c r="U427" i="1"/>
  <c r="T427" i="1"/>
  <c r="R427" i="1"/>
  <c r="Q427" i="1"/>
  <c r="P427" i="1"/>
  <c r="N427" i="1"/>
  <c r="J427" i="1"/>
  <c r="I427" i="1"/>
  <c r="H427" i="1"/>
  <c r="G427" i="1"/>
  <c r="F427" i="1"/>
  <c r="E427" i="1"/>
  <c r="D427" i="1"/>
  <c r="C427" i="1"/>
  <c r="B427" i="1"/>
  <c r="A427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Z426" i="1"/>
  <c r="Y426" i="1"/>
  <c r="X426" i="1"/>
  <c r="W426" i="1"/>
  <c r="V426" i="1"/>
  <c r="U426" i="1"/>
  <c r="T426" i="1"/>
  <c r="R426" i="1"/>
  <c r="Q426" i="1"/>
  <c r="P426" i="1"/>
  <c r="N426" i="1"/>
  <c r="M426" i="1"/>
  <c r="J426" i="1"/>
  <c r="I426" i="1"/>
  <c r="H426" i="1"/>
  <c r="G426" i="1"/>
  <c r="F426" i="1"/>
  <c r="E426" i="1"/>
  <c r="D426" i="1"/>
  <c r="C426" i="1"/>
  <c r="B426" i="1"/>
  <c r="A426" i="1"/>
  <c r="AM425" i="1"/>
  <c r="AL425" i="1"/>
  <c r="AK425" i="1"/>
  <c r="AJ425" i="1"/>
  <c r="AI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P425" i="1"/>
  <c r="N425" i="1"/>
  <c r="H425" i="1"/>
  <c r="G425" i="1"/>
  <c r="F425" i="1"/>
  <c r="E425" i="1"/>
  <c r="D425" i="1"/>
  <c r="C425" i="1"/>
  <c r="B425" i="1"/>
  <c r="A425" i="1"/>
  <c r="AM424" i="1"/>
  <c r="AL424" i="1"/>
  <c r="AK424" i="1"/>
  <c r="AJ424" i="1"/>
  <c r="AI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P424" i="1"/>
  <c r="N424" i="1"/>
  <c r="J424" i="1"/>
  <c r="I424" i="1"/>
  <c r="H424" i="1"/>
  <c r="G424" i="1"/>
  <c r="F424" i="1"/>
  <c r="E424" i="1"/>
  <c r="D424" i="1"/>
  <c r="C424" i="1"/>
  <c r="B424" i="1"/>
  <c r="A424" i="1"/>
  <c r="AM423" i="1"/>
  <c r="AL423" i="1"/>
  <c r="AK423" i="1"/>
  <c r="AJ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Q423" i="1"/>
  <c r="P423" i="1"/>
  <c r="N423" i="1"/>
  <c r="H423" i="1"/>
  <c r="G423" i="1"/>
  <c r="F423" i="1"/>
  <c r="E423" i="1"/>
  <c r="D423" i="1"/>
  <c r="C423" i="1"/>
  <c r="B423" i="1"/>
  <c r="A423" i="1"/>
  <c r="AM422" i="1"/>
  <c r="AL422" i="1"/>
  <c r="AK422" i="1"/>
  <c r="AJ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P422" i="1"/>
  <c r="N422" i="1"/>
  <c r="H422" i="1"/>
  <c r="G422" i="1"/>
  <c r="F422" i="1"/>
  <c r="E422" i="1"/>
  <c r="D422" i="1"/>
  <c r="C422" i="1"/>
  <c r="B422" i="1"/>
  <c r="A422" i="1"/>
  <c r="AM421" i="1"/>
  <c r="AL421" i="1"/>
  <c r="AK421" i="1"/>
  <c r="AJ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P421" i="1"/>
  <c r="N421" i="1"/>
  <c r="H421" i="1"/>
  <c r="G421" i="1"/>
  <c r="F421" i="1"/>
  <c r="E421" i="1"/>
  <c r="D421" i="1"/>
  <c r="C421" i="1"/>
  <c r="B421" i="1"/>
  <c r="A421" i="1"/>
  <c r="AM420" i="1"/>
  <c r="AK420" i="1"/>
  <c r="AJ420" i="1"/>
  <c r="AH420" i="1"/>
  <c r="AF420" i="1"/>
  <c r="AD420" i="1"/>
  <c r="AB420" i="1"/>
  <c r="Z420" i="1"/>
  <c r="X420" i="1"/>
  <c r="V420" i="1"/>
  <c r="T420" i="1"/>
  <c r="Q420" i="1"/>
  <c r="P420" i="1"/>
  <c r="N420" i="1"/>
  <c r="H420" i="1"/>
  <c r="G420" i="1"/>
  <c r="F420" i="1"/>
  <c r="E420" i="1"/>
  <c r="D420" i="1"/>
  <c r="C420" i="1"/>
  <c r="B420" i="1"/>
  <c r="A420" i="1"/>
  <c r="AM419" i="1"/>
  <c r="AK419" i="1"/>
  <c r="AJ419" i="1"/>
  <c r="AH419" i="1"/>
  <c r="AF419" i="1"/>
  <c r="AD419" i="1"/>
  <c r="AB419" i="1"/>
  <c r="Z419" i="1"/>
  <c r="X419" i="1"/>
  <c r="V419" i="1"/>
  <c r="T419" i="1"/>
  <c r="S419" i="1"/>
  <c r="R419" i="1"/>
  <c r="Q419" i="1"/>
  <c r="P419" i="1"/>
  <c r="N419" i="1"/>
  <c r="J419" i="1"/>
  <c r="I419" i="1"/>
  <c r="H419" i="1"/>
  <c r="G419" i="1"/>
  <c r="F419" i="1"/>
  <c r="E419" i="1"/>
  <c r="D419" i="1"/>
  <c r="C419" i="1"/>
  <c r="B419" i="1"/>
  <c r="A419" i="1"/>
  <c r="AM418" i="1"/>
  <c r="AK418" i="1"/>
  <c r="AJ418" i="1"/>
  <c r="AH418" i="1"/>
  <c r="AF418" i="1"/>
  <c r="AD418" i="1"/>
  <c r="AB418" i="1"/>
  <c r="Z418" i="1"/>
  <c r="X418" i="1"/>
  <c r="V418" i="1"/>
  <c r="T418" i="1"/>
  <c r="S418" i="1"/>
  <c r="R418" i="1"/>
  <c r="Q418" i="1"/>
  <c r="P418" i="1"/>
  <c r="N418" i="1"/>
  <c r="J418" i="1"/>
  <c r="I418" i="1"/>
  <c r="H418" i="1"/>
  <c r="G418" i="1"/>
  <c r="F418" i="1"/>
  <c r="E418" i="1"/>
  <c r="D418" i="1"/>
  <c r="C418" i="1"/>
  <c r="B418" i="1"/>
  <c r="A418" i="1"/>
  <c r="AM417" i="1"/>
  <c r="AL417" i="1"/>
  <c r="AK417" i="1"/>
  <c r="AJ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P417" i="1"/>
  <c r="N417" i="1"/>
  <c r="M417" i="1"/>
  <c r="J417" i="1"/>
  <c r="I417" i="1"/>
  <c r="H417" i="1"/>
  <c r="G417" i="1"/>
  <c r="F417" i="1"/>
  <c r="E417" i="1"/>
  <c r="D417" i="1"/>
  <c r="C417" i="1"/>
  <c r="B417" i="1"/>
  <c r="A417" i="1"/>
  <c r="AM416" i="1"/>
  <c r="AL416" i="1"/>
  <c r="AK416" i="1"/>
  <c r="AJ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R416" i="1"/>
  <c r="P416" i="1"/>
  <c r="N416" i="1"/>
  <c r="J416" i="1"/>
  <c r="I416" i="1"/>
  <c r="H416" i="1"/>
  <c r="G416" i="1"/>
  <c r="F416" i="1"/>
  <c r="E416" i="1"/>
  <c r="D416" i="1"/>
  <c r="C416" i="1"/>
  <c r="B416" i="1"/>
  <c r="A416" i="1"/>
  <c r="AM415" i="1"/>
  <c r="AL415" i="1"/>
  <c r="AK415" i="1"/>
  <c r="AJ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R415" i="1"/>
  <c r="P415" i="1"/>
  <c r="N415" i="1"/>
  <c r="J415" i="1"/>
  <c r="I415" i="1"/>
  <c r="H415" i="1"/>
  <c r="G415" i="1"/>
  <c r="F415" i="1"/>
  <c r="E415" i="1"/>
  <c r="D415" i="1"/>
  <c r="C415" i="1"/>
  <c r="B415" i="1"/>
  <c r="A415" i="1"/>
  <c r="AM414" i="1"/>
  <c r="AL414" i="1"/>
  <c r="AK414" i="1"/>
  <c r="AJ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R414" i="1"/>
  <c r="P414" i="1"/>
  <c r="N414" i="1"/>
  <c r="M414" i="1"/>
  <c r="K414" i="1"/>
  <c r="J414" i="1"/>
  <c r="I414" i="1"/>
  <c r="H414" i="1"/>
  <c r="G414" i="1"/>
  <c r="F414" i="1"/>
  <c r="E414" i="1"/>
  <c r="D414" i="1"/>
  <c r="C414" i="1"/>
  <c r="B414" i="1"/>
  <c r="A414" i="1"/>
  <c r="AM413" i="1"/>
  <c r="AK413" i="1"/>
  <c r="AJ413" i="1"/>
  <c r="AF413" i="1"/>
  <c r="AD413" i="1"/>
  <c r="AB413" i="1"/>
  <c r="X413" i="1"/>
  <c r="V413" i="1"/>
  <c r="T413" i="1"/>
  <c r="R413" i="1"/>
  <c r="P413" i="1"/>
  <c r="N413" i="1"/>
  <c r="M413" i="1"/>
  <c r="J413" i="1"/>
  <c r="I413" i="1"/>
  <c r="H413" i="1"/>
  <c r="G413" i="1"/>
  <c r="F413" i="1"/>
  <c r="E413" i="1"/>
  <c r="D413" i="1"/>
  <c r="C413" i="1"/>
  <c r="B413" i="1"/>
  <c r="A413" i="1"/>
  <c r="AM412" i="1"/>
  <c r="AK412" i="1"/>
  <c r="AJ412" i="1"/>
  <c r="AF412" i="1"/>
  <c r="AD412" i="1"/>
  <c r="AB412" i="1"/>
  <c r="Z412" i="1"/>
  <c r="X412" i="1"/>
  <c r="V412" i="1"/>
  <c r="T412" i="1"/>
  <c r="R412" i="1"/>
  <c r="P412" i="1"/>
  <c r="N412" i="1"/>
  <c r="J412" i="1"/>
  <c r="I412" i="1"/>
  <c r="H412" i="1"/>
  <c r="G412" i="1"/>
  <c r="F412" i="1"/>
  <c r="E412" i="1"/>
  <c r="D412" i="1"/>
  <c r="C412" i="1"/>
  <c r="B412" i="1"/>
  <c r="A412" i="1"/>
  <c r="AM411" i="1"/>
  <c r="AK411" i="1"/>
  <c r="AJ411" i="1"/>
  <c r="AF411" i="1"/>
  <c r="AD411" i="1"/>
  <c r="AB411" i="1"/>
  <c r="Z411" i="1"/>
  <c r="X411" i="1"/>
  <c r="V411" i="1"/>
  <c r="T411" i="1"/>
  <c r="P411" i="1"/>
  <c r="N411" i="1"/>
  <c r="H411" i="1"/>
  <c r="G411" i="1"/>
  <c r="F411" i="1"/>
  <c r="E411" i="1"/>
  <c r="D411" i="1"/>
  <c r="C411" i="1"/>
  <c r="B411" i="1"/>
  <c r="A411" i="1"/>
  <c r="AM410" i="1"/>
  <c r="AL410" i="1"/>
  <c r="AK410" i="1"/>
  <c r="AJ410" i="1"/>
  <c r="AG410" i="1"/>
  <c r="AF410" i="1"/>
  <c r="AE410" i="1"/>
  <c r="AD410" i="1"/>
  <c r="AC410" i="1"/>
  <c r="AB410" i="1"/>
  <c r="AA410" i="1"/>
  <c r="Y410" i="1"/>
  <c r="X410" i="1"/>
  <c r="W410" i="1"/>
  <c r="V410" i="1"/>
  <c r="U410" i="1"/>
  <c r="T410" i="1"/>
  <c r="R410" i="1"/>
  <c r="P410" i="1"/>
  <c r="N410" i="1"/>
  <c r="J410" i="1"/>
  <c r="I410" i="1"/>
  <c r="H410" i="1"/>
  <c r="G410" i="1"/>
  <c r="F410" i="1"/>
  <c r="E410" i="1"/>
  <c r="D410" i="1"/>
  <c r="C410" i="1"/>
  <c r="B410" i="1"/>
  <c r="A410" i="1"/>
  <c r="AM409" i="1"/>
  <c r="AL409" i="1"/>
  <c r="AK409" i="1"/>
  <c r="AJ409" i="1"/>
  <c r="AG409" i="1"/>
  <c r="AF409" i="1"/>
  <c r="AE409" i="1"/>
  <c r="AD409" i="1"/>
  <c r="AC409" i="1"/>
  <c r="AB409" i="1"/>
  <c r="AA409" i="1"/>
  <c r="Y409" i="1"/>
  <c r="X409" i="1"/>
  <c r="W409" i="1"/>
  <c r="V409" i="1"/>
  <c r="U409" i="1"/>
  <c r="T409" i="1"/>
  <c r="R409" i="1"/>
  <c r="P409" i="1"/>
  <c r="N409" i="1"/>
  <c r="J409" i="1"/>
  <c r="I409" i="1"/>
  <c r="H409" i="1"/>
  <c r="G409" i="1"/>
  <c r="F409" i="1"/>
  <c r="E409" i="1"/>
  <c r="D409" i="1"/>
  <c r="C409" i="1"/>
  <c r="B409" i="1"/>
  <c r="A409" i="1"/>
  <c r="AM408" i="1"/>
  <c r="AL408" i="1"/>
  <c r="AK408" i="1"/>
  <c r="AJ408" i="1"/>
  <c r="AG408" i="1"/>
  <c r="AF408" i="1"/>
  <c r="AE408" i="1"/>
  <c r="AD408" i="1"/>
  <c r="AC408" i="1"/>
  <c r="AB408" i="1"/>
  <c r="AA408" i="1"/>
  <c r="Y408" i="1"/>
  <c r="X408" i="1"/>
  <c r="W408" i="1"/>
  <c r="V408" i="1"/>
  <c r="U408" i="1"/>
  <c r="T408" i="1"/>
  <c r="P408" i="1"/>
  <c r="N408" i="1"/>
  <c r="H408" i="1"/>
  <c r="G408" i="1"/>
  <c r="F408" i="1"/>
  <c r="E408" i="1"/>
  <c r="D408" i="1"/>
  <c r="C408" i="1"/>
  <c r="B408" i="1"/>
  <c r="A408" i="1"/>
  <c r="AM407" i="1"/>
  <c r="AK407" i="1"/>
  <c r="AJ407" i="1"/>
  <c r="AF407" i="1"/>
  <c r="AD407" i="1"/>
  <c r="AB407" i="1"/>
  <c r="Z407" i="1"/>
  <c r="X407" i="1"/>
  <c r="V407" i="1"/>
  <c r="T407" i="1"/>
  <c r="P407" i="1"/>
  <c r="N407" i="1"/>
  <c r="H407" i="1"/>
  <c r="G407" i="1"/>
  <c r="F407" i="1"/>
  <c r="E407" i="1"/>
  <c r="D407" i="1"/>
  <c r="C407" i="1"/>
  <c r="B407" i="1"/>
  <c r="A407" i="1"/>
  <c r="AM406" i="1"/>
  <c r="AL406" i="1"/>
  <c r="AK406" i="1"/>
  <c r="AJ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P406" i="1"/>
  <c r="N406" i="1"/>
  <c r="J406" i="1"/>
  <c r="I406" i="1"/>
  <c r="H406" i="1"/>
  <c r="G406" i="1"/>
  <c r="F406" i="1"/>
  <c r="E406" i="1"/>
  <c r="D406" i="1"/>
  <c r="C406" i="1"/>
  <c r="B406" i="1"/>
  <c r="A406" i="1"/>
  <c r="AM405" i="1"/>
  <c r="AL405" i="1"/>
  <c r="AK405" i="1"/>
  <c r="AJ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R405" i="1"/>
  <c r="P405" i="1"/>
  <c r="N405" i="1"/>
  <c r="J405" i="1"/>
  <c r="I405" i="1"/>
  <c r="H405" i="1"/>
  <c r="G405" i="1"/>
  <c r="F405" i="1"/>
  <c r="E405" i="1"/>
  <c r="D405" i="1"/>
  <c r="C405" i="1"/>
  <c r="B405" i="1"/>
  <c r="A405" i="1"/>
  <c r="AM404" i="1"/>
  <c r="AL404" i="1"/>
  <c r="AK404" i="1"/>
  <c r="AJ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P404" i="1"/>
  <c r="N404" i="1"/>
  <c r="H404" i="1"/>
  <c r="G404" i="1"/>
  <c r="F404" i="1"/>
  <c r="E404" i="1"/>
  <c r="D404" i="1"/>
  <c r="C404" i="1"/>
  <c r="B404" i="1"/>
  <c r="A404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Q403" i="1"/>
  <c r="P403" i="1"/>
  <c r="N403" i="1"/>
  <c r="H403" i="1"/>
  <c r="G403" i="1"/>
  <c r="F403" i="1"/>
  <c r="E403" i="1"/>
  <c r="D403" i="1"/>
  <c r="C403" i="1"/>
  <c r="B403" i="1"/>
  <c r="A403" i="1"/>
  <c r="AM402" i="1"/>
  <c r="AL402" i="1"/>
  <c r="AK402" i="1"/>
  <c r="AJ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P402" i="1"/>
  <c r="N402" i="1"/>
  <c r="H402" i="1"/>
  <c r="G402" i="1"/>
  <c r="F402" i="1"/>
  <c r="E402" i="1"/>
  <c r="D402" i="1"/>
  <c r="C402" i="1"/>
  <c r="B402" i="1"/>
  <c r="A402" i="1"/>
  <c r="AM401" i="1"/>
  <c r="AL401" i="1"/>
  <c r="AK401" i="1"/>
  <c r="AJ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R401" i="1"/>
  <c r="P401" i="1"/>
  <c r="N401" i="1"/>
  <c r="J401" i="1"/>
  <c r="I401" i="1"/>
  <c r="H401" i="1"/>
  <c r="G401" i="1"/>
  <c r="F401" i="1"/>
  <c r="E401" i="1"/>
  <c r="D401" i="1"/>
  <c r="C401" i="1"/>
  <c r="B401" i="1"/>
  <c r="A401" i="1"/>
  <c r="AM400" i="1"/>
  <c r="AL400" i="1"/>
  <c r="AK400" i="1"/>
  <c r="AJ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P400" i="1"/>
  <c r="N400" i="1"/>
  <c r="H400" i="1"/>
  <c r="G400" i="1"/>
  <c r="F400" i="1"/>
  <c r="E400" i="1"/>
  <c r="D400" i="1"/>
  <c r="C400" i="1"/>
  <c r="B400" i="1"/>
  <c r="A400" i="1"/>
  <c r="AM399" i="1"/>
  <c r="AL399" i="1"/>
  <c r="AK399" i="1"/>
  <c r="AJ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P399" i="1"/>
  <c r="N399" i="1"/>
  <c r="H399" i="1"/>
  <c r="G399" i="1"/>
  <c r="F399" i="1"/>
  <c r="E399" i="1"/>
  <c r="D399" i="1"/>
  <c r="C399" i="1"/>
  <c r="B399" i="1"/>
  <c r="A399" i="1"/>
  <c r="AM398" i="1"/>
  <c r="AL398" i="1"/>
  <c r="AK398" i="1"/>
  <c r="AJ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P398" i="1"/>
  <c r="N398" i="1"/>
  <c r="H398" i="1"/>
  <c r="G398" i="1"/>
  <c r="F398" i="1"/>
  <c r="E398" i="1"/>
  <c r="D398" i="1"/>
  <c r="C398" i="1"/>
  <c r="B398" i="1"/>
  <c r="A398" i="1"/>
  <c r="AM397" i="1"/>
  <c r="AL397" i="1"/>
  <c r="AK397" i="1"/>
  <c r="AJ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R397" i="1"/>
  <c r="P397" i="1"/>
  <c r="N397" i="1"/>
  <c r="M397" i="1"/>
  <c r="J397" i="1"/>
  <c r="I397" i="1"/>
  <c r="H397" i="1"/>
  <c r="G397" i="1"/>
  <c r="F397" i="1"/>
  <c r="E397" i="1"/>
  <c r="D397" i="1"/>
  <c r="C397" i="1"/>
  <c r="B397" i="1"/>
  <c r="A397" i="1"/>
  <c r="AM396" i="1"/>
  <c r="AL396" i="1"/>
  <c r="AK396" i="1"/>
  <c r="AJ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P396" i="1"/>
  <c r="N396" i="1"/>
  <c r="J396" i="1"/>
  <c r="I396" i="1"/>
  <c r="H396" i="1"/>
  <c r="G396" i="1"/>
  <c r="F396" i="1"/>
  <c r="E396" i="1"/>
  <c r="D396" i="1"/>
  <c r="C396" i="1"/>
  <c r="B396" i="1"/>
  <c r="A396" i="1"/>
  <c r="AM395" i="1"/>
  <c r="AL395" i="1"/>
  <c r="AK395" i="1"/>
  <c r="AJ395" i="1"/>
  <c r="AG395" i="1"/>
  <c r="AF395" i="1"/>
  <c r="AE395" i="1"/>
  <c r="AD395" i="1"/>
  <c r="AC395" i="1"/>
  <c r="AB395" i="1"/>
  <c r="AA395" i="1"/>
  <c r="Y395" i="1"/>
  <c r="X395" i="1"/>
  <c r="W395" i="1"/>
  <c r="V395" i="1"/>
  <c r="U395" i="1"/>
  <c r="T395" i="1"/>
  <c r="R395" i="1"/>
  <c r="P395" i="1"/>
  <c r="N395" i="1"/>
  <c r="J395" i="1"/>
  <c r="I395" i="1"/>
  <c r="H395" i="1"/>
  <c r="G395" i="1"/>
  <c r="F395" i="1"/>
  <c r="E395" i="1"/>
  <c r="D395" i="1"/>
  <c r="C395" i="1"/>
  <c r="B395" i="1"/>
  <c r="A395" i="1"/>
  <c r="AM394" i="1"/>
  <c r="AL394" i="1"/>
  <c r="AK394" i="1"/>
  <c r="AJ394" i="1"/>
  <c r="AI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R394" i="1"/>
  <c r="P394" i="1"/>
  <c r="N394" i="1"/>
  <c r="M394" i="1"/>
  <c r="J394" i="1"/>
  <c r="I394" i="1"/>
  <c r="H394" i="1"/>
  <c r="G394" i="1"/>
  <c r="F394" i="1"/>
  <c r="E394" i="1"/>
  <c r="D394" i="1"/>
  <c r="C394" i="1"/>
  <c r="B394" i="1"/>
  <c r="A394" i="1"/>
  <c r="AM393" i="1"/>
  <c r="AL393" i="1"/>
  <c r="AK393" i="1"/>
  <c r="AJ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P393" i="1"/>
  <c r="N393" i="1"/>
  <c r="H393" i="1"/>
  <c r="G393" i="1"/>
  <c r="F393" i="1"/>
  <c r="E393" i="1"/>
  <c r="D393" i="1"/>
  <c r="C393" i="1"/>
  <c r="B393" i="1"/>
  <c r="A393" i="1"/>
  <c r="AM392" i="1"/>
  <c r="AL392" i="1"/>
  <c r="AK392" i="1"/>
  <c r="AJ392" i="1"/>
  <c r="AG392" i="1"/>
  <c r="AF392" i="1"/>
  <c r="AE392" i="1"/>
  <c r="AD392" i="1"/>
  <c r="AC392" i="1"/>
  <c r="AB392" i="1"/>
  <c r="Y392" i="1"/>
  <c r="W392" i="1"/>
  <c r="V392" i="1"/>
  <c r="U392" i="1"/>
  <c r="T392" i="1"/>
  <c r="S392" i="1"/>
  <c r="R392" i="1"/>
  <c r="P392" i="1"/>
  <c r="N392" i="1"/>
  <c r="M392" i="1"/>
  <c r="J392" i="1"/>
  <c r="I392" i="1"/>
  <c r="H392" i="1"/>
  <c r="G392" i="1"/>
  <c r="F392" i="1"/>
  <c r="E392" i="1"/>
  <c r="D392" i="1"/>
  <c r="C392" i="1"/>
  <c r="B392" i="1"/>
  <c r="A392" i="1"/>
  <c r="AM391" i="1"/>
  <c r="AL391" i="1"/>
  <c r="AK391" i="1"/>
  <c r="AJ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P391" i="1"/>
  <c r="N391" i="1"/>
  <c r="H391" i="1"/>
  <c r="G391" i="1"/>
  <c r="F391" i="1"/>
  <c r="E391" i="1"/>
  <c r="D391" i="1"/>
  <c r="C391" i="1"/>
  <c r="B391" i="1"/>
  <c r="A391" i="1"/>
  <c r="AM390" i="1"/>
  <c r="AL390" i="1"/>
  <c r="AK390" i="1"/>
  <c r="AJ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R390" i="1"/>
  <c r="P390" i="1"/>
  <c r="N390" i="1"/>
  <c r="M390" i="1"/>
  <c r="J390" i="1"/>
  <c r="I390" i="1"/>
  <c r="H390" i="1"/>
  <c r="G390" i="1"/>
  <c r="F390" i="1"/>
  <c r="E390" i="1"/>
  <c r="D390" i="1"/>
  <c r="C390" i="1"/>
  <c r="B390" i="1"/>
  <c r="A390" i="1"/>
  <c r="AM389" i="1"/>
  <c r="AL389" i="1"/>
  <c r="AK389" i="1"/>
  <c r="AJ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P389" i="1"/>
  <c r="N389" i="1"/>
  <c r="J389" i="1"/>
  <c r="I389" i="1"/>
  <c r="H389" i="1"/>
  <c r="G389" i="1"/>
  <c r="F389" i="1"/>
  <c r="E389" i="1"/>
  <c r="D389" i="1"/>
  <c r="C389" i="1"/>
  <c r="B389" i="1"/>
  <c r="A389" i="1"/>
  <c r="AM388" i="1"/>
  <c r="AL388" i="1"/>
  <c r="AK388" i="1"/>
  <c r="AJ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R388" i="1"/>
  <c r="P388" i="1"/>
  <c r="N388" i="1"/>
  <c r="J388" i="1"/>
  <c r="I388" i="1"/>
  <c r="H388" i="1"/>
  <c r="G388" i="1"/>
  <c r="F388" i="1"/>
  <c r="E388" i="1"/>
  <c r="D388" i="1"/>
  <c r="C388" i="1"/>
  <c r="B388" i="1"/>
  <c r="A388" i="1"/>
  <c r="AM387" i="1"/>
  <c r="AL387" i="1"/>
  <c r="AK387" i="1"/>
  <c r="AJ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P387" i="1"/>
  <c r="N387" i="1"/>
  <c r="J387" i="1"/>
  <c r="I387" i="1"/>
  <c r="H387" i="1"/>
  <c r="G387" i="1"/>
  <c r="F387" i="1"/>
  <c r="E387" i="1"/>
  <c r="D387" i="1"/>
  <c r="C387" i="1"/>
  <c r="B387" i="1"/>
  <c r="A387" i="1"/>
  <c r="AM386" i="1"/>
  <c r="AL386" i="1"/>
  <c r="AK386" i="1"/>
  <c r="AJ386" i="1"/>
  <c r="AI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N386" i="1"/>
  <c r="J386" i="1"/>
  <c r="I386" i="1"/>
  <c r="H386" i="1"/>
  <c r="G386" i="1"/>
  <c r="F386" i="1"/>
  <c r="E386" i="1"/>
  <c r="D386" i="1"/>
  <c r="C386" i="1"/>
  <c r="B386" i="1"/>
  <c r="A386" i="1"/>
  <c r="AM385" i="1"/>
  <c r="AL385" i="1"/>
  <c r="AK385" i="1"/>
  <c r="AJ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N385" i="1"/>
  <c r="J385" i="1"/>
  <c r="I385" i="1"/>
  <c r="H385" i="1"/>
  <c r="G385" i="1"/>
  <c r="F385" i="1"/>
  <c r="E385" i="1"/>
  <c r="D385" i="1"/>
  <c r="C385" i="1"/>
  <c r="B385" i="1"/>
  <c r="A385" i="1"/>
  <c r="AM384" i="1"/>
  <c r="AL384" i="1"/>
  <c r="AK384" i="1"/>
  <c r="AJ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Q384" i="1"/>
  <c r="P384" i="1"/>
  <c r="N384" i="1"/>
  <c r="H384" i="1"/>
  <c r="G384" i="1"/>
  <c r="F384" i="1"/>
  <c r="E384" i="1"/>
  <c r="D384" i="1"/>
  <c r="C384" i="1"/>
  <c r="B384" i="1"/>
  <c r="A384" i="1"/>
  <c r="AM383" i="1"/>
  <c r="AL383" i="1"/>
  <c r="AK383" i="1"/>
  <c r="AJ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R383" i="1"/>
  <c r="P383" i="1"/>
  <c r="N383" i="1"/>
  <c r="M383" i="1"/>
  <c r="J383" i="1"/>
  <c r="I383" i="1"/>
  <c r="H383" i="1"/>
  <c r="G383" i="1"/>
  <c r="F383" i="1"/>
  <c r="E383" i="1"/>
  <c r="D383" i="1"/>
  <c r="C383" i="1"/>
  <c r="B383" i="1"/>
  <c r="A383" i="1"/>
  <c r="AM382" i="1"/>
  <c r="AL382" i="1"/>
  <c r="AK382" i="1"/>
  <c r="AJ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R382" i="1"/>
  <c r="P382" i="1"/>
  <c r="N382" i="1"/>
  <c r="J382" i="1"/>
  <c r="I382" i="1"/>
  <c r="H382" i="1"/>
  <c r="G382" i="1"/>
  <c r="F382" i="1"/>
  <c r="E382" i="1"/>
  <c r="D382" i="1"/>
  <c r="C382" i="1"/>
  <c r="B382" i="1"/>
  <c r="A382" i="1"/>
  <c r="AM381" i="1"/>
  <c r="AL381" i="1"/>
  <c r="AK381" i="1"/>
  <c r="AJ381" i="1"/>
  <c r="AH381" i="1"/>
  <c r="AG381" i="1"/>
  <c r="AF381" i="1"/>
  <c r="AE381" i="1"/>
  <c r="AD381" i="1"/>
  <c r="AC381" i="1"/>
  <c r="AB381" i="1"/>
  <c r="AA381" i="1"/>
  <c r="Y381" i="1"/>
  <c r="X381" i="1"/>
  <c r="W381" i="1"/>
  <c r="V381" i="1"/>
  <c r="U381" i="1"/>
  <c r="T381" i="1"/>
  <c r="R381" i="1"/>
  <c r="Q381" i="1"/>
  <c r="P381" i="1"/>
  <c r="N381" i="1"/>
  <c r="M381" i="1"/>
  <c r="J381" i="1"/>
  <c r="I381" i="1"/>
  <c r="H381" i="1"/>
  <c r="G381" i="1"/>
  <c r="F381" i="1"/>
  <c r="E381" i="1"/>
  <c r="D381" i="1"/>
  <c r="C381" i="1"/>
  <c r="B381" i="1"/>
  <c r="A381" i="1"/>
  <c r="AM380" i="1"/>
  <c r="AL380" i="1"/>
  <c r="AK380" i="1"/>
  <c r="AJ380" i="1"/>
  <c r="AG380" i="1"/>
  <c r="AF380" i="1"/>
  <c r="AE380" i="1"/>
  <c r="AD380" i="1"/>
  <c r="AC380" i="1"/>
  <c r="AB380" i="1"/>
  <c r="Y380" i="1"/>
  <c r="X380" i="1"/>
  <c r="W380" i="1"/>
  <c r="V380" i="1"/>
  <c r="U380" i="1"/>
  <c r="T380" i="1"/>
  <c r="S380" i="1"/>
  <c r="R380" i="1"/>
  <c r="Q380" i="1"/>
  <c r="P380" i="1"/>
  <c r="N380" i="1"/>
  <c r="M380" i="1"/>
  <c r="J380" i="1"/>
  <c r="I380" i="1"/>
  <c r="H380" i="1"/>
  <c r="G380" i="1"/>
  <c r="F380" i="1"/>
  <c r="E380" i="1"/>
  <c r="D380" i="1"/>
  <c r="C380" i="1"/>
  <c r="B380" i="1"/>
  <c r="A380" i="1"/>
  <c r="AM379" i="1"/>
  <c r="AL379" i="1"/>
  <c r="AK379" i="1"/>
  <c r="AJ379" i="1"/>
  <c r="AG379" i="1"/>
  <c r="AF379" i="1"/>
  <c r="AE379" i="1"/>
  <c r="AD379" i="1"/>
  <c r="AC379" i="1"/>
  <c r="AB379" i="1"/>
  <c r="Y379" i="1"/>
  <c r="X379" i="1"/>
  <c r="W379" i="1"/>
  <c r="V379" i="1"/>
  <c r="U379" i="1"/>
  <c r="T379" i="1"/>
  <c r="R379" i="1"/>
  <c r="Q379" i="1"/>
  <c r="P379" i="1"/>
  <c r="N379" i="1"/>
  <c r="J379" i="1"/>
  <c r="I379" i="1"/>
  <c r="H379" i="1"/>
  <c r="G379" i="1"/>
  <c r="F379" i="1"/>
  <c r="E379" i="1"/>
  <c r="D379" i="1"/>
  <c r="C379" i="1"/>
  <c r="B379" i="1"/>
  <c r="A379" i="1"/>
  <c r="AM378" i="1"/>
  <c r="AL378" i="1"/>
  <c r="AK378" i="1"/>
  <c r="AJ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P378" i="1"/>
  <c r="N378" i="1"/>
  <c r="J378" i="1"/>
  <c r="I378" i="1"/>
  <c r="H378" i="1"/>
  <c r="G378" i="1"/>
  <c r="F378" i="1"/>
  <c r="E378" i="1"/>
  <c r="D378" i="1"/>
  <c r="C378" i="1"/>
  <c r="B378" i="1"/>
  <c r="A378" i="1"/>
  <c r="AM377" i="1"/>
  <c r="AL377" i="1"/>
  <c r="AK377" i="1"/>
  <c r="AJ377" i="1"/>
  <c r="AG377" i="1"/>
  <c r="AF377" i="1"/>
  <c r="AE377" i="1"/>
  <c r="AD377" i="1"/>
  <c r="AC377" i="1"/>
  <c r="AB377" i="1"/>
  <c r="Z377" i="1"/>
  <c r="Y377" i="1"/>
  <c r="X377" i="1"/>
  <c r="W377" i="1"/>
  <c r="V377" i="1"/>
  <c r="U377" i="1"/>
  <c r="T377" i="1"/>
  <c r="S377" i="1"/>
  <c r="R377" i="1"/>
  <c r="Q377" i="1"/>
  <c r="P377" i="1"/>
  <c r="N377" i="1"/>
  <c r="J377" i="1"/>
  <c r="I377" i="1"/>
  <c r="H377" i="1"/>
  <c r="G377" i="1"/>
  <c r="F377" i="1"/>
  <c r="E377" i="1"/>
  <c r="D377" i="1"/>
  <c r="C377" i="1"/>
  <c r="B377" i="1"/>
  <c r="A377" i="1"/>
  <c r="AM376" i="1"/>
  <c r="AL376" i="1"/>
  <c r="AK376" i="1"/>
  <c r="AJ376" i="1"/>
  <c r="AG376" i="1"/>
  <c r="AF376" i="1"/>
  <c r="AE376" i="1"/>
  <c r="AD376" i="1"/>
  <c r="AC376" i="1"/>
  <c r="AB376" i="1"/>
  <c r="Z376" i="1"/>
  <c r="Y376" i="1"/>
  <c r="X376" i="1"/>
  <c r="W376" i="1"/>
  <c r="V376" i="1"/>
  <c r="U376" i="1"/>
  <c r="T376" i="1"/>
  <c r="P376" i="1"/>
  <c r="N376" i="1"/>
  <c r="H376" i="1"/>
  <c r="G376" i="1"/>
  <c r="F376" i="1"/>
  <c r="E376" i="1"/>
  <c r="D376" i="1"/>
  <c r="C376" i="1"/>
  <c r="B376" i="1"/>
  <c r="A376" i="1"/>
  <c r="AM375" i="1"/>
  <c r="AL375" i="1"/>
  <c r="AK375" i="1"/>
  <c r="AJ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P375" i="1"/>
  <c r="N375" i="1"/>
  <c r="H375" i="1"/>
  <c r="G375" i="1"/>
  <c r="F375" i="1"/>
  <c r="E375" i="1"/>
  <c r="D375" i="1"/>
  <c r="C375" i="1"/>
  <c r="B375" i="1"/>
  <c r="A375" i="1"/>
  <c r="AM374" i="1"/>
  <c r="AL374" i="1"/>
  <c r="AK374" i="1"/>
  <c r="AJ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P374" i="1"/>
  <c r="N374" i="1"/>
  <c r="H374" i="1"/>
  <c r="G374" i="1"/>
  <c r="F374" i="1"/>
  <c r="E374" i="1"/>
  <c r="D374" i="1"/>
  <c r="C374" i="1"/>
  <c r="B374" i="1"/>
  <c r="A374" i="1"/>
  <c r="AM373" i="1"/>
  <c r="AL373" i="1"/>
  <c r="AK373" i="1"/>
  <c r="AJ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P373" i="1"/>
  <c r="N373" i="1"/>
  <c r="H373" i="1"/>
  <c r="G373" i="1"/>
  <c r="F373" i="1"/>
  <c r="E373" i="1"/>
  <c r="D373" i="1"/>
  <c r="C373" i="1"/>
  <c r="B373" i="1"/>
  <c r="A373" i="1"/>
  <c r="AM372" i="1"/>
  <c r="AL372" i="1"/>
  <c r="AK372" i="1"/>
  <c r="AJ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P372" i="1"/>
  <c r="N372" i="1"/>
  <c r="J372" i="1"/>
  <c r="I372" i="1"/>
  <c r="H372" i="1"/>
  <c r="G372" i="1"/>
  <c r="F372" i="1"/>
  <c r="E372" i="1"/>
  <c r="D372" i="1"/>
  <c r="C372" i="1"/>
  <c r="B372" i="1"/>
  <c r="A372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Q371" i="1"/>
  <c r="P371" i="1"/>
  <c r="N371" i="1"/>
  <c r="H371" i="1"/>
  <c r="G371" i="1"/>
  <c r="F371" i="1"/>
  <c r="E371" i="1"/>
  <c r="D371" i="1"/>
  <c r="C371" i="1"/>
  <c r="B371" i="1"/>
  <c r="A371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R370" i="1"/>
  <c r="Q370" i="1"/>
  <c r="P370" i="1"/>
  <c r="N370" i="1"/>
  <c r="J370" i="1"/>
  <c r="I370" i="1"/>
  <c r="H370" i="1"/>
  <c r="G370" i="1"/>
  <c r="F370" i="1"/>
  <c r="E370" i="1"/>
  <c r="D370" i="1"/>
  <c r="C370" i="1"/>
  <c r="B370" i="1"/>
  <c r="A370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Q369" i="1"/>
  <c r="P369" i="1"/>
  <c r="N369" i="1"/>
  <c r="H369" i="1"/>
  <c r="G369" i="1"/>
  <c r="F369" i="1"/>
  <c r="E369" i="1"/>
  <c r="D369" i="1"/>
  <c r="C369" i="1"/>
  <c r="B369" i="1"/>
  <c r="A369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R368" i="1"/>
  <c r="Q368" i="1"/>
  <c r="P368" i="1"/>
  <c r="N368" i="1"/>
  <c r="M368" i="1"/>
  <c r="J368" i="1"/>
  <c r="I368" i="1"/>
  <c r="H368" i="1"/>
  <c r="G368" i="1"/>
  <c r="F368" i="1"/>
  <c r="E368" i="1"/>
  <c r="D368" i="1"/>
  <c r="C368" i="1"/>
  <c r="B368" i="1"/>
  <c r="A368" i="1"/>
  <c r="AM367" i="1"/>
  <c r="AL367" i="1"/>
  <c r="AK367" i="1"/>
  <c r="AJ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P367" i="1"/>
  <c r="N367" i="1"/>
  <c r="J367" i="1"/>
  <c r="I367" i="1"/>
  <c r="H367" i="1"/>
  <c r="G367" i="1"/>
  <c r="F367" i="1"/>
  <c r="E367" i="1"/>
  <c r="D367" i="1"/>
  <c r="C367" i="1"/>
  <c r="B367" i="1"/>
  <c r="A367" i="1"/>
  <c r="AM366" i="1"/>
  <c r="AL366" i="1"/>
  <c r="AK366" i="1"/>
  <c r="AJ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P366" i="1"/>
  <c r="N366" i="1"/>
  <c r="J366" i="1"/>
  <c r="I366" i="1"/>
  <c r="H366" i="1"/>
  <c r="G366" i="1"/>
  <c r="F366" i="1"/>
  <c r="E366" i="1"/>
  <c r="D366" i="1"/>
  <c r="C366" i="1"/>
  <c r="B366" i="1"/>
  <c r="A366" i="1"/>
  <c r="AM365" i="1"/>
  <c r="AL365" i="1"/>
  <c r="AK365" i="1"/>
  <c r="AJ365" i="1"/>
  <c r="AG365" i="1"/>
  <c r="AF365" i="1"/>
  <c r="AE365" i="1"/>
  <c r="AD365" i="1"/>
  <c r="AC365" i="1"/>
  <c r="AB365" i="1"/>
  <c r="Y365" i="1"/>
  <c r="X365" i="1"/>
  <c r="W365" i="1"/>
  <c r="V365" i="1"/>
  <c r="U365" i="1"/>
  <c r="T365" i="1"/>
  <c r="P365" i="1"/>
  <c r="N365" i="1"/>
  <c r="H365" i="1"/>
  <c r="G365" i="1"/>
  <c r="F365" i="1"/>
  <c r="E365" i="1"/>
  <c r="D365" i="1"/>
  <c r="C365" i="1"/>
  <c r="B365" i="1"/>
  <c r="A365" i="1"/>
  <c r="AM364" i="1"/>
  <c r="AL364" i="1"/>
  <c r="AK364" i="1"/>
  <c r="AJ364" i="1"/>
  <c r="AG364" i="1"/>
  <c r="AF364" i="1"/>
  <c r="AE364" i="1"/>
  <c r="AD364" i="1"/>
  <c r="AC364" i="1"/>
  <c r="AB364" i="1"/>
  <c r="Y364" i="1"/>
  <c r="X364" i="1"/>
  <c r="W364" i="1"/>
  <c r="V364" i="1"/>
  <c r="U364" i="1"/>
  <c r="T364" i="1"/>
  <c r="P364" i="1"/>
  <c r="N364" i="1"/>
  <c r="H364" i="1"/>
  <c r="G364" i="1"/>
  <c r="F364" i="1"/>
  <c r="E364" i="1"/>
  <c r="D364" i="1"/>
  <c r="C364" i="1"/>
  <c r="B364" i="1"/>
  <c r="A364" i="1"/>
  <c r="AM363" i="1"/>
  <c r="AL363" i="1"/>
  <c r="AK363" i="1"/>
  <c r="AJ363" i="1"/>
  <c r="AG363" i="1"/>
  <c r="AF363" i="1"/>
  <c r="AE363" i="1"/>
  <c r="AD363" i="1"/>
  <c r="AC363" i="1"/>
  <c r="AB363" i="1"/>
  <c r="Y363" i="1"/>
  <c r="X363" i="1"/>
  <c r="W363" i="1"/>
  <c r="V363" i="1"/>
  <c r="U363" i="1"/>
  <c r="T363" i="1"/>
  <c r="R363" i="1"/>
  <c r="P363" i="1"/>
  <c r="N363" i="1"/>
  <c r="J363" i="1"/>
  <c r="I363" i="1"/>
  <c r="H363" i="1"/>
  <c r="G363" i="1"/>
  <c r="F363" i="1"/>
  <c r="E363" i="1"/>
  <c r="D363" i="1"/>
  <c r="C363" i="1"/>
  <c r="B363" i="1"/>
  <c r="A363" i="1"/>
  <c r="AM362" i="1"/>
  <c r="AL362" i="1"/>
  <c r="AK362" i="1"/>
  <c r="AJ362" i="1"/>
  <c r="AG362" i="1"/>
  <c r="AF362" i="1"/>
  <c r="AE362" i="1"/>
  <c r="AD362" i="1"/>
  <c r="AC362" i="1"/>
  <c r="AB362" i="1"/>
  <c r="Y362" i="1"/>
  <c r="X362" i="1"/>
  <c r="W362" i="1"/>
  <c r="V362" i="1"/>
  <c r="U362" i="1"/>
  <c r="T362" i="1"/>
  <c r="P362" i="1"/>
  <c r="N362" i="1"/>
  <c r="H362" i="1"/>
  <c r="G362" i="1"/>
  <c r="F362" i="1"/>
  <c r="E362" i="1"/>
  <c r="D362" i="1"/>
  <c r="C362" i="1"/>
  <c r="B362" i="1"/>
  <c r="A362" i="1"/>
  <c r="AM361" i="1"/>
  <c r="AL361" i="1"/>
  <c r="AK361" i="1"/>
  <c r="AJ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N361" i="1"/>
  <c r="J361" i="1"/>
  <c r="I361" i="1"/>
  <c r="H361" i="1"/>
  <c r="G361" i="1"/>
  <c r="F361" i="1"/>
  <c r="E361" i="1"/>
  <c r="D361" i="1"/>
  <c r="C361" i="1"/>
  <c r="B361" i="1"/>
  <c r="A361" i="1"/>
  <c r="AM360" i="1"/>
  <c r="AL360" i="1"/>
  <c r="AK360" i="1"/>
  <c r="AJ360" i="1"/>
  <c r="AG360" i="1"/>
  <c r="AF360" i="1"/>
  <c r="AE360" i="1"/>
  <c r="AD360" i="1"/>
  <c r="AC360" i="1"/>
  <c r="AB360" i="1"/>
  <c r="Y360" i="1"/>
  <c r="X360" i="1"/>
  <c r="W360" i="1"/>
  <c r="V360" i="1"/>
  <c r="U360" i="1"/>
  <c r="T360" i="1"/>
  <c r="P360" i="1"/>
  <c r="N360" i="1"/>
  <c r="H360" i="1"/>
  <c r="G360" i="1"/>
  <c r="F360" i="1"/>
  <c r="E360" i="1"/>
  <c r="D360" i="1"/>
  <c r="C360" i="1"/>
  <c r="B360" i="1"/>
  <c r="A360" i="1"/>
  <c r="AM359" i="1"/>
  <c r="AL359" i="1"/>
  <c r="AK359" i="1"/>
  <c r="AJ359" i="1"/>
  <c r="AI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N359" i="1"/>
  <c r="M359" i="1"/>
  <c r="J359" i="1"/>
  <c r="I359" i="1"/>
  <c r="H359" i="1"/>
  <c r="G359" i="1"/>
  <c r="F359" i="1"/>
  <c r="E359" i="1"/>
  <c r="D359" i="1"/>
  <c r="C359" i="1"/>
  <c r="B359" i="1"/>
  <c r="A359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Z358" i="1"/>
  <c r="Y358" i="1"/>
  <c r="X358" i="1"/>
  <c r="W358" i="1"/>
  <c r="V358" i="1"/>
  <c r="U358" i="1"/>
  <c r="T358" i="1"/>
  <c r="R358" i="1"/>
  <c r="Q358" i="1"/>
  <c r="P358" i="1"/>
  <c r="N358" i="1"/>
  <c r="J358" i="1"/>
  <c r="I358" i="1"/>
  <c r="H358" i="1"/>
  <c r="G358" i="1"/>
  <c r="F358" i="1"/>
  <c r="E358" i="1"/>
  <c r="D358" i="1"/>
  <c r="C358" i="1"/>
  <c r="B358" i="1"/>
  <c r="A358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Z357" i="1"/>
  <c r="Y357" i="1"/>
  <c r="X357" i="1"/>
  <c r="W357" i="1"/>
  <c r="V357" i="1"/>
  <c r="U357" i="1"/>
  <c r="T357" i="1"/>
  <c r="R357" i="1"/>
  <c r="Q357" i="1"/>
  <c r="P357" i="1"/>
  <c r="N357" i="1"/>
  <c r="J357" i="1"/>
  <c r="I357" i="1"/>
  <c r="H357" i="1"/>
  <c r="G357" i="1"/>
  <c r="F357" i="1"/>
  <c r="E357" i="1"/>
  <c r="D357" i="1"/>
  <c r="C357" i="1"/>
  <c r="B357" i="1"/>
  <c r="A357" i="1"/>
  <c r="AM356" i="1"/>
  <c r="AL356" i="1"/>
  <c r="AK356" i="1"/>
  <c r="AJ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P356" i="1"/>
  <c r="N356" i="1"/>
  <c r="H356" i="1"/>
  <c r="G356" i="1"/>
  <c r="F356" i="1"/>
  <c r="E356" i="1"/>
  <c r="D356" i="1"/>
  <c r="C356" i="1"/>
  <c r="B356" i="1"/>
  <c r="A356" i="1"/>
  <c r="AM355" i="1"/>
  <c r="AK355" i="1"/>
  <c r="AJ355" i="1"/>
  <c r="AF355" i="1"/>
  <c r="AD355" i="1"/>
  <c r="AB355" i="1"/>
  <c r="X355" i="1"/>
  <c r="V355" i="1"/>
  <c r="T355" i="1"/>
  <c r="R355" i="1"/>
  <c r="P355" i="1"/>
  <c r="N355" i="1"/>
  <c r="J355" i="1"/>
  <c r="I355" i="1"/>
  <c r="H355" i="1"/>
  <c r="G355" i="1"/>
  <c r="F355" i="1"/>
  <c r="E355" i="1"/>
  <c r="D355" i="1"/>
  <c r="C355" i="1"/>
  <c r="B355" i="1"/>
  <c r="A355" i="1"/>
  <c r="AM354" i="1"/>
  <c r="AL354" i="1"/>
  <c r="AK354" i="1"/>
  <c r="AJ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P354" i="1"/>
  <c r="N354" i="1"/>
  <c r="H354" i="1"/>
  <c r="G354" i="1"/>
  <c r="F354" i="1"/>
  <c r="E354" i="1"/>
  <c r="D354" i="1"/>
  <c r="C354" i="1"/>
  <c r="B354" i="1"/>
  <c r="A354" i="1"/>
  <c r="AM353" i="1"/>
  <c r="AK353" i="1"/>
  <c r="AJ353" i="1"/>
  <c r="AH353" i="1"/>
  <c r="AF353" i="1"/>
  <c r="AD353" i="1"/>
  <c r="AB353" i="1"/>
  <c r="Z353" i="1"/>
  <c r="X353" i="1"/>
  <c r="V353" i="1"/>
  <c r="T353" i="1"/>
  <c r="S353" i="1"/>
  <c r="R353" i="1"/>
  <c r="P353" i="1"/>
  <c r="N353" i="1"/>
  <c r="H353" i="1"/>
  <c r="G353" i="1"/>
  <c r="F353" i="1"/>
  <c r="E353" i="1"/>
  <c r="D353" i="1"/>
  <c r="C353" i="1"/>
  <c r="B353" i="1"/>
  <c r="A353" i="1"/>
  <c r="AM352" i="1"/>
  <c r="AL352" i="1"/>
  <c r="AK352" i="1"/>
  <c r="AJ352" i="1"/>
  <c r="AG352" i="1"/>
  <c r="AF352" i="1"/>
  <c r="AE352" i="1"/>
  <c r="AD352" i="1"/>
  <c r="AC352" i="1"/>
  <c r="AB352" i="1"/>
  <c r="AA352" i="1"/>
  <c r="Y352" i="1"/>
  <c r="X352" i="1"/>
  <c r="W352" i="1"/>
  <c r="V352" i="1"/>
  <c r="U352" i="1"/>
  <c r="T352" i="1"/>
  <c r="S352" i="1"/>
  <c r="R352" i="1"/>
  <c r="P352" i="1"/>
  <c r="N352" i="1"/>
  <c r="J352" i="1"/>
  <c r="I352" i="1"/>
  <c r="H352" i="1"/>
  <c r="G352" i="1"/>
  <c r="F352" i="1"/>
  <c r="E352" i="1"/>
  <c r="D352" i="1"/>
  <c r="C352" i="1"/>
  <c r="B352" i="1"/>
  <c r="A352" i="1"/>
  <c r="AM351" i="1"/>
  <c r="AL351" i="1"/>
  <c r="AK351" i="1"/>
  <c r="AJ351" i="1"/>
  <c r="AG351" i="1"/>
  <c r="AF351" i="1"/>
  <c r="AE351" i="1"/>
  <c r="AD351" i="1"/>
  <c r="AC351" i="1"/>
  <c r="AB351" i="1"/>
  <c r="Z351" i="1"/>
  <c r="Y351" i="1"/>
  <c r="X351" i="1"/>
  <c r="W351" i="1"/>
  <c r="V351" i="1"/>
  <c r="U351" i="1"/>
  <c r="T351" i="1"/>
  <c r="R351" i="1"/>
  <c r="P351" i="1"/>
  <c r="N351" i="1"/>
  <c r="J351" i="1"/>
  <c r="I351" i="1"/>
  <c r="H351" i="1"/>
  <c r="G351" i="1"/>
  <c r="F351" i="1"/>
  <c r="E351" i="1"/>
  <c r="D351" i="1"/>
  <c r="C351" i="1"/>
  <c r="B351" i="1"/>
  <c r="A351" i="1"/>
  <c r="AM350" i="1"/>
  <c r="AL350" i="1"/>
  <c r="AK350" i="1"/>
  <c r="AJ350" i="1"/>
  <c r="AG350" i="1"/>
  <c r="AF350" i="1"/>
  <c r="AE350" i="1"/>
  <c r="AD350" i="1"/>
  <c r="AC350" i="1"/>
  <c r="AB350" i="1"/>
  <c r="Z350" i="1"/>
  <c r="Y350" i="1"/>
  <c r="X350" i="1"/>
  <c r="W350" i="1"/>
  <c r="V350" i="1"/>
  <c r="U350" i="1"/>
  <c r="T350" i="1"/>
  <c r="P350" i="1"/>
  <c r="N350" i="1"/>
  <c r="H350" i="1"/>
  <c r="G350" i="1"/>
  <c r="F350" i="1"/>
  <c r="E350" i="1"/>
  <c r="D350" i="1"/>
  <c r="C350" i="1"/>
  <c r="B350" i="1"/>
  <c r="A350" i="1"/>
  <c r="AM349" i="1"/>
  <c r="AL349" i="1"/>
  <c r="AK349" i="1"/>
  <c r="AJ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R349" i="1"/>
  <c r="P349" i="1"/>
  <c r="N349" i="1"/>
  <c r="J349" i="1"/>
  <c r="I349" i="1"/>
  <c r="H349" i="1"/>
  <c r="G349" i="1"/>
  <c r="F349" i="1"/>
  <c r="E349" i="1"/>
  <c r="D349" i="1"/>
  <c r="C349" i="1"/>
  <c r="B349" i="1"/>
  <c r="A349" i="1"/>
  <c r="AM348" i="1"/>
  <c r="AL348" i="1"/>
  <c r="AK348" i="1"/>
  <c r="AJ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P348" i="1"/>
  <c r="N348" i="1"/>
  <c r="J348" i="1"/>
  <c r="I348" i="1"/>
  <c r="H348" i="1"/>
  <c r="G348" i="1"/>
  <c r="F348" i="1"/>
  <c r="E348" i="1"/>
  <c r="D348" i="1"/>
  <c r="C348" i="1"/>
  <c r="B348" i="1"/>
  <c r="A348" i="1"/>
  <c r="AM347" i="1"/>
  <c r="AL347" i="1"/>
  <c r="AK347" i="1"/>
  <c r="AJ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P347" i="1"/>
  <c r="N347" i="1"/>
  <c r="H347" i="1"/>
  <c r="G347" i="1"/>
  <c r="F347" i="1"/>
  <c r="E347" i="1"/>
  <c r="D347" i="1"/>
  <c r="C347" i="1"/>
  <c r="B347" i="1"/>
  <c r="A347" i="1"/>
  <c r="AM346" i="1"/>
  <c r="AL346" i="1"/>
  <c r="AK346" i="1"/>
  <c r="AJ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P346" i="1"/>
  <c r="N346" i="1"/>
  <c r="J346" i="1"/>
  <c r="I346" i="1"/>
  <c r="H346" i="1"/>
  <c r="G346" i="1"/>
  <c r="F346" i="1"/>
  <c r="E346" i="1"/>
  <c r="D346" i="1"/>
  <c r="C346" i="1"/>
  <c r="B346" i="1"/>
  <c r="A346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Y345" i="1"/>
  <c r="X345" i="1"/>
  <c r="W345" i="1"/>
  <c r="V345" i="1"/>
  <c r="U345" i="1"/>
  <c r="T345" i="1"/>
  <c r="S345" i="1"/>
  <c r="R345" i="1"/>
  <c r="Q345" i="1"/>
  <c r="P345" i="1"/>
  <c r="N345" i="1"/>
  <c r="J345" i="1"/>
  <c r="I345" i="1"/>
  <c r="H345" i="1"/>
  <c r="G345" i="1"/>
  <c r="F345" i="1"/>
  <c r="E345" i="1"/>
  <c r="D345" i="1"/>
  <c r="C345" i="1"/>
  <c r="B345" i="1"/>
  <c r="A345" i="1"/>
  <c r="AM344" i="1"/>
  <c r="AL344" i="1"/>
  <c r="AK344" i="1"/>
  <c r="AJ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P344" i="1"/>
  <c r="N344" i="1"/>
  <c r="J344" i="1"/>
  <c r="I344" i="1"/>
  <c r="H344" i="1"/>
  <c r="G344" i="1"/>
  <c r="F344" i="1"/>
  <c r="E344" i="1"/>
  <c r="D344" i="1"/>
  <c r="C344" i="1"/>
  <c r="B344" i="1"/>
  <c r="A344" i="1"/>
  <c r="AM343" i="1"/>
  <c r="AK343" i="1"/>
  <c r="AJ343" i="1"/>
  <c r="AH343" i="1"/>
  <c r="AF343" i="1"/>
  <c r="AD343" i="1"/>
  <c r="AB343" i="1"/>
  <c r="Z343" i="1"/>
  <c r="X343" i="1"/>
  <c r="V343" i="1"/>
  <c r="T343" i="1"/>
  <c r="S343" i="1"/>
  <c r="R343" i="1"/>
  <c r="Q343" i="1"/>
  <c r="P343" i="1"/>
  <c r="N343" i="1"/>
  <c r="M343" i="1"/>
  <c r="J343" i="1"/>
  <c r="I343" i="1"/>
  <c r="H343" i="1"/>
  <c r="G343" i="1"/>
  <c r="F343" i="1"/>
  <c r="E343" i="1"/>
  <c r="D343" i="1"/>
  <c r="C343" i="1"/>
  <c r="B343" i="1"/>
  <c r="A343" i="1"/>
  <c r="AM342" i="1"/>
  <c r="AL342" i="1"/>
  <c r="AK342" i="1"/>
  <c r="AJ342" i="1"/>
  <c r="AG342" i="1"/>
  <c r="AF342" i="1"/>
  <c r="AE342" i="1"/>
  <c r="AD342" i="1"/>
  <c r="AC342" i="1"/>
  <c r="AB342" i="1"/>
  <c r="Z342" i="1"/>
  <c r="Y342" i="1"/>
  <c r="X342" i="1"/>
  <c r="W342" i="1"/>
  <c r="V342" i="1"/>
  <c r="U342" i="1"/>
  <c r="T342" i="1"/>
  <c r="R342" i="1"/>
  <c r="P342" i="1"/>
  <c r="N342" i="1"/>
  <c r="J342" i="1"/>
  <c r="I342" i="1"/>
  <c r="H342" i="1"/>
  <c r="G342" i="1"/>
  <c r="F342" i="1"/>
  <c r="E342" i="1"/>
  <c r="D342" i="1"/>
  <c r="C342" i="1"/>
  <c r="B342" i="1"/>
  <c r="A342" i="1"/>
  <c r="AM341" i="1"/>
  <c r="AL341" i="1"/>
  <c r="AK341" i="1"/>
  <c r="AJ341" i="1"/>
  <c r="AG341" i="1"/>
  <c r="AF341" i="1"/>
  <c r="AE341" i="1"/>
  <c r="AD341" i="1"/>
  <c r="AC341" i="1"/>
  <c r="AB341" i="1"/>
  <c r="Y341" i="1"/>
  <c r="X341" i="1"/>
  <c r="W341" i="1"/>
  <c r="V341" i="1"/>
  <c r="U341" i="1"/>
  <c r="T341" i="1"/>
  <c r="S341" i="1"/>
  <c r="P341" i="1"/>
  <c r="N341" i="1"/>
  <c r="H341" i="1"/>
  <c r="G341" i="1"/>
  <c r="F341" i="1"/>
  <c r="E341" i="1"/>
  <c r="D341" i="1"/>
  <c r="C341" i="1"/>
  <c r="B341" i="1"/>
  <c r="A341" i="1"/>
  <c r="AM340" i="1"/>
  <c r="AL340" i="1"/>
  <c r="AK340" i="1"/>
  <c r="AJ340" i="1"/>
  <c r="AG340" i="1"/>
  <c r="AF340" i="1"/>
  <c r="AE340" i="1"/>
  <c r="AD340" i="1"/>
  <c r="AC340" i="1"/>
  <c r="AB340" i="1"/>
  <c r="Y340" i="1"/>
  <c r="X340" i="1"/>
  <c r="W340" i="1"/>
  <c r="V340" i="1"/>
  <c r="U340" i="1"/>
  <c r="T340" i="1"/>
  <c r="P340" i="1"/>
  <c r="N340" i="1"/>
  <c r="H340" i="1"/>
  <c r="G340" i="1"/>
  <c r="F340" i="1"/>
  <c r="E340" i="1"/>
  <c r="D340" i="1"/>
  <c r="C340" i="1"/>
  <c r="B340" i="1"/>
  <c r="A340" i="1"/>
  <c r="AM339" i="1"/>
  <c r="AL339" i="1"/>
  <c r="AK339" i="1"/>
  <c r="AJ339" i="1"/>
  <c r="AG339" i="1"/>
  <c r="AF339" i="1"/>
  <c r="AE339" i="1"/>
  <c r="AD339" i="1"/>
  <c r="AC339" i="1"/>
  <c r="AB339" i="1"/>
  <c r="Y339" i="1"/>
  <c r="X339" i="1"/>
  <c r="W339" i="1"/>
  <c r="V339" i="1"/>
  <c r="U339" i="1"/>
  <c r="T339" i="1"/>
  <c r="P339" i="1"/>
  <c r="N339" i="1"/>
  <c r="H339" i="1"/>
  <c r="G339" i="1"/>
  <c r="F339" i="1"/>
  <c r="E339" i="1"/>
  <c r="D339" i="1"/>
  <c r="C339" i="1"/>
  <c r="B339" i="1"/>
  <c r="A339" i="1"/>
  <c r="AM338" i="1"/>
  <c r="AK338" i="1"/>
  <c r="AJ338" i="1"/>
  <c r="AF338" i="1"/>
  <c r="AD338" i="1"/>
  <c r="AB338" i="1"/>
  <c r="X338" i="1"/>
  <c r="V338" i="1"/>
  <c r="T338" i="1"/>
  <c r="S338" i="1"/>
  <c r="R338" i="1"/>
  <c r="Q338" i="1"/>
  <c r="P338" i="1"/>
  <c r="N338" i="1"/>
  <c r="J338" i="1"/>
  <c r="I338" i="1"/>
  <c r="H338" i="1"/>
  <c r="G338" i="1"/>
  <c r="F338" i="1"/>
  <c r="E338" i="1"/>
  <c r="D338" i="1"/>
  <c r="C338" i="1"/>
  <c r="B338" i="1"/>
  <c r="A338" i="1"/>
  <c r="AM337" i="1"/>
  <c r="AL337" i="1"/>
  <c r="AK337" i="1"/>
  <c r="AJ337" i="1"/>
  <c r="AG337" i="1"/>
  <c r="AF337" i="1"/>
  <c r="AE337" i="1"/>
  <c r="AD337" i="1"/>
  <c r="AC337" i="1"/>
  <c r="AB337" i="1"/>
  <c r="Y337" i="1"/>
  <c r="X337" i="1"/>
  <c r="W337" i="1"/>
  <c r="V337" i="1"/>
  <c r="U337" i="1"/>
  <c r="T337" i="1"/>
  <c r="S337" i="1"/>
  <c r="R337" i="1"/>
  <c r="Q337" i="1"/>
  <c r="P337" i="1"/>
  <c r="N337" i="1"/>
  <c r="J337" i="1"/>
  <c r="I337" i="1"/>
  <c r="H337" i="1"/>
  <c r="G337" i="1"/>
  <c r="F337" i="1"/>
  <c r="E337" i="1"/>
  <c r="D337" i="1"/>
  <c r="C337" i="1"/>
  <c r="B337" i="1"/>
  <c r="A337" i="1"/>
  <c r="AM336" i="1"/>
  <c r="AL336" i="1"/>
  <c r="AK336" i="1"/>
  <c r="AJ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P336" i="1"/>
  <c r="N336" i="1"/>
  <c r="M336" i="1"/>
  <c r="J336" i="1"/>
  <c r="I336" i="1"/>
  <c r="H336" i="1"/>
  <c r="G336" i="1"/>
  <c r="F336" i="1"/>
  <c r="E336" i="1"/>
  <c r="D336" i="1"/>
  <c r="C336" i="1"/>
  <c r="B336" i="1"/>
  <c r="A336" i="1"/>
  <c r="AM335" i="1"/>
  <c r="AL335" i="1"/>
  <c r="AK335" i="1"/>
  <c r="AJ335" i="1"/>
  <c r="AG335" i="1"/>
  <c r="AF335" i="1"/>
  <c r="AE335" i="1"/>
  <c r="AD335" i="1"/>
  <c r="AC335" i="1"/>
  <c r="AB335" i="1"/>
  <c r="Y335" i="1"/>
  <c r="X335" i="1"/>
  <c r="W335" i="1"/>
  <c r="V335" i="1"/>
  <c r="U335" i="1"/>
  <c r="T335" i="1"/>
  <c r="P335" i="1"/>
  <c r="N335" i="1"/>
  <c r="H335" i="1"/>
  <c r="G335" i="1"/>
  <c r="F335" i="1"/>
  <c r="E335" i="1"/>
  <c r="D335" i="1"/>
  <c r="C335" i="1"/>
  <c r="B335" i="1"/>
  <c r="A335" i="1"/>
  <c r="AM334" i="1"/>
  <c r="AL334" i="1"/>
  <c r="AK334" i="1"/>
  <c r="AJ334" i="1"/>
  <c r="AG334" i="1"/>
  <c r="AF334" i="1"/>
  <c r="AE334" i="1"/>
  <c r="AD334" i="1"/>
  <c r="AC334" i="1"/>
  <c r="AB334" i="1"/>
  <c r="Y334" i="1"/>
  <c r="X334" i="1"/>
  <c r="W334" i="1"/>
  <c r="V334" i="1"/>
  <c r="U334" i="1"/>
  <c r="T334" i="1"/>
  <c r="P334" i="1"/>
  <c r="N334" i="1"/>
  <c r="H334" i="1"/>
  <c r="G334" i="1"/>
  <c r="F334" i="1"/>
  <c r="E334" i="1"/>
  <c r="D334" i="1"/>
  <c r="C334" i="1"/>
  <c r="B334" i="1"/>
  <c r="A334" i="1"/>
  <c r="AM333" i="1"/>
  <c r="AK333" i="1"/>
  <c r="AJ333" i="1"/>
  <c r="AF333" i="1"/>
  <c r="AD333" i="1"/>
  <c r="AB333" i="1"/>
  <c r="X333" i="1"/>
  <c r="V333" i="1"/>
  <c r="T333" i="1"/>
  <c r="Q333" i="1"/>
  <c r="P333" i="1"/>
  <c r="N333" i="1"/>
  <c r="H333" i="1"/>
  <c r="G333" i="1"/>
  <c r="F333" i="1"/>
  <c r="E333" i="1"/>
  <c r="D333" i="1"/>
  <c r="C333" i="1"/>
  <c r="B333" i="1"/>
  <c r="A333" i="1"/>
  <c r="AM332" i="1"/>
  <c r="AL332" i="1"/>
  <c r="AK332" i="1"/>
  <c r="AJ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P332" i="1"/>
  <c r="N332" i="1"/>
  <c r="H332" i="1"/>
  <c r="G332" i="1"/>
  <c r="F332" i="1"/>
  <c r="E332" i="1"/>
  <c r="D332" i="1"/>
  <c r="C332" i="1"/>
  <c r="B332" i="1"/>
  <c r="A332" i="1"/>
  <c r="AM331" i="1"/>
  <c r="AL331" i="1"/>
  <c r="AK331" i="1"/>
  <c r="AJ331" i="1"/>
  <c r="AG331" i="1"/>
  <c r="AF331" i="1"/>
  <c r="AE331" i="1"/>
  <c r="AD331" i="1"/>
  <c r="AC331" i="1"/>
  <c r="AB331" i="1"/>
  <c r="Y331" i="1"/>
  <c r="X331" i="1"/>
  <c r="W331" i="1"/>
  <c r="V331" i="1"/>
  <c r="U331" i="1"/>
  <c r="T331" i="1"/>
  <c r="R331" i="1"/>
  <c r="Q331" i="1"/>
  <c r="P331" i="1"/>
  <c r="N331" i="1"/>
  <c r="M331" i="1"/>
  <c r="J331" i="1"/>
  <c r="I331" i="1"/>
  <c r="H331" i="1"/>
  <c r="G331" i="1"/>
  <c r="F331" i="1"/>
  <c r="E331" i="1"/>
  <c r="D331" i="1"/>
  <c r="C331" i="1"/>
  <c r="B331" i="1"/>
  <c r="A331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N330" i="1"/>
  <c r="M330" i="1"/>
  <c r="J330" i="1"/>
  <c r="I330" i="1"/>
  <c r="H330" i="1"/>
  <c r="G330" i="1"/>
  <c r="F330" i="1"/>
  <c r="E330" i="1"/>
  <c r="D330" i="1"/>
  <c r="C330" i="1"/>
  <c r="B330" i="1"/>
  <c r="A330" i="1"/>
  <c r="AM329" i="1"/>
  <c r="AL329" i="1"/>
  <c r="AK329" i="1"/>
  <c r="AJ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P329" i="1"/>
  <c r="N329" i="1"/>
  <c r="M329" i="1"/>
  <c r="J329" i="1"/>
  <c r="I329" i="1"/>
  <c r="H329" i="1"/>
  <c r="G329" i="1"/>
  <c r="F329" i="1"/>
  <c r="E329" i="1"/>
  <c r="D329" i="1"/>
  <c r="C329" i="1"/>
  <c r="B329" i="1"/>
  <c r="A329" i="1"/>
  <c r="AM328" i="1"/>
  <c r="AL328" i="1"/>
  <c r="AK328" i="1"/>
  <c r="AJ328" i="1"/>
  <c r="AI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P328" i="1"/>
  <c r="N328" i="1"/>
  <c r="M328" i="1"/>
  <c r="J328" i="1"/>
  <c r="I328" i="1"/>
  <c r="H328" i="1"/>
  <c r="G328" i="1"/>
  <c r="F328" i="1"/>
  <c r="E328" i="1"/>
  <c r="D328" i="1"/>
  <c r="C328" i="1"/>
  <c r="B328" i="1"/>
  <c r="A328" i="1"/>
  <c r="AM327" i="1"/>
  <c r="AL327" i="1"/>
  <c r="AK327" i="1"/>
  <c r="AJ327" i="1"/>
  <c r="AI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R327" i="1"/>
  <c r="P327" i="1"/>
  <c r="N327" i="1"/>
  <c r="J327" i="1"/>
  <c r="I327" i="1"/>
  <c r="H327" i="1"/>
  <c r="G327" i="1"/>
  <c r="F327" i="1"/>
  <c r="E327" i="1"/>
  <c r="D327" i="1"/>
  <c r="C327" i="1"/>
  <c r="B327" i="1"/>
  <c r="A327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R326" i="1"/>
  <c r="Q326" i="1"/>
  <c r="P326" i="1"/>
  <c r="N326" i="1"/>
  <c r="J326" i="1"/>
  <c r="I326" i="1"/>
  <c r="H326" i="1"/>
  <c r="G326" i="1"/>
  <c r="F326" i="1"/>
  <c r="E326" i="1"/>
  <c r="D326" i="1"/>
  <c r="C326" i="1"/>
  <c r="B326" i="1"/>
  <c r="A326" i="1"/>
  <c r="AM325" i="1"/>
  <c r="AK325" i="1"/>
  <c r="AJ325" i="1"/>
  <c r="AH325" i="1"/>
  <c r="AF325" i="1"/>
  <c r="AD325" i="1"/>
  <c r="AB325" i="1"/>
  <c r="Z325" i="1"/>
  <c r="X325" i="1"/>
  <c r="V325" i="1"/>
  <c r="T325" i="1"/>
  <c r="P325" i="1"/>
  <c r="N325" i="1"/>
  <c r="H325" i="1"/>
  <c r="G325" i="1"/>
  <c r="F325" i="1"/>
  <c r="E325" i="1"/>
  <c r="D325" i="1"/>
  <c r="C325" i="1"/>
  <c r="B325" i="1"/>
  <c r="A325" i="1"/>
  <c r="AM324" i="1"/>
  <c r="AK324" i="1"/>
  <c r="AJ324" i="1"/>
  <c r="AH324" i="1"/>
  <c r="AF324" i="1"/>
  <c r="AD324" i="1"/>
  <c r="AB324" i="1"/>
  <c r="Z324" i="1"/>
  <c r="X324" i="1"/>
  <c r="V324" i="1"/>
  <c r="T324" i="1"/>
  <c r="P324" i="1"/>
  <c r="N324" i="1"/>
  <c r="H324" i="1"/>
  <c r="G324" i="1"/>
  <c r="F324" i="1"/>
  <c r="E324" i="1"/>
  <c r="D324" i="1"/>
  <c r="C324" i="1"/>
  <c r="B324" i="1"/>
  <c r="A324" i="1"/>
  <c r="AM323" i="1"/>
  <c r="AL323" i="1"/>
  <c r="AK323" i="1"/>
  <c r="AJ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P323" i="1"/>
  <c r="N323" i="1"/>
  <c r="J323" i="1"/>
  <c r="I323" i="1"/>
  <c r="H323" i="1"/>
  <c r="G323" i="1"/>
  <c r="F323" i="1"/>
  <c r="E323" i="1"/>
  <c r="D323" i="1"/>
  <c r="C323" i="1"/>
  <c r="B323" i="1"/>
  <c r="A323" i="1"/>
  <c r="AM322" i="1"/>
  <c r="AL322" i="1"/>
  <c r="AK322" i="1"/>
  <c r="AJ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R322" i="1"/>
  <c r="P322" i="1"/>
  <c r="N322" i="1"/>
  <c r="J322" i="1"/>
  <c r="I322" i="1"/>
  <c r="H322" i="1"/>
  <c r="G322" i="1"/>
  <c r="F322" i="1"/>
  <c r="E322" i="1"/>
  <c r="D322" i="1"/>
  <c r="C322" i="1"/>
  <c r="B322" i="1"/>
  <c r="A322" i="1"/>
  <c r="AM321" i="1"/>
  <c r="AL321" i="1"/>
  <c r="AK321" i="1"/>
  <c r="AJ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R321" i="1"/>
  <c r="P321" i="1"/>
  <c r="N321" i="1"/>
  <c r="M321" i="1"/>
  <c r="J321" i="1"/>
  <c r="I321" i="1"/>
  <c r="H321" i="1"/>
  <c r="G321" i="1"/>
  <c r="F321" i="1"/>
  <c r="E321" i="1"/>
  <c r="D321" i="1"/>
  <c r="C321" i="1"/>
  <c r="B321" i="1"/>
  <c r="A321" i="1"/>
  <c r="AM320" i="1"/>
  <c r="AK320" i="1"/>
  <c r="AJ320" i="1"/>
  <c r="AF320" i="1"/>
  <c r="AD320" i="1"/>
  <c r="AB320" i="1"/>
  <c r="Z320" i="1"/>
  <c r="X320" i="1"/>
  <c r="V320" i="1"/>
  <c r="T320" i="1"/>
  <c r="Q320" i="1"/>
  <c r="P320" i="1"/>
  <c r="N320" i="1"/>
  <c r="H320" i="1"/>
  <c r="G320" i="1"/>
  <c r="F320" i="1"/>
  <c r="E320" i="1"/>
  <c r="D320" i="1"/>
  <c r="C320" i="1"/>
  <c r="B320" i="1"/>
  <c r="A320" i="1"/>
  <c r="AM319" i="1"/>
  <c r="AK319" i="1"/>
  <c r="AJ319" i="1"/>
  <c r="AF319" i="1"/>
  <c r="AD319" i="1"/>
  <c r="AB319" i="1"/>
  <c r="Z319" i="1"/>
  <c r="X319" i="1"/>
  <c r="V319" i="1"/>
  <c r="T319" i="1"/>
  <c r="P319" i="1"/>
  <c r="N319" i="1"/>
  <c r="H319" i="1"/>
  <c r="G319" i="1"/>
  <c r="F319" i="1"/>
  <c r="E319" i="1"/>
  <c r="D319" i="1"/>
  <c r="C319" i="1"/>
  <c r="B319" i="1"/>
  <c r="A319" i="1"/>
  <c r="AM318" i="1"/>
  <c r="AK318" i="1"/>
  <c r="AJ318" i="1"/>
  <c r="AF318" i="1"/>
  <c r="AD318" i="1"/>
  <c r="AB318" i="1"/>
  <c r="X318" i="1"/>
  <c r="V318" i="1"/>
  <c r="T318" i="1"/>
  <c r="P318" i="1"/>
  <c r="N318" i="1"/>
  <c r="H318" i="1"/>
  <c r="G318" i="1"/>
  <c r="F318" i="1"/>
  <c r="E318" i="1"/>
  <c r="D318" i="1"/>
  <c r="C318" i="1"/>
  <c r="B318" i="1"/>
  <c r="A318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Q317" i="1"/>
  <c r="P317" i="1"/>
  <c r="N317" i="1"/>
  <c r="H317" i="1"/>
  <c r="G317" i="1"/>
  <c r="F317" i="1"/>
  <c r="E317" i="1"/>
  <c r="D317" i="1"/>
  <c r="C317" i="1"/>
  <c r="B317" i="1"/>
  <c r="A317" i="1"/>
  <c r="AM316" i="1"/>
  <c r="AL316" i="1"/>
  <c r="AK316" i="1"/>
  <c r="AJ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R316" i="1"/>
  <c r="Q316" i="1"/>
  <c r="P316" i="1"/>
  <c r="N316" i="1"/>
  <c r="J316" i="1"/>
  <c r="I316" i="1"/>
  <c r="H316" i="1"/>
  <c r="G316" i="1"/>
  <c r="F316" i="1"/>
  <c r="E316" i="1"/>
  <c r="D316" i="1"/>
  <c r="C316" i="1"/>
  <c r="B316" i="1"/>
  <c r="A316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Y315" i="1"/>
  <c r="X315" i="1"/>
  <c r="W315" i="1"/>
  <c r="V315" i="1"/>
  <c r="U315" i="1"/>
  <c r="T315" i="1"/>
  <c r="R315" i="1"/>
  <c r="Q315" i="1"/>
  <c r="P315" i="1"/>
  <c r="N315" i="1"/>
  <c r="M315" i="1"/>
  <c r="J315" i="1"/>
  <c r="I315" i="1"/>
  <c r="H315" i="1"/>
  <c r="G315" i="1"/>
  <c r="F315" i="1"/>
  <c r="E315" i="1"/>
  <c r="D315" i="1"/>
  <c r="C315" i="1"/>
  <c r="B315" i="1"/>
  <c r="A315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Y314" i="1"/>
  <c r="X314" i="1"/>
  <c r="W314" i="1"/>
  <c r="V314" i="1"/>
  <c r="U314" i="1"/>
  <c r="T314" i="1"/>
  <c r="R314" i="1"/>
  <c r="Q314" i="1"/>
  <c r="P314" i="1"/>
  <c r="N314" i="1"/>
  <c r="J314" i="1"/>
  <c r="I314" i="1"/>
  <c r="H314" i="1"/>
  <c r="G314" i="1"/>
  <c r="F314" i="1"/>
  <c r="E314" i="1"/>
  <c r="D314" i="1"/>
  <c r="C314" i="1"/>
  <c r="B314" i="1"/>
  <c r="A314" i="1"/>
  <c r="AM313" i="1"/>
  <c r="AL313" i="1"/>
  <c r="AK313" i="1"/>
  <c r="AJ313" i="1"/>
  <c r="AI313" i="1"/>
  <c r="AG313" i="1"/>
  <c r="AF313" i="1"/>
  <c r="AE313" i="1"/>
  <c r="AD313" i="1"/>
  <c r="AC313" i="1"/>
  <c r="AB313" i="1"/>
  <c r="Y313" i="1"/>
  <c r="X313" i="1"/>
  <c r="W313" i="1"/>
  <c r="V313" i="1"/>
  <c r="U313" i="1"/>
  <c r="T313" i="1"/>
  <c r="R313" i="1"/>
  <c r="Q313" i="1"/>
  <c r="P313" i="1"/>
  <c r="N313" i="1"/>
  <c r="J313" i="1"/>
  <c r="I313" i="1"/>
  <c r="H313" i="1"/>
  <c r="G313" i="1"/>
  <c r="F313" i="1"/>
  <c r="E313" i="1"/>
  <c r="D313" i="1"/>
  <c r="C313" i="1"/>
  <c r="B313" i="1"/>
  <c r="A313" i="1"/>
  <c r="AM312" i="1"/>
  <c r="AL312" i="1"/>
  <c r="AK312" i="1"/>
  <c r="AJ312" i="1"/>
  <c r="AG312" i="1"/>
  <c r="AF312" i="1"/>
  <c r="AE312" i="1"/>
  <c r="AD312" i="1"/>
  <c r="AC312" i="1"/>
  <c r="AB312" i="1"/>
  <c r="Y312" i="1"/>
  <c r="X312" i="1"/>
  <c r="W312" i="1"/>
  <c r="V312" i="1"/>
  <c r="U312" i="1"/>
  <c r="T312" i="1"/>
  <c r="R312" i="1"/>
  <c r="P312" i="1"/>
  <c r="N312" i="1"/>
  <c r="J312" i="1"/>
  <c r="I312" i="1"/>
  <c r="H312" i="1"/>
  <c r="G312" i="1"/>
  <c r="F312" i="1"/>
  <c r="E312" i="1"/>
  <c r="D312" i="1"/>
  <c r="C312" i="1"/>
  <c r="B312" i="1"/>
  <c r="A312" i="1"/>
  <c r="AM311" i="1"/>
  <c r="AL311" i="1"/>
  <c r="AK311" i="1"/>
  <c r="AJ311" i="1"/>
  <c r="AG311" i="1"/>
  <c r="AF311" i="1"/>
  <c r="AE311" i="1"/>
  <c r="AD311" i="1"/>
  <c r="AC311" i="1"/>
  <c r="AB311" i="1"/>
  <c r="Y311" i="1"/>
  <c r="X311" i="1"/>
  <c r="W311" i="1"/>
  <c r="V311" i="1"/>
  <c r="U311" i="1"/>
  <c r="T311" i="1"/>
  <c r="P311" i="1"/>
  <c r="N311" i="1"/>
  <c r="H311" i="1"/>
  <c r="G311" i="1"/>
  <c r="F311" i="1"/>
  <c r="E311" i="1"/>
  <c r="D311" i="1"/>
  <c r="C311" i="1"/>
  <c r="B311" i="1"/>
  <c r="A311" i="1"/>
  <c r="AM310" i="1"/>
  <c r="AL310" i="1"/>
  <c r="AK310" i="1"/>
  <c r="AJ310" i="1"/>
  <c r="AG310" i="1"/>
  <c r="AF310" i="1"/>
  <c r="AE310" i="1"/>
  <c r="AD310" i="1"/>
  <c r="AC310" i="1"/>
  <c r="AB310" i="1"/>
  <c r="Z310" i="1"/>
  <c r="Y310" i="1"/>
  <c r="X310" i="1"/>
  <c r="W310" i="1"/>
  <c r="V310" i="1"/>
  <c r="U310" i="1"/>
  <c r="T310" i="1"/>
  <c r="R310" i="1"/>
  <c r="P310" i="1"/>
  <c r="N310" i="1"/>
  <c r="J310" i="1"/>
  <c r="I310" i="1"/>
  <c r="H310" i="1"/>
  <c r="G310" i="1"/>
  <c r="F310" i="1"/>
  <c r="E310" i="1"/>
  <c r="D310" i="1"/>
  <c r="C310" i="1"/>
  <c r="B310" i="1"/>
  <c r="A310" i="1"/>
  <c r="AM309" i="1"/>
  <c r="AL309" i="1"/>
  <c r="AK309" i="1"/>
  <c r="AJ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R309" i="1"/>
  <c r="P309" i="1"/>
  <c r="N309" i="1"/>
  <c r="J309" i="1"/>
  <c r="I309" i="1"/>
  <c r="H309" i="1"/>
  <c r="G309" i="1"/>
  <c r="F309" i="1"/>
  <c r="E309" i="1"/>
  <c r="D309" i="1"/>
  <c r="C309" i="1"/>
  <c r="B309" i="1"/>
  <c r="A309" i="1"/>
  <c r="AM308" i="1"/>
  <c r="AL308" i="1"/>
  <c r="AK308" i="1"/>
  <c r="AJ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R308" i="1"/>
  <c r="P308" i="1"/>
  <c r="N308" i="1"/>
  <c r="J308" i="1"/>
  <c r="I308" i="1"/>
  <c r="H308" i="1"/>
  <c r="G308" i="1"/>
  <c r="F308" i="1"/>
  <c r="E308" i="1"/>
  <c r="D308" i="1"/>
  <c r="C308" i="1"/>
  <c r="B308" i="1"/>
  <c r="A308" i="1"/>
  <c r="AM307" i="1"/>
  <c r="AK307" i="1"/>
  <c r="AJ307" i="1"/>
  <c r="AF307" i="1"/>
  <c r="AD307" i="1"/>
  <c r="AB307" i="1"/>
  <c r="Z307" i="1"/>
  <c r="X307" i="1"/>
  <c r="V307" i="1"/>
  <c r="T307" i="1"/>
  <c r="P307" i="1"/>
  <c r="N307" i="1"/>
  <c r="H307" i="1"/>
  <c r="G307" i="1"/>
  <c r="F307" i="1"/>
  <c r="E307" i="1"/>
  <c r="D307" i="1"/>
  <c r="C307" i="1"/>
  <c r="B307" i="1"/>
  <c r="A307" i="1"/>
  <c r="AM306" i="1"/>
  <c r="AL306" i="1"/>
  <c r="AK306" i="1"/>
  <c r="AJ306" i="1"/>
  <c r="AG306" i="1"/>
  <c r="AF306" i="1"/>
  <c r="AE306" i="1"/>
  <c r="AD306" i="1"/>
  <c r="AC306" i="1"/>
  <c r="AB306" i="1"/>
  <c r="Y306" i="1"/>
  <c r="X306" i="1"/>
  <c r="W306" i="1"/>
  <c r="V306" i="1"/>
  <c r="U306" i="1"/>
  <c r="T306" i="1"/>
  <c r="S306" i="1"/>
  <c r="R306" i="1"/>
  <c r="P306" i="1"/>
  <c r="N306" i="1"/>
  <c r="M306" i="1"/>
  <c r="J306" i="1"/>
  <c r="I306" i="1"/>
  <c r="H306" i="1"/>
  <c r="G306" i="1"/>
  <c r="F306" i="1"/>
  <c r="E306" i="1"/>
  <c r="D306" i="1"/>
  <c r="C306" i="1"/>
  <c r="B306" i="1"/>
  <c r="A306" i="1"/>
  <c r="AM305" i="1"/>
  <c r="AL305" i="1"/>
  <c r="AK305" i="1"/>
  <c r="AJ305" i="1"/>
  <c r="AG305" i="1"/>
  <c r="AF305" i="1"/>
  <c r="AE305" i="1"/>
  <c r="AD305" i="1"/>
  <c r="AC305" i="1"/>
  <c r="AB305" i="1"/>
  <c r="Y305" i="1"/>
  <c r="X305" i="1"/>
  <c r="W305" i="1"/>
  <c r="V305" i="1"/>
  <c r="U305" i="1"/>
  <c r="T305" i="1"/>
  <c r="R305" i="1"/>
  <c r="P305" i="1"/>
  <c r="N305" i="1"/>
  <c r="M305" i="1"/>
  <c r="J305" i="1"/>
  <c r="I305" i="1"/>
  <c r="H305" i="1"/>
  <c r="G305" i="1"/>
  <c r="F305" i="1"/>
  <c r="E305" i="1"/>
  <c r="D305" i="1"/>
  <c r="C305" i="1"/>
  <c r="B305" i="1"/>
  <c r="A305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Y304" i="1"/>
  <c r="X304" i="1"/>
  <c r="W304" i="1"/>
  <c r="V304" i="1"/>
  <c r="U304" i="1"/>
  <c r="T304" i="1"/>
  <c r="Q304" i="1"/>
  <c r="P304" i="1"/>
  <c r="N304" i="1"/>
  <c r="H304" i="1"/>
  <c r="G304" i="1"/>
  <c r="F304" i="1"/>
  <c r="E304" i="1"/>
  <c r="D304" i="1"/>
  <c r="C304" i="1"/>
  <c r="B304" i="1"/>
  <c r="A304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Y303" i="1"/>
  <c r="X303" i="1"/>
  <c r="W303" i="1"/>
  <c r="V303" i="1"/>
  <c r="U303" i="1"/>
  <c r="T303" i="1"/>
  <c r="Q303" i="1"/>
  <c r="P303" i="1"/>
  <c r="N303" i="1"/>
  <c r="H303" i="1"/>
  <c r="G303" i="1"/>
  <c r="F303" i="1"/>
  <c r="E303" i="1"/>
  <c r="D303" i="1"/>
  <c r="C303" i="1"/>
  <c r="B303" i="1"/>
  <c r="A303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Y302" i="1"/>
  <c r="X302" i="1"/>
  <c r="W302" i="1"/>
  <c r="V302" i="1"/>
  <c r="U302" i="1"/>
  <c r="T302" i="1"/>
  <c r="R302" i="1"/>
  <c r="Q302" i="1"/>
  <c r="P302" i="1"/>
  <c r="N302" i="1"/>
  <c r="J302" i="1"/>
  <c r="I302" i="1"/>
  <c r="H302" i="1"/>
  <c r="G302" i="1"/>
  <c r="F302" i="1"/>
  <c r="E302" i="1"/>
  <c r="D302" i="1"/>
  <c r="C302" i="1"/>
  <c r="B302" i="1"/>
  <c r="A302" i="1"/>
  <c r="AM301" i="1"/>
  <c r="AK301" i="1"/>
  <c r="AJ301" i="1"/>
  <c r="AF301" i="1"/>
  <c r="AD301" i="1"/>
  <c r="AB301" i="1"/>
  <c r="Z301" i="1"/>
  <c r="X301" i="1"/>
  <c r="V301" i="1"/>
  <c r="T301" i="1"/>
  <c r="S301" i="1"/>
  <c r="R301" i="1"/>
  <c r="P301" i="1"/>
  <c r="N301" i="1"/>
  <c r="J301" i="1"/>
  <c r="I301" i="1"/>
  <c r="H301" i="1"/>
  <c r="G301" i="1"/>
  <c r="F301" i="1"/>
  <c r="E301" i="1"/>
  <c r="D301" i="1"/>
  <c r="C301" i="1"/>
  <c r="B301" i="1"/>
  <c r="A301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Y300" i="1"/>
  <c r="X300" i="1"/>
  <c r="W300" i="1"/>
  <c r="V300" i="1"/>
  <c r="U300" i="1"/>
  <c r="T300" i="1"/>
  <c r="Q300" i="1"/>
  <c r="P300" i="1"/>
  <c r="N300" i="1"/>
  <c r="H300" i="1"/>
  <c r="G300" i="1"/>
  <c r="F300" i="1"/>
  <c r="E300" i="1"/>
  <c r="D300" i="1"/>
  <c r="C300" i="1"/>
  <c r="B300" i="1"/>
  <c r="A300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Y299" i="1"/>
  <c r="X299" i="1"/>
  <c r="W299" i="1"/>
  <c r="V299" i="1"/>
  <c r="U299" i="1"/>
  <c r="T299" i="1"/>
  <c r="Q299" i="1"/>
  <c r="P299" i="1"/>
  <c r="N299" i="1"/>
  <c r="H299" i="1"/>
  <c r="G299" i="1"/>
  <c r="F299" i="1"/>
  <c r="E299" i="1"/>
  <c r="D299" i="1"/>
  <c r="C299" i="1"/>
  <c r="B299" i="1"/>
  <c r="A299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Y298" i="1"/>
  <c r="X298" i="1"/>
  <c r="W298" i="1"/>
  <c r="V298" i="1"/>
  <c r="U298" i="1"/>
  <c r="T298" i="1"/>
  <c r="Q298" i="1"/>
  <c r="P298" i="1"/>
  <c r="N298" i="1"/>
  <c r="H298" i="1"/>
  <c r="G298" i="1"/>
  <c r="F298" i="1"/>
  <c r="E298" i="1"/>
  <c r="D298" i="1"/>
  <c r="C298" i="1"/>
  <c r="B298" i="1"/>
  <c r="A298" i="1"/>
  <c r="AM297" i="1"/>
  <c r="AL297" i="1"/>
  <c r="AK297" i="1"/>
  <c r="AJ297" i="1"/>
  <c r="AI297" i="1"/>
  <c r="AG297" i="1"/>
  <c r="AF297" i="1"/>
  <c r="AE297" i="1"/>
  <c r="AD297" i="1"/>
  <c r="AC297" i="1"/>
  <c r="AB297" i="1"/>
  <c r="Y297" i="1"/>
  <c r="X297" i="1"/>
  <c r="W297" i="1"/>
  <c r="V297" i="1"/>
  <c r="U297" i="1"/>
  <c r="T297" i="1"/>
  <c r="Q297" i="1"/>
  <c r="P297" i="1"/>
  <c r="N297" i="1"/>
  <c r="H297" i="1"/>
  <c r="G297" i="1"/>
  <c r="F297" i="1"/>
  <c r="E297" i="1"/>
  <c r="D297" i="1"/>
  <c r="C297" i="1"/>
  <c r="B297" i="1"/>
  <c r="A297" i="1"/>
  <c r="AM296" i="1"/>
  <c r="AK296" i="1"/>
  <c r="AJ296" i="1"/>
  <c r="AF296" i="1"/>
  <c r="AD296" i="1"/>
  <c r="AB296" i="1"/>
  <c r="Z296" i="1"/>
  <c r="X296" i="1"/>
  <c r="V296" i="1"/>
  <c r="T296" i="1"/>
  <c r="R296" i="1"/>
  <c r="P296" i="1"/>
  <c r="N296" i="1"/>
  <c r="J296" i="1"/>
  <c r="I296" i="1"/>
  <c r="H296" i="1"/>
  <c r="G296" i="1"/>
  <c r="F296" i="1"/>
  <c r="E296" i="1"/>
  <c r="D296" i="1"/>
  <c r="C296" i="1"/>
  <c r="B296" i="1"/>
  <c r="A296" i="1"/>
  <c r="AM295" i="1"/>
  <c r="AL295" i="1"/>
  <c r="AK295" i="1"/>
  <c r="AJ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P295" i="1"/>
  <c r="N295" i="1"/>
  <c r="J295" i="1"/>
  <c r="I295" i="1"/>
  <c r="H295" i="1"/>
  <c r="G295" i="1"/>
  <c r="F295" i="1"/>
  <c r="E295" i="1"/>
  <c r="D295" i="1"/>
  <c r="C295" i="1"/>
  <c r="B295" i="1"/>
  <c r="A295" i="1"/>
  <c r="AM294" i="1"/>
  <c r="AK294" i="1"/>
  <c r="AJ294" i="1"/>
  <c r="AF294" i="1"/>
  <c r="AD294" i="1"/>
  <c r="AB294" i="1"/>
  <c r="X294" i="1"/>
  <c r="V294" i="1"/>
  <c r="T294" i="1"/>
  <c r="P294" i="1"/>
  <c r="N294" i="1"/>
  <c r="H294" i="1"/>
  <c r="G294" i="1"/>
  <c r="F294" i="1"/>
  <c r="E294" i="1"/>
  <c r="D294" i="1"/>
  <c r="C294" i="1"/>
  <c r="B294" i="1"/>
  <c r="A294" i="1"/>
  <c r="AM293" i="1"/>
  <c r="AL293" i="1"/>
  <c r="AK293" i="1"/>
  <c r="AJ293" i="1"/>
  <c r="AG293" i="1"/>
  <c r="AF293" i="1"/>
  <c r="AE293" i="1"/>
  <c r="AD293" i="1"/>
  <c r="AC293" i="1"/>
  <c r="AB293" i="1"/>
  <c r="Y293" i="1"/>
  <c r="X293" i="1"/>
  <c r="W293" i="1"/>
  <c r="V293" i="1"/>
  <c r="U293" i="1"/>
  <c r="T293" i="1"/>
  <c r="P293" i="1"/>
  <c r="N293" i="1"/>
  <c r="H293" i="1"/>
  <c r="G293" i="1"/>
  <c r="F293" i="1"/>
  <c r="E293" i="1"/>
  <c r="D293" i="1"/>
  <c r="C293" i="1"/>
  <c r="B293" i="1"/>
  <c r="A293" i="1"/>
  <c r="AM292" i="1"/>
  <c r="AL292" i="1"/>
  <c r="AK292" i="1"/>
  <c r="AJ292" i="1"/>
  <c r="AG292" i="1"/>
  <c r="AF292" i="1"/>
  <c r="AE292" i="1"/>
  <c r="AD292" i="1"/>
  <c r="AC292" i="1"/>
  <c r="AB292" i="1"/>
  <c r="Y292" i="1"/>
  <c r="X292" i="1"/>
  <c r="W292" i="1"/>
  <c r="V292" i="1"/>
  <c r="U292" i="1"/>
  <c r="T292" i="1"/>
  <c r="Q292" i="1"/>
  <c r="P292" i="1"/>
  <c r="N292" i="1"/>
  <c r="H292" i="1"/>
  <c r="G292" i="1"/>
  <c r="F292" i="1"/>
  <c r="E292" i="1"/>
  <c r="D292" i="1"/>
  <c r="C292" i="1"/>
  <c r="B292" i="1"/>
  <c r="A292" i="1"/>
  <c r="AM291" i="1"/>
  <c r="AL291" i="1"/>
  <c r="AK291" i="1"/>
  <c r="AJ291" i="1"/>
  <c r="AI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Q291" i="1"/>
  <c r="P291" i="1"/>
  <c r="N291" i="1"/>
  <c r="J291" i="1"/>
  <c r="I291" i="1"/>
  <c r="H291" i="1"/>
  <c r="G291" i="1"/>
  <c r="F291" i="1"/>
  <c r="E291" i="1"/>
  <c r="D291" i="1"/>
  <c r="C291" i="1"/>
  <c r="B291" i="1"/>
  <c r="A291" i="1"/>
  <c r="AM290" i="1"/>
  <c r="AL290" i="1"/>
  <c r="AK290" i="1"/>
  <c r="AJ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P290" i="1"/>
  <c r="N290" i="1"/>
  <c r="H290" i="1"/>
  <c r="G290" i="1"/>
  <c r="F290" i="1"/>
  <c r="E290" i="1"/>
  <c r="D290" i="1"/>
  <c r="C290" i="1"/>
  <c r="B290" i="1"/>
  <c r="A290" i="1"/>
  <c r="AM289" i="1"/>
  <c r="AL289" i="1"/>
  <c r="AK289" i="1"/>
  <c r="AJ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P289" i="1"/>
  <c r="N289" i="1"/>
  <c r="H289" i="1"/>
  <c r="G289" i="1"/>
  <c r="F289" i="1"/>
  <c r="E289" i="1"/>
  <c r="D289" i="1"/>
  <c r="C289" i="1"/>
  <c r="B289" i="1"/>
  <c r="A289" i="1"/>
  <c r="AM288" i="1"/>
  <c r="AL288" i="1"/>
  <c r="AK288" i="1"/>
  <c r="AJ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P288" i="1"/>
  <c r="N288" i="1"/>
  <c r="H288" i="1"/>
  <c r="G288" i="1"/>
  <c r="F288" i="1"/>
  <c r="E288" i="1"/>
  <c r="D288" i="1"/>
  <c r="C288" i="1"/>
  <c r="B288" i="1"/>
  <c r="A288" i="1"/>
  <c r="AM287" i="1"/>
  <c r="AK287" i="1"/>
  <c r="AJ287" i="1"/>
  <c r="AF287" i="1"/>
  <c r="AD287" i="1"/>
  <c r="AB287" i="1"/>
  <c r="Z287" i="1"/>
  <c r="X287" i="1"/>
  <c r="V287" i="1"/>
  <c r="T287" i="1"/>
  <c r="S287" i="1"/>
  <c r="P287" i="1"/>
  <c r="N287" i="1"/>
  <c r="H287" i="1"/>
  <c r="G287" i="1"/>
  <c r="F287" i="1"/>
  <c r="E287" i="1"/>
  <c r="D287" i="1"/>
  <c r="C287" i="1"/>
  <c r="B287" i="1"/>
  <c r="A287" i="1"/>
  <c r="AM286" i="1"/>
  <c r="AL286" i="1"/>
  <c r="AK286" i="1"/>
  <c r="AJ286" i="1"/>
  <c r="AG286" i="1"/>
  <c r="AF286" i="1"/>
  <c r="AE286" i="1"/>
  <c r="AD286" i="1"/>
  <c r="AC286" i="1"/>
  <c r="AB286" i="1"/>
  <c r="AA286" i="1"/>
  <c r="Y286" i="1"/>
  <c r="X286" i="1"/>
  <c r="W286" i="1"/>
  <c r="V286" i="1"/>
  <c r="U286" i="1"/>
  <c r="T286" i="1"/>
  <c r="S286" i="1"/>
  <c r="Q286" i="1"/>
  <c r="P286" i="1"/>
  <c r="N286" i="1"/>
  <c r="H286" i="1"/>
  <c r="G286" i="1"/>
  <c r="F286" i="1"/>
  <c r="E286" i="1"/>
  <c r="D286" i="1"/>
  <c r="C286" i="1"/>
  <c r="B286" i="1"/>
  <c r="A286" i="1"/>
  <c r="AM285" i="1"/>
  <c r="AL285" i="1"/>
  <c r="AK285" i="1"/>
  <c r="AJ285" i="1"/>
  <c r="AG285" i="1"/>
  <c r="AF285" i="1"/>
  <c r="AE285" i="1"/>
  <c r="AD285" i="1"/>
  <c r="AC285" i="1"/>
  <c r="AB285" i="1"/>
  <c r="Y285" i="1"/>
  <c r="X285" i="1"/>
  <c r="W285" i="1"/>
  <c r="V285" i="1"/>
  <c r="U285" i="1"/>
  <c r="T285" i="1"/>
  <c r="R285" i="1"/>
  <c r="P285" i="1"/>
  <c r="N285" i="1"/>
  <c r="J285" i="1"/>
  <c r="I285" i="1"/>
  <c r="H285" i="1"/>
  <c r="G285" i="1"/>
  <c r="F285" i="1"/>
  <c r="E285" i="1"/>
  <c r="D285" i="1"/>
  <c r="C285" i="1"/>
  <c r="B285" i="1"/>
  <c r="A285" i="1"/>
  <c r="AM284" i="1"/>
  <c r="AL284" i="1"/>
  <c r="AK284" i="1"/>
  <c r="AJ284" i="1"/>
  <c r="AG284" i="1"/>
  <c r="AF284" i="1"/>
  <c r="AE284" i="1"/>
  <c r="AD284" i="1"/>
  <c r="AC284" i="1"/>
  <c r="AB284" i="1"/>
  <c r="Y284" i="1"/>
  <c r="X284" i="1"/>
  <c r="W284" i="1"/>
  <c r="V284" i="1"/>
  <c r="U284" i="1"/>
  <c r="T284" i="1"/>
  <c r="P284" i="1"/>
  <c r="N284" i="1"/>
  <c r="H284" i="1"/>
  <c r="G284" i="1"/>
  <c r="F284" i="1"/>
  <c r="E284" i="1"/>
  <c r="D284" i="1"/>
  <c r="C284" i="1"/>
  <c r="B284" i="1"/>
  <c r="A284" i="1"/>
  <c r="AM283" i="1"/>
  <c r="AK283" i="1"/>
  <c r="AJ283" i="1"/>
  <c r="AF283" i="1"/>
  <c r="AD283" i="1"/>
  <c r="AB283" i="1"/>
  <c r="X283" i="1"/>
  <c r="V283" i="1"/>
  <c r="T283" i="1"/>
  <c r="R283" i="1"/>
  <c r="Q283" i="1"/>
  <c r="P283" i="1"/>
  <c r="N283" i="1"/>
  <c r="M283" i="1"/>
  <c r="J283" i="1"/>
  <c r="I283" i="1"/>
  <c r="H283" i="1"/>
  <c r="G283" i="1"/>
  <c r="F283" i="1"/>
  <c r="E283" i="1"/>
  <c r="D283" i="1"/>
  <c r="C283" i="1"/>
  <c r="B283" i="1"/>
  <c r="A283" i="1"/>
  <c r="AM282" i="1"/>
  <c r="AL282" i="1"/>
  <c r="AK282" i="1"/>
  <c r="AJ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P282" i="1"/>
  <c r="N282" i="1"/>
  <c r="H282" i="1"/>
  <c r="G282" i="1"/>
  <c r="F282" i="1"/>
  <c r="E282" i="1"/>
  <c r="D282" i="1"/>
  <c r="C282" i="1"/>
  <c r="B282" i="1"/>
  <c r="A282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R281" i="1"/>
  <c r="Q281" i="1"/>
  <c r="P281" i="1"/>
  <c r="N281" i="1"/>
  <c r="M281" i="1"/>
  <c r="J281" i="1"/>
  <c r="I281" i="1"/>
  <c r="H281" i="1"/>
  <c r="G281" i="1"/>
  <c r="F281" i="1"/>
  <c r="E281" i="1"/>
  <c r="D281" i="1"/>
  <c r="C281" i="1"/>
  <c r="B281" i="1"/>
  <c r="A281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N280" i="1"/>
  <c r="J280" i="1"/>
  <c r="I280" i="1"/>
  <c r="H280" i="1"/>
  <c r="G280" i="1"/>
  <c r="F280" i="1"/>
  <c r="E280" i="1"/>
  <c r="D280" i="1"/>
  <c r="C280" i="1"/>
  <c r="B280" i="1"/>
  <c r="A280" i="1"/>
  <c r="AM279" i="1"/>
  <c r="AL279" i="1"/>
  <c r="AK279" i="1"/>
  <c r="AJ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Q279" i="1"/>
  <c r="P279" i="1"/>
  <c r="N279" i="1"/>
  <c r="H279" i="1"/>
  <c r="G279" i="1"/>
  <c r="F279" i="1"/>
  <c r="E279" i="1"/>
  <c r="D279" i="1"/>
  <c r="C279" i="1"/>
  <c r="B279" i="1"/>
  <c r="A279" i="1"/>
  <c r="AM278" i="1"/>
  <c r="AL278" i="1"/>
  <c r="AK278" i="1"/>
  <c r="AJ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Q278" i="1"/>
  <c r="P278" i="1"/>
  <c r="N278" i="1"/>
  <c r="H278" i="1"/>
  <c r="G278" i="1"/>
  <c r="F278" i="1"/>
  <c r="E278" i="1"/>
  <c r="D278" i="1"/>
  <c r="C278" i="1"/>
  <c r="B278" i="1"/>
  <c r="A278" i="1"/>
  <c r="AM277" i="1"/>
  <c r="AL277" i="1"/>
  <c r="AK277" i="1"/>
  <c r="AJ277" i="1"/>
  <c r="AG277" i="1"/>
  <c r="AF277" i="1"/>
  <c r="AE277" i="1"/>
  <c r="AD277" i="1"/>
  <c r="AC277" i="1"/>
  <c r="AB277" i="1"/>
  <c r="Z277" i="1"/>
  <c r="Y277" i="1"/>
  <c r="X277" i="1"/>
  <c r="W277" i="1"/>
  <c r="V277" i="1"/>
  <c r="U277" i="1"/>
  <c r="T277" i="1"/>
  <c r="R277" i="1"/>
  <c r="P277" i="1"/>
  <c r="N277" i="1"/>
  <c r="J277" i="1"/>
  <c r="I277" i="1"/>
  <c r="H277" i="1"/>
  <c r="G277" i="1"/>
  <c r="F277" i="1"/>
  <c r="E277" i="1"/>
  <c r="D277" i="1"/>
  <c r="C277" i="1"/>
  <c r="B277" i="1"/>
  <c r="A277" i="1"/>
  <c r="AM276" i="1"/>
  <c r="AL276" i="1"/>
  <c r="AK276" i="1"/>
  <c r="AJ276" i="1"/>
  <c r="AG276" i="1"/>
  <c r="AF276" i="1"/>
  <c r="AE276" i="1"/>
  <c r="AD276" i="1"/>
  <c r="AC276" i="1"/>
  <c r="AB276" i="1"/>
  <c r="Y276" i="1"/>
  <c r="X276" i="1"/>
  <c r="W276" i="1"/>
  <c r="V276" i="1"/>
  <c r="U276" i="1"/>
  <c r="T276" i="1"/>
  <c r="Q276" i="1"/>
  <c r="P276" i="1"/>
  <c r="N276" i="1"/>
  <c r="H276" i="1"/>
  <c r="G276" i="1"/>
  <c r="F276" i="1"/>
  <c r="E276" i="1"/>
  <c r="D276" i="1"/>
  <c r="C276" i="1"/>
  <c r="B276" i="1"/>
  <c r="A276" i="1"/>
  <c r="AM275" i="1"/>
  <c r="AL275" i="1"/>
  <c r="AK275" i="1"/>
  <c r="AJ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P275" i="1"/>
  <c r="N275" i="1"/>
  <c r="J275" i="1"/>
  <c r="I275" i="1"/>
  <c r="H275" i="1"/>
  <c r="G275" i="1"/>
  <c r="F275" i="1"/>
  <c r="E275" i="1"/>
  <c r="D275" i="1"/>
  <c r="C275" i="1"/>
  <c r="B275" i="1"/>
  <c r="A275" i="1"/>
  <c r="AM274" i="1"/>
  <c r="AL274" i="1"/>
  <c r="AK274" i="1"/>
  <c r="AJ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P274" i="1"/>
  <c r="N274" i="1"/>
  <c r="H274" i="1"/>
  <c r="G274" i="1"/>
  <c r="F274" i="1"/>
  <c r="E274" i="1"/>
  <c r="D274" i="1"/>
  <c r="C274" i="1"/>
  <c r="B274" i="1"/>
  <c r="A274" i="1"/>
  <c r="AM273" i="1"/>
  <c r="AL273" i="1"/>
  <c r="AK273" i="1"/>
  <c r="AJ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P273" i="1"/>
  <c r="N273" i="1"/>
  <c r="H273" i="1"/>
  <c r="G273" i="1"/>
  <c r="F273" i="1"/>
  <c r="E273" i="1"/>
  <c r="D273" i="1"/>
  <c r="C273" i="1"/>
  <c r="B273" i="1"/>
  <c r="A273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Q272" i="1"/>
  <c r="P272" i="1"/>
  <c r="N272" i="1"/>
  <c r="H272" i="1"/>
  <c r="G272" i="1"/>
  <c r="F272" i="1"/>
  <c r="E272" i="1"/>
  <c r="D272" i="1"/>
  <c r="C272" i="1"/>
  <c r="B272" i="1"/>
  <c r="A272" i="1"/>
  <c r="AM271" i="1"/>
  <c r="AL271" i="1"/>
  <c r="AK271" i="1"/>
  <c r="AJ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R271" i="1"/>
  <c r="Q271" i="1"/>
  <c r="P271" i="1"/>
  <c r="N271" i="1"/>
  <c r="J271" i="1"/>
  <c r="I271" i="1"/>
  <c r="H271" i="1"/>
  <c r="G271" i="1"/>
  <c r="F271" i="1"/>
  <c r="E271" i="1"/>
  <c r="D271" i="1"/>
  <c r="C271" i="1"/>
  <c r="B271" i="1"/>
  <c r="A271" i="1"/>
  <c r="AM270" i="1"/>
  <c r="AK270" i="1"/>
  <c r="AJ270" i="1"/>
  <c r="AF270" i="1"/>
  <c r="AD270" i="1"/>
  <c r="AB270" i="1"/>
  <c r="Z270" i="1"/>
  <c r="X270" i="1"/>
  <c r="V270" i="1"/>
  <c r="T270" i="1"/>
  <c r="P270" i="1"/>
  <c r="N270" i="1"/>
  <c r="H270" i="1"/>
  <c r="G270" i="1"/>
  <c r="F270" i="1"/>
  <c r="E270" i="1"/>
  <c r="D270" i="1"/>
  <c r="C270" i="1"/>
  <c r="B270" i="1"/>
  <c r="A270" i="1"/>
  <c r="AM269" i="1"/>
  <c r="AL269" i="1"/>
  <c r="AK269" i="1"/>
  <c r="AJ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R269" i="1"/>
  <c r="Q269" i="1"/>
  <c r="P269" i="1"/>
  <c r="N269" i="1"/>
  <c r="J269" i="1"/>
  <c r="I269" i="1"/>
  <c r="H269" i="1"/>
  <c r="G269" i="1"/>
  <c r="F269" i="1"/>
  <c r="E269" i="1"/>
  <c r="D269" i="1"/>
  <c r="C269" i="1"/>
  <c r="B269" i="1"/>
  <c r="A269" i="1"/>
  <c r="AM268" i="1"/>
  <c r="AL268" i="1"/>
  <c r="AK268" i="1"/>
  <c r="AJ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R268" i="1"/>
  <c r="Q268" i="1"/>
  <c r="P268" i="1"/>
  <c r="N268" i="1"/>
  <c r="J268" i="1"/>
  <c r="I268" i="1"/>
  <c r="H268" i="1"/>
  <c r="G268" i="1"/>
  <c r="F268" i="1"/>
  <c r="E268" i="1"/>
  <c r="D268" i="1"/>
  <c r="C268" i="1"/>
  <c r="B268" i="1"/>
  <c r="A268" i="1"/>
  <c r="AM267" i="1"/>
  <c r="AK267" i="1"/>
  <c r="AJ267" i="1"/>
  <c r="AF267" i="1"/>
  <c r="AD267" i="1"/>
  <c r="AB267" i="1"/>
  <c r="Z267" i="1"/>
  <c r="X267" i="1"/>
  <c r="V267" i="1"/>
  <c r="T267" i="1"/>
  <c r="S267" i="1"/>
  <c r="R267" i="1"/>
  <c r="P267" i="1"/>
  <c r="N267" i="1"/>
  <c r="J267" i="1"/>
  <c r="I267" i="1"/>
  <c r="H267" i="1"/>
  <c r="G267" i="1"/>
  <c r="F267" i="1"/>
  <c r="E267" i="1"/>
  <c r="D267" i="1"/>
  <c r="C267" i="1"/>
  <c r="B267" i="1"/>
  <c r="A267" i="1"/>
  <c r="AM266" i="1"/>
  <c r="AL266" i="1"/>
  <c r="AK266" i="1"/>
  <c r="AJ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R266" i="1"/>
  <c r="P266" i="1"/>
  <c r="N266" i="1"/>
  <c r="J266" i="1"/>
  <c r="I266" i="1"/>
  <c r="H266" i="1"/>
  <c r="G266" i="1"/>
  <c r="F266" i="1"/>
  <c r="E266" i="1"/>
  <c r="D266" i="1"/>
  <c r="C266" i="1"/>
  <c r="B266" i="1"/>
  <c r="A266" i="1"/>
  <c r="AM265" i="1"/>
  <c r="AL265" i="1"/>
  <c r="AK265" i="1"/>
  <c r="AJ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R265" i="1"/>
  <c r="P265" i="1"/>
  <c r="N265" i="1"/>
  <c r="J265" i="1"/>
  <c r="I265" i="1"/>
  <c r="H265" i="1"/>
  <c r="G265" i="1"/>
  <c r="F265" i="1"/>
  <c r="E265" i="1"/>
  <c r="D265" i="1"/>
  <c r="C265" i="1"/>
  <c r="B265" i="1"/>
  <c r="A265" i="1"/>
  <c r="AM264" i="1"/>
  <c r="AL264" i="1"/>
  <c r="AK264" i="1"/>
  <c r="AJ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Q264" i="1"/>
  <c r="P264" i="1"/>
  <c r="N264" i="1"/>
  <c r="H264" i="1"/>
  <c r="G264" i="1"/>
  <c r="F264" i="1"/>
  <c r="E264" i="1"/>
  <c r="D264" i="1"/>
  <c r="C264" i="1"/>
  <c r="B264" i="1"/>
  <c r="A264" i="1"/>
  <c r="AM263" i="1"/>
  <c r="AK263" i="1"/>
  <c r="AJ263" i="1"/>
  <c r="AF263" i="1"/>
  <c r="AD263" i="1"/>
  <c r="AB263" i="1"/>
  <c r="Z263" i="1"/>
  <c r="X263" i="1"/>
  <c r="V263" i="1"/>
  <c r="T263" i="1"/>
  <c r="P263" i="1"/>
  <c r="N263" i="1"/>
  <c r="H263" i="1"/>
  <c r="G263" i="1"/>
  <c r="F263" i="1"/>
  <c r="E263" i="1"/>
  <c r="D263" i="1"/>
  <c r="C263" i="1"/>
  <c r="B263" i="1"/>
  <c r="A263" i="1"/>
  <c r="AM262" i="1"/>
  <c r="AK262" i="1"/>
  <c r="AJ262" i="1"/>
  <c r="AF262" i="1"/>
  <c r="AD262" i="1"/>
  <c r="AB262" i="1"/>
  <c r="Z262" i="1"/>
  <c r="X262" i="1"/>
  <c r="V262" i="1"/>
  <c r="T262" i="1"/>
  <c r="S262" i="1"/>
  <c r="P262" i="1"/>
  <c r="N262" i="1"/>
  <c r="H262" i="1"/>
  <c r="G262" i="1"/>
  <c r="F262" i="1"/>
  <c r="E262" i="1"/>
  <c r="D262" i="1"/>
  <c r="C262" i="1"/>
  <c r="B262" i="1"/>
  <c r="A262" i="1"/>
  <c r="AM261" i="1"/>
  <c r="AL261" i="1"/>
  <c r="AK261" i="1"/>
  <c r="AJ261" i="1"/>
  <c r="AI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Q261" i="1"/>
  <c r="P261" i="1"/>
  <c r="N261" i="1"/>
  <c r="H261" i="1"/>
  <c r="G261" i="1"/>
  <c r="F261" i="1"/>
  <c r="E261" i="1"/>
  <c r="D261" i="1"/>
  <c r="C261" i="1"/>
  <c r="B261" i="1"/>
  <c r="A261" i="1"/>
  <c r="AM260" i="1"/>
  <c r="AL260" i="1"/>
  <c r="AK260" i="1"/>
  <c r="AJ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P260" i="1"/>
  <c r="N260" i="1"/>
  <c r="J260" i="1"/>
  <c r="I260" i="1"/>
  <c r="H260" i="1"/>
  <c r="G260" i="1"/>
  <c r="F260" i="1"/>
  <c r="E260" i="1"/>
  <c r="D260" i="1"/>
  <c r="C260" i="1"/>
  <c r="B260" i="1"/>
  <c r="A260" i="1"/>
  <c r="AM259" i="1"/>
  <c r="AL259" i="1"/>
  <c r="AK259" i="1"/>
  <c r="AJ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P259" i="1"/>
  <c r="N259" i="1"/>
  <c r="H259" i="1"/>
  <c r="G259" i="1"/>
  <c r="F259" i="1"/>
  <c r="E259" i="1"/>
  <c r="D259" i="1"/>
  <c r="C259" i="1"/>
  <c r="B259" i="1"/>
  <c r="A259" i="1"/>
  <c r="AM258" i="1"/>
  <c r="AL258" i="1"/>
  <c r="AK258" i="1"/>
  <c r="AJ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N258" i="1"/>
  <c r="J258" i="1"/>
  <c r="I258" i="1"/>
  <c r="H258" i="1"/>
  <c r="G258" i="1"/>
  <c r="F258" i="1"/>
  <c r="E258" i="1"/>
  <c r="D258" i="1"/>
  <c r="C258" i="1"/>
  <c r="B258" i="1"/>
  <c r="A258" i="1"/>
  <c r="AM257" i="1"/>
  <c r="AL257" i="1"/>
  <c r="AK257" i="1"/>
  <c r="AJ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Q257" i="1"/>
  <c r="P257" i="1"/>
  <c r="N257" i="1"/>
  <c r="H257" i="1"/>
  <c r="G257" i="1"/>
  <c r="F257" i="1"/>
  <c r="E257" i="1"/>
  <c r="D257" i="1"/>
  <c r="C257" i="1"/>
  <c r="B257" i="1"/>
  <c r="A257" i="1"/>
  <c r="AM256" i="1"/>
  <c r="AL256" i="1"/>
  <c r="AK256" i="1"/>
  <c r="AJ256" i="1"/>
  <c r="AI256" i="1"/>
  <c r="AH256" i="1"/>
  <c r="AG256" i="1"/>
  <c r="AF256" i="1"/>
  <c r="AE256" i="1"/>
  <c r="AD256" i="1"/>
  <c r="AB256" i="1"/>
  <c r="Y256" i="1"/>
  <c r="X256" i="1"/>
  <c r="W256" i="1"/>
  <c r="V256" i="1"/>
  <c r="U256" i="1"/>
  <c r="T256" i="1"/>
  <c r="R256" i="1"/>
  <c r="P256" i="1"/>
  <c r="N256" i="1"/>
  <c r="J256" i="1"/>
  <c r="I256" i="1"/>
  <c r="H256" i="1"/>
  <c r="G256" i="1"/>
  <c r="F256" i="1"/>
  <c r="E256" i="1"/>
  <c r="D256" i="1"/>
  <c r="C256" i="1"/>
  <c r="B256" i="1"/>
  <c r="A256" i="1"/>
  <c r="AM255" i="1"/>
  <c r="AL255" i="1"/>
  <c r="AK255" i="1"/>
  <c r="AJ255" i="1"/>
  <c r="AI255" i="1"/>
  <c r="AH255" i="1"/>
  <c r="AG255" i="1"/>
  <c r="AF255" i="1"/>
  <c r="AE255" i="1"/>
  <c r="AD255" i="1"/>
  <c r="AB255" i="1"/>
  <c r="Y255" i="1"/>
  <c r="X255" i="1"/>
  <c r="W255" i="1"/>
  <c r="V255" i="1"/>
  <c r="U255" i="1"/>
  <c r="T255" i="1"/>
  <c r="P255" i="1"/>
  <c r="N255" i="1"/>
  <c r="H255" i="1"/>
  <c r="G255" i="1"/>
  <c r="F255" i="1"/>
  <c r="E255" i="1"/>
  <c r="D255" i="1"/>
  <c r="C255" i="1"/>
  <c r="B255" i="1"/>
  <c r="A255" i="1"/>
  <c r="AM254" i="1"/>
  <c r="AL254" i="1"/>
  <c r="AK254" i="1"/>
  <c r="AJ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Q254" i="1"/>
  <c r="P254" i="1"/>
  <c r="N254" i="1"/>
  <c r="H254" i="1"/>
  <c r="G254" i="1"/>
  <c r="F254" i="1"/>
  <c r="E254" i="1"/>
  <c r="D254" i="1"/>
  <c r="C254" i="1"/>
  <c r="B254" i="1"/>
  <c r="A254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N253" i="1"/>
  <c r="M253" i="1"/>
  <c r="J253" i="1"/>
  <c r="I253" i="1"/>
  <c r="H253" i="1"/>
  <c r="G253" i="1"/>
  <c r="F253" i="1"/>
  <c r="E253" i="1"/>
  <c r="D253" i="1"/>
  <c r="C253" i="1"/>
  <c r="B253" i="1"/>
  <c r="A253" i="1"/>
  <c r="AM252" i="1"/>
  <c r="AL252" i="1"/>
  <c r="AK252" i="1"/>
  <c r="AJ252" i="1"/>
  <c r="AH252" i="1"/>
  <c r="AG252" i="1"/>
  <c r="AF252" i="1"/>
  <c r="AE252" i="1"/>
  <c r="AD252" i="1"/>
  <c r="AC252" i="1"/>
  <c r="AB252" i="1"/>
  <c r="Y252" i="1"/>
  <c r="X252" i="1"/>
  <c r="W252" i="1"/>
  <c r="V252" i="1"/>
  <c r="U252" i="1"/>
  <c r="T252" i="1"/>
  <c r="S252" i="1"/>
  <c r="R252" i="1"/>
  <c r="Q252" i="1"/>
  <c r="P252" i="1"/>
  <c r="N252" i="1"/>
  <c r="J252" i="1"/>
  <c r="I252" i="1"/>
  <c r="H252" i="1"/>
  <c r="G252" i="1"/>
  <c r="F252" i="1"/>
  <c r="E252" i="1"/>
  <c r="D252" i="1"/>
  <c r="C252" i="1"/>
  <c r="B252" i="1"/>
  <c r="A252" i="1"/>
  <c r="AM251" i="1"/>
  <c r="AL251" i="1"/>
  <c r="AK251" i="1"/>
  <c r="AJ251" i="1"/>
  <c r="AG251" i="1"/>
  <c r="AF251" i="1"/>
  <c r="AE251" i="1"/>
  <c r="AD251" i="1"/>
  <c r="AC251" i="1"/>
  <c r="AB251" i="1"/>
  <c r="AA251" i="1"/>
  <c r="Y251" i="1"/>
  <c r="X251" i="1"/>
  <c r="W251" i="1"/>
  <c r="V251" i="1"/>
  <c r="U251" i="1"/>
  <c r="T251" i="1"/>
  <c r="S251" i="1"/>
  <c r="R251" i="1"/>
  <c r="P251" i="1"/>
  <c r="N251" i="1"/>
  <c r="J251" i="1"/>
  <c r="I251" i="1"/>
  <c r="H251" i="1"/>
  <c r="G251" i="1"/>
  <c r="F251" i="1"/>
  <c r="E251" i="1"/>
  <c r="D251" i="1"/>
  <c r="C251" i="1"/>
  <c r="B251" i="1"/>
  <c r="A251" i="1"/>
  <c r="AM250" i="1"/>
  <c r="AL250" i="1"/>
  <c r="AK250" i="1"/>
  <c r="AJ250" i="1"/>
  <c r="AG250" i="1"/>
  <c r="AF250" i="1"/>
  <c r="AE250" i="1"/>
  <c r="AD250" i="1"/>
  <c r="AC250" i="1"/>
  <c r="AB250" i="1"/>
  <c r="AA250" i="1"/>
  <c r="Y250" i="1"/>
  <c r="X250" i="1"/>
  <c r="W250" i="1"/>
  <c r="V250" i="1"/>
  <c r="U250" i="1"/>
  <c r="T250" i="1"/>
  <c r="P250" i="1"/>
  <c r="N250" i="1"/>
  <c r="H250" i="1"/>
  <c r="G250" i="1"/>
  <c r="F250" i="1"/>
  <c r="E250" i="1"/>
  <c r="D250" i="1"/>
  <c r="C250" i="1"/>
  <c r="B250" i="1"/>
  <c r="A250" i="1"/>
  <c r="AM249" i="1"/>
  <c r="AL249" i="1"/>
  <c r="AK249" i="1"/>
  <c r="AJ249" i="1"/>
  <c r="AG249" i="1"/>
  <c r="AF249" i="1"/>
  <c r="AE249" i="1"/>
  <c r="AD249" i="1"/>
  <c r="AC249" i="1"/>
  <c r="AB249" i="1"/>
  <c r="Y249" i="1"/>
  <c r="X249" i="1"/>
  <c r="W249" i="1"/>
  <c r="V249" i="1"/>
  <c r="U249" i="1"/>
  <c r="T249" i="1"/>
  <c r="R249" i="1"/>
  <c r="P249" i="1"/>
  <c r="N249" i="1"/>
  <c r="J249" i="1"/>
  <c r="I249" i="1"/>
  <c r="H249" i="1"/>
  <c r="G249" i="1"/>
  <c r="F249" i="1"/>
  <c r="E249" i="1"/>
  <c r="D249" i="1"/>
  <c r="C249" i="1"/>
  <c r="B249" i="1"/>
  <c r="A249" i="1"/>
  <c r="AM248" i="1"/>
  <c r="AL248" i="1"/>
  <c r="AK248" i="1"/>
  <c r="AJ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P248" i="1"/>
  <c r="N248" i="1"/>
  <c r="J248" i="1"/>
  <c r="I248" i="1"/>
  <c r="H248" i="1"/>
  <c r="G248" i="1"/>
  <c r="F248" i="1"/>
  <c r="E248" i="1"/>
  <c r="D248" i="1"/>
  <c r="C248" i="1"/>
  <c r="B248" i="1"/>
  <c r="A248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Q247" i="1"/>
  <c r="P247" i="1"/>
  <c r="N247" i="1"/>
  <c r="H247" i="1"/>
  <c r="G247" i="1"/>
  <c r="F247" i="1"/>
  <c r="E247" i="1"/>
  <c r="D247" i="1"/>
  <c r="C247" i="1"/>
  <c r="B247" i="1"/>
  <c r="A247" i="1"/>
  <c r="AM246" i="1"/>
  <c r="AL246" i="1"/>
  <c r="AK246" i="1"/>
  <c r="AJ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P246" i="1"/>
  <c r="N246" i="1"/>
  <c r="H246" i="1"/>
  <c r="G246" i="1"/>
  <c r="F246" i="1"/>
  <c r="E246" i="1"/>
  <c r="D246" i="1"/>
  <c r="C246" i="1"/>
  <c r="B246" i="1"/>
  <c r="A246" i="1"/>
  <c r="AM245" i="1"/>
  <c r="AK245" i="1"/>
  <c r="AJ245" i="1"/>
  <c r="AF245" i="1"/>
  <c r="AD245" i="1"/>
  <c r="AB245" i="1"/>
  <c r="X245" i="1"/>
  <c r="V245" i="1"/>
  <c r="T245" i="1"/>
  <c r="R245" i="1"/>
  <c r="Q245" i="1"/>
  <c r="P245" i="1"/>
  <c r="N245" i="1"/>
  <c r="M245" i="1"/>
  <c r="J245" i="1"/>
  <c r="I245" i="1"/>
  <c r="H245" i="1"/>
  <c r="G245" i="1"/>
  <c r="F245" i="1"/>
  <c r="E245" i="1"/>
  <c r="D245" i="1"/>
  <c r="C245" i="1"/>
  <c r="B245" i="1"/>
  <c r="A245" i="1"/>
  <c r="AM244" i="1"/>
  <c r="AL244" i="1"/>
  <c r="AK244" i="1"/>
  <c r="AJ244" i="1"/>
  <c r="AG244" i="1"/>
  <c r="AF244" i="1"/>
  <c r="AE244" i="1"/>
  <c r="AD244" i="1"/>
  <c r="AC244" i="1"/>
  <c r="AB244" i="1"/>
  <c r="AA244" i="1"/>
  <c r="Y244" i="1"/>
  <c r="X244" i="1"/>
  <c r="W244" i="1"/>
  <c r="V244" i="1"/>
  <c r="U244" i="1"/>
  <c r="T244" i="1"/>
  <c r="R244" i="1"/>
  <c r="P244" i="1"/>
  <c r="N244" i="1"/>
  <c r="M244" i="1"/>
  <c r="J244" i="1"/>
  <c r="I244" i="1"/>
  <c r="H244" i="1"/>
  <c r="G244" i="1"/>
  <c r="F244" i="1"/>
  <c r="E244" i="1"/>
  <c r="D244" i="1"/>
  <c r="C244" i="1"/>
  <c r="B244" i="1"/>
  <c r="A244" i="1"/>
  <c r="AM243" i="1"/>
  <c r="AL243" i="1"/>
  <c r="AK243" i="1"/>
  <c r="AJ243" i="1"/>
  <c r="AG243" i="1"/>
  <c r="AF243" i="1"/>
  <c r="AE243" i="1"/>
  <c r="AD243" i="1"/>
  <c r="AC243" i="1"/>
  <c r="AB243" i="1"/>
  <c r="Y243" i="1"/>
  <c r="X243" i="1"/>
  <c r="W243" i="1"/>
  <c r="V243" i="1"/>
  <c r="U243" i="1"/>
  <c r="T243" i="1"/>
  <c r="P243" i="1"/>
  <c r="N243" i="1"/>
  <c r="H243" i="1"/>
  <c r="G243" i="1"/>
  <c r="F243" i="1"/>
  <c r="E243" i="1"/>
  <c r="D243" i="1"/>
  <c r="C243" i="1"/>
  <c r="B243" i="1"/>
  <c r="A243" i="1"/>
  <c r="AM242" i="1"/>
  <c r="AL242" i="1"/>
  <c r="AK242" i="1"/>
  <c r="AJ242" i="1"/>
  <c r="AG242" i="1"/>
  <c r="AF242" i="1"/>
  <c r="AE242" i="1"/>
  <c r="AD242" i="1"/>
  <c r="AC242" i="1"/>
  <c r="AB242" i="1"/>
  <c r="Y242" i="1"/>
  <c r="X242" i="1"/>
  <c r="W242" i="1"/>
  <c r="V242" i="1"/>
  <c r="U242" i="1"/>
  <c r="T242" i="1"/>
  <c r="S242" i="1"/>
  <c r="R242" i="1"/>
  <c r="Q242" i="1"/>
  <c r="P242" i="1"/>
  <c r="N242" i="1"/>
  <c r="J242" i="1"/>
  <c r="I242" i="1"/>
  <c r="H242" i="1"/>
  <c r="G242" i="1"/>
  <c r="F242" i="1"/>
  <c r="E242" i="1"/>
  <c r="D242" i="1"/>
  <c r="C242" i="1"/>
  <c r="B242" i="1"/>
  <c r="A242" i="1"/>
  <c r="AM241" i="1"/>
  <c r="AL241" i="1"/>
  <c r="AK241" i="1"/>
  <c r="AJ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R241" i="1"/>
  <c r="Q241" i="1"/>
  <c r="P241" i="1"/>
  <c r="N241" i="1"/>
  <c r="J241" i="1"/>
  <c r="I241" i="1"/>
  <c r="H241" i="1"/>
  <c r="G241" i="1"/>
  <c r="F241" i="1"/>
  <c r="E241" i="1"/>
  <c r="D241" i="1"/>
  <c r="C241" i="1"/>
  <c r="B241" i="1"/>
  <c r="A241" i="1"/>
  <c r="AM240" i="1"/>
  <c r="AL240" i="1"/>
  <c r="AK240" i="1"/>
  <c r="AJ240" i="1"/>
  <c r="AG240" i="1"/>
  <c r="AF240" i="1"/>
  <c r="AE240" i="1"/>
  <c r="AD240" i="1"/>
  <c r="AC240" i="1"/>
  <c r="AB240" i="1"/>
  <c r="Z240" i="1"/>
  <c r="Y240" i="1"/>
  <c r="X240" i="1"/>
  <c r="W240" i="1"/>
  <c r="V240" i="1"/>
  <c r="U240" i="1"/>
  <c r="T240" i="1"/>
  <c r="R240" i="1"/>
  <c r="Q240" i="1"/>
  <c r="P240" i="1"/>
  <c r="N240" i="1"/>
  <c r="J240" i="1"/>
  <c r="I240" i="1"/>
  <c r="H240" i="1"/>
  <c r="G240" i="1"/>
  <c r="F240" i="1"/>
  <c r="E240" i="1"/>
  <c r="D240" i="1"/>
  <c r="C240" i="1"/>
  <c r="B240" i="1"/>
  <c r="A240" i="1"/>
  <c r="AM239" i="1"/>
  <c r="AL239" i="1"/>
  <c r="AK239" i="1"/>
  <c r="AJ239" i="1"/>
  <c r="AG239" i="1"/>
  <c r="AF239" i="1"/>
  <c r="AE239" i="1"/>
  <c r="AD239" i="1"/>
  <c r="AC239" i="1"/>
  <c r="AB239" i="1"/>
  <c r="Y239" i="1"/>
  <c r="X239" i="1"/>
  <c r="W239" i="1"/>
  <c r="V239" i="1"/>
  <c r="U239" i="1"/>
  <c r="T239" i="1"/>
  <c r="R239" i="1"/>
  <c r="P239" i="1"/>
  <c r="N239" i="1"/>
  <c r="J239" i="1"/>
  <c r="I239" i="1"/>
  <c r="H239" i="1"/>
  <c r="G239" i="1"/>
  <c r="F239" i="1"/>
  <c r="E239" i="1"/>
  <c r="D239" i="1"/>
  <c r="C239" i="1"/>
  <c r="B239" i="1"/>
  <c r="A239" i="1"/>
  <c r="AM238" i="1"/>
  <c r="AL238" i="1"/>
  <c r="AK238" i="1"/>
  <c r="AJ238" i="1"/>
  <c r="AG238" i="1"/>
  <c r="AF238" i="1"/>
  <c r="AE238" i="1"/>
  <c r="AD238" i="1"/>
  <c r="AC238" i="1"/>
  <c r="AB238" i="1"/>
  <c r="Y238" i="1"/>
  <c r="X238" i="1"/>
  <c r="W238" i="1"/>
  <c r="V238" i="1"/>
  <c r="U238" i="1"/>
  <c r="T238" i="1"/>
  <c r="R238" i="1"/>
  <c r="P238" i="1"/>
  <c r="N238" i="1"/>
  <c r="M238" i="1"/>
  <c r="K238" i="1"/>
  <c r="J238" i="1"/>
  <c r="I238" i="1"/>
  <c r="H238" i="1"/>
  <c r="G238" i="1"/>
  <c r="F238" i="1"/>
  <c r="E238" i="1"/>
  <c r="D238" i="1"/>
  <c r="C238" i="1"/>
  <c r="B238" i="1"/>
  <c r="A238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N237" i="1"/>
  <c r="J237" i="1"/>
  <c r="I237" i="1"/>
  <c r="H237" i="1"/>
  <c r="G237" i="1"/>
  <c r="F237" i="1"/>
  <c r="E237" i="1"/>
  <c r="D237" i="1"/>
  <c r="C237" i="1"/>
  <c r="B237" i="1"/>
  <c r="A237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N236" i="1"/>
  <c r="M236" i="1"/>
  <c r="J236" i="1"/>
  <c r="I236" i="1"/>
  <c r="H236" i="1"/>
  <c r="G236" i="1"/>
  <c r="F236" i="1"/>
  <c r="E236" i="1"/>
  <c r="D236" i="1"/>
  <c r="C236" i="1"/>
  <c r="B236" i="1"/>
  <c r="A236" i="1"/>
  <c r="AM235" i="1"/>
  <c r="AL235" i="1"/>
  <c r="AK235" i="1"/>
  <c r="AJ235" i="1"/>
  <c r="AH235" i="1"/>
  <c r="AG235" i="1"/>
  <c r="AF235" i="1"/>
  <c r="AE235" i="1"/>
  <c r="AD235" i="1"/>
  <c r="AC235" i="1"/>
  <c r="AB235" i="1"/>
  <c r="AA235" i="1"/>
  <c r="Y235" i="1"/>
  <c r="X235" i="1"/>
  <c r="W235" i="1"/>
  <c r="V235" i="1"/>
  <c r="U235" i="1"/>
  <c r="T235" i="1"/>
  <c r="S235" i="1"/>
  <c r="R235" i="1"/>
  <c r="Q235" i="1"/>
  <c r="P235" i="1"/>
  <c r="N235" i="1"/>
  <c r="J235" i="1"/>
  <c r="I235" i="1"/>
  <c r="H235" i="1"/>
  <c r="G235" i="1"/>
  <c r="F235" i="1"/>
  <c r="E235" i="1"/>
  <c r="D235" i="1"/>
  <c r="C235" i="1"/>
  <c r="B235" i="1"/>
  <c r="A235" i="1"/>
  <c r="AM234" i="1"/>
  <c r="AL234" i="1"/>
  <c r="AK234" i="1"/>
  <c r="AJ234" i="1"/>
  <c r="AH234" i="1"/>
  <c r="AG234" i="1"/>
  <c r="AF234" i="1"/>
  <c r="AE234" i="1"/>
  <c r="AD234" i="1"/>
  <c r="AC234" i="1"/>
  <c r="AB234" i="1"/>
  <c r="AA234" i="1"/>
  <c r="Y234" i="1"/>
  <c r="X234" i="1"/>
  <c r="W234" i="1"/>
  <c r="V234" i="1"/>
  <c r="U234" i="1"/>
  <c r="T234" i="1"/>
  <c r="Q234" i="1"/>
  <c r="P234" i="1"/>
  <c r="N234" i="1"/>
  <c r="H234" i="1"/>
  <c r="G234" i="1"/>
  <c r="F234" i="1"/>
  <c r="E234" i="1"/>
  <c r="D234" i="1"/>
  <c r="C234" i="1"/>
  <c r="B234" i="1"/>
  <c r="A234" i="1"/>
  <c r="AM233" i="1"/>
  <c r="AL233" i="1"/>
  <c r="AK233" i="1"/>
  <c r="AJ233" i="1"/>
  <c r="AG233" i="1"/>
  <c r="AF233" i="1"/>
  <c r="AE233" i="1"/>
  <c r="AD233" i="1"/>
  <c r="AC233" i="1"/>
  <c r="AB233" i="1"/>
  <c r="Z233" i="1"/>
  <c r="Y233" i="1"/>
  <c r="X233" i="1"/>
  <c r="W233" i="1"/>
  <c r="V233" i="1"/>
  <c r="U233" i="1"/>
  <c r="T233" i="1"/>
  <c r="S233" i="1"/>
  <c r="P233" i="1"/>
  <c r="N233" i="1"/>
  <c r="H233" i="1"/>
  <c r="G233" i="1"/>
  <c r="F233" i="1"/>
  <c r="E233" i="1"/>
  <c r="D233" i="1"/>
  <c r="C233" i="1"/>
  <c r="B233" i="1"/>
  <c r="A233" i="1"/>
  <c r="AM232" i="1"/>
  <c r="AL232" i="1"/>
  <c r="AK232" i="1"/>
  <c r="AJ232" i="1"/>
  <c r="AG232" i="1"/>
  <c r="AF232" i="1"/>
  <c r="AE232" i="1"/>
  <c r="AD232" i="1"/>
  <c r="AC232" i="1"/>
  <c r="AB232" i="1"/>
  <c r="Z232" i="1"/>
  <c r="Y232" i="1"/>
  <c r="X232" i="1"/>
  <c r="W232" i="1"/>
  <c r="V232" i="1"/>
  <c r="U232" i="1"/>
  <c r="T232" i="1"/>
  <c r="S232" i="1"/>
  <c r="P232" i="1"/>
  <c r="N232" i="1"/>
  <c r="H232" i="1"/>
  <c r="G232" i="1"/>
  <c r="F232" i="1"/>
  <c r="E232" i="1"/>
  <c r="D232" i="1"/>
  <c r="C232" i="1"/>
  <c r="B232" i="1"/>
  <c r="A232" i="1"/>
  <c r="AM231" i="1"/>
  <c r="AL231" i="1"/>
  <c r="AK231" i="1"/>
  <c r="AJ231" i="1"/>
  <c r="AG231" i="1"/>
  <c r="AF231" i="1"/>
  <c r="AE231" i="1"/>
  <c r="AD231" i="1"/>
  <c r="AC231" i="1"/>
  <c r="AB231" i="1"/>
  <c r="Z231" i="1"/>
  <c r="Y231" i="1"/>
  <c r="X231" i="1"/>
  <c r="W231" i="1"/>
  <c r="V231" i="1"/>
  <c r="U231" i="1"/>
  <c r="T231" i="1"/>
  <c r="S231" i="1"/>
  <c r="P231" i="1"/>
  <c r="N231" i="1"/>
  <c r="H231" i="1"/>
  <c r="G231" i="1"/>
  <c r="F231" i="1"/>
  <c r="E231" i="1"/>
  <c r="D231" i="1"/>
  <c r="C231" i="1"/>
  <c r="B231" i="1"/>
  <c r="A231" i="1"/>
  <c r="AM230" i="1"/>
  <c r="AL230" i="1"/>
  <c r="AK230" i="1"/>
  <c r="AJ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N230" i="1"/>
  <c r="J230" i="1"/>
  <c r="I230" i="1"/>
  <c r="H230" i="1"/>
  <c r="G230" i="1"/>
  <c r="F230" i="1"/>
  <c r="E230" i="1"/>
  <c r="D230" i="1"/>
  <c r="C230" i="1"/>
  <c r="B230" i="1"/>
  <c r="A230" i="1"/>
  <c r="AM229" i="1"/>
  <c r="AL229" i="1"/>
  <c r="AK229" i="1"/>
  <c r="AJ229" i="1"/>
  <c r="AG229" i="1"/>
  <c r="AF229" i="1"/>
  <c r="AE229" i="1"/>
  <c r="AD229" i="1"/>
  <c r="AC229" i="1"/>
  <c r="AB229" i="1"/>
  <c r="Y229" i="1"/>
  <c r="X229" i="1"/>
  <c r="W229" i="1"/>
  <c r="V229" i="1"/>
  <c r="U229" i="1"/>
  <c r="T229" i="1"/>
  <c r="S229" i="1"/>
  <c r="P229" i="1"/>
  <c r="N229" i="1"/>
  <c r="H229" i="1"/>
  <c r="G229" i="1"/>
  <c r="F229" i="1"/>
  <c r="E229" i="1"/>
  <c r="D229" i="1"/>
  <c r="C229" i="1"/>
  <c r="B229" i="1"/>
  <c r="A229" i="1"/>
  <c r="AM228" i="1"/>
  <c r="AL228" i="1"/>
  <c r="AK228" i="1"/>
  <c r="AJ228" i="1"/>
  <c r="AI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P228" i="1"/>
  <c r="N228" i="1"/>
  <c r="H228" i="1"/>
  <c r="G228" i="1"/>
  <c r="F228" i="1"/>
  <c r="E228" i="1"/>
  <c r="D228" i="1"/>
  <c r="C228" i="1"/>
  <c r="B228" i="1"/>
  <c r="A228" i="1"/>
  <c r="AM227" i="1"/>
  <c r="AL227" i="1"/>
  <c r="AK227" i="1"/>
  <c r="AJ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Q227" i="1"/>
  <c r="P227" i="1"/>
  <c r="N227" i="1"/>
  <c r="H227" i="1"/>
  <c r="G227" i="1"/>
  <c r="F227" i="1"/>
  <c r="E227" i="1"/>
  <c r="D227" i="1"/>
  <c r="C227" i="1"/>
  <c r="B227" i="1"/>
  <c r="A227" i="1"/>
  <c r="AM226" i="1"/>
  <c r="AL226" i="1"/>
  <c r="AK226" i="1"/>
  <c r="AJ226" i="1"/>
  <c r="AH226" i="1"/>
  <c r="AG226" i="1"/>
  <c r="AF226" i="1"/>
  <c r="AE226" i="1"/>
  <c r="AD226" i="1"/>
  <c r="AC226" i="1"/>
  <c r="AB226" i="1"/>
  <c r="Z226" i="1"/>
  <c r="Y226" i="1"/>
  <c r="X226" i="1"/>
  <c r="W226" i="1"/>
  <c r="V226" i="1"/>
  <c r="U226" i="1"/>
  <c r="T226" i="1"/>
  <c r="S226" i="1"/>
  <c r="R226" i="1"/>
  <c r="Q226" i="1"/>
  <c r="P226" i="1"/>
  <c r="N226" i="1"/>
  <c r="J226" i="1"/>
  <c r="I226" i="1"/>
  <c r="H226" i="1"/>
  <c r="G226" i="1"/>
  <c r="F226" i="1"/>
  <c r="E226" i="1"/>
  <c r="D226" i="1"/>
  <c r="C226" i="1"/>
  <c r="B226" i="1"/>
  <c r="A226" i="1"/>
  <c r="AM225" i="1"/>
  <c r="AL225" i="1"/>
  <c r="AK225" i="1"/>
  <c r="AJ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P225" i="1"/>
  <c r="N225" i="1"/>
  <c r="J225" i="1"/>
  <c r="I225" i="1"/>
  <c r="H225" i="1"/>
  <c r="G225" i="1"/>
  <c r="F225" i="1"/>
  <c r="E225" i="1"/>
  <c r="D225" i="1"/>
  <c r="C225" i="1"/>
  <c r="B225" i="1"/>
  <c r="A225" i="1"/>
  <c r="AM224" i="1"/>
  <c r="AL224" i="1"/>
  <c r="AK224" i="1"/>
  <c r="AJ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Q224" i="1"/>
  <c r="P224" i="1"/>
  <c r="N224" i="1"/>
  <c r="H224" i="1"/>
  <c r="G224" i="1"/>
  <c r="F224" i="1"/>
  <c r="E224" i="1"/>
  <c r="D224" i="1"/>
  <c r="C224" i="1"/>
  <c r="B224" i="1"/>
  <c r="A224" i="1"/>
  <c r="AM223" i="1"/>
  <c r="AL223" i="1"/>
  <c r="AK223" i="1"/>
  <c r="AJ223" i="1"/>
  <c r="AI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Q223" i="1"/>
  <c r="P223" i="1"/>
  <c r="N223" i="1"/>
  <c r="H223" i="1"/>
  <c r="G223" i="1"/>
  <c r="F223" i="1"/>
  <c r="E223" i="1"/>
  <c r="D223" i="1"/>
  <c r="C223" i="1"/>
  <c r="B223" i="1"/>
  <c r="A223" i="1"/>
  <c r="AM222" i="1"/>
  <c r="AL222" i="1"/>
  <c r="AK222" i="1"/>
  <c r="AJ222" i="1"/>
  <c r="AI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N222" i="1"/>
  <c r="J222" i="1"/>
  <c r="I222" i="1"/>
  <c r="H222" i="1"/>
  <c r="G222" i="1"/>
  <c r="F222" i="1"/>
  <c r="E222" i="1"/>
  <c r="D222" i="1"/>
  <c r="C222" i="1"/>
  <c r="B222" i="1"/>
  <c r="A222" i="1"/>
  <c r="AM221" i="1"/>
  <c r="AL221" i="1"/>
  <c r="AK221" i="1"/>
  <c r="AJ221" i="1"/>
  <c r="AG221" i="1"/>
  <c r="AF221" i="1"/>
  <c r="AE221" i="1"/>
  <c r="AD221" i="1"/>
  <c r="AC221" i="1"/>
  <c r="AB221" i="1"/>
  <c r="Y221" i="1"/>
  <c r="X221" i="1"/>
  <c r="W221" i="1"/>
  <c r="V221" i="1"/>
  <c r="U221" i="1"/>
  <c r="T221" i="1"/>
  <c r="P221" i="1"/>
  <c r="N221" i="1"/>
  <c r="H221" i="1"/>
  <c r="G221" i="1"/>
  <c r="F221" i="1"/>
  <c r="E221" i="1"/>
  <c r="D221" i="1"/>
  <c r="C221" i="1"/>
  <c r="B221" i="1"/>
  <c r="A221" i="1"/>
  <c r="AM220" i="1"/>
  <c r="AK220" i="1"/>
  <c r="AJ220" i="1"/>
  <c r="AH220" i="1"/>
  <c r="AF220" i="1"/>
  <c r="AD220" i="1"/>
  <c r="AB220" i="1"/>
  <c r="Z220" i="1"/>
  <c r="X220" i="1"/>
  <c r="V220" i="1"/>
  <c r="T220" i="1"/>
  <c r="S220" i="1"/>
  <c r="R220" i="1"/>
  <c r="Q220" i="1"/>
  <c r="P220" i="1"/>
  <c r="N220" i="1"/>
  <c r="M220" i="1"/>
  <c r="J220" i="1"/>
  <c r="I220" i="1"/>
  <c r="H220" i="1"/>
  <c r="G220" i="1"/>
  <c r="F220" i="1"/>
  <c r="E220" i="1"/>
  <c r="D220" i="1"/>
  <c r="C220" i="1"/>
  <c r="B220" i="1"/>
  <c r="A220" i="1"/>
  <c r="AM219" i="1"/>
  <c r="AL219" i="1"/>
  <c r="AK219" i="1"/>
  <c r="AJ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P219" i="1"/>
  <c r="N219" i="1"/>
  <c r="H219" i="1"/>
  <c r="G219" i="1"/>
  <c r="F219" i="1"/>
  <c r="E219" i="1"/>
  <c r="D219" i="1"/>
  <c r="C219" i="1"/>
  <c r="B219" i="1"/>
  <c r="A219" i="1"/>
  <c r="AM218" i="1"/>
  <c r="AL218" i="1"/>
  <c r="AK218" i="1"/>
  <c r="AJ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R218" i="1"/>
  <c r="P218" i="1"/>
  <c r="N218" i="1"/>
  <c r="J218" i="1"/>
  <c r="I218" i="1"/>
  <c r="H218" i="1"/>
  <c r="G218" i="1"/>
  <c r="F218" i="1"/>
  <c r="E218" i="1"/>
  <c r="D218" i="1"/>
  <c r="C218" i="1"/>
  <c r="B218" i="1"/>
  <c r="A218" i="1"/>
  <c r="AM217" i="1"/>
  <c r="AK217" i="1"/>
  <c r="AJ217" i="1"/>
  <c r="AF217" i="1"/>
  <c r="AD217" i="1"/>
  <c r="AB217" i="1"/>
  <c r="X217" i="1"/>
  <c r="V217" i="1"/>
  <c r="T217" i="1"/>
  <c r="R217" i="1"/>
  <c r="Q217" i="1"/>
  <c r="P217" i="1"/>
  <c r="N217" i="1"/>
  <c r="M217" i="1"/>
  <c r="J217" i="1"/>
  <c r="I217" i="1"/>
  <c r="H217" i="1"/>
  <c r="G217" i="1"/>
  <c r="F217" i="1"/>
  <c r="E217" i="1"/>
  <c r="D217" i="1"/>
  <c r="C217" i="1"/>
  <c r="B217" i="1"/>
  <c r="A217" i="1"/>
  <c r="AM216" i="1"/>
  <c r="AK216" i="1"/>
  <c r="AJ216" i="1"/>
  <c r="AF216" i="1"/>
  <c r="AD216" i="1"/>
  <c r="AB216" i="1"/>
  <c r="Z216" i="1"/>
  <c r="X216" i="1"/>
  <c r="V216" i="1"/>
  <c r="T216" i="1"/>
  <c r="S216" i="1"/>
  <c r="R216" i="1"/>
  <c r="P216" i="1"/>
  <c r="N216" i="1"/>
  <c r="M216" i="1"/>
  <c r="J216" i="1"/>
  <c r="I216" i="1"/>
  <c r="H216" i="1"/>
  <c r="G216" i="1"/>
  <c r="F216" i="1"/>
  <c r="E216" i="1"/>
  <c r="D216" i="1"/>
  <c r="C216" i="1"/>
  <c r="B216" i="1"/>
  <c r="A216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Q215" i="1"/>
  <c r="P215" i="1"/>
  <c r="N215" i="1"/>
  <c r="H215" i="1"/>
  <c r="G215" i="1"/>
  <c r="F215" i="1"/>
  <c r="E215" i="1"/>
  <c r="D215" i="1"/>
  <c r="C215" i="1"/>
  <c r="B215" i="1"/>
  <c r="A215" i="1"/>
  <c r="AM214" i="1"/>
  <c r="AL214" i="1"/>
  <c r="AK214" i="1"/>
  <c r="AJ214" i="1"/>
  <c r="AI214" i="1"/>
  <c r="AG214" i="1"/>
  <c r="AF214" i="1"/>
  <c r="AE214" i="1"/>
  <c r="AD214" i="1"/>
  <c r="AC214" i="1"/>
  <c r="AB214" i="1"/>
  <c r="Y214" i="1"/>
  <c r="X214" i="1"/>
  <c r="W214" i="1"/>
  <c r="V214" i="1"/>
  <c r="U214" i="1"/>
  <c r="T214" i="1"/>
  <c r="S214" i="1"/>
  <c r="R214" i="1"/>
  <c r="Q214" i="1"/>
  <c r="P214" i="1"/>
  <c r="N214" i="1"/>
  <c r="J214" i="1"/>
  <c r="I214" i="1"/>
  <c r="H214" i="1"/>
  <c r="G214" i="1"/>
  <c r="F214" i="1"/>
  <c r="E214" i="1"/>
  <c r="D214" i="1"/>
  <c r="C214" i="1"/>
  <c r="B214" i="1"/>
  <c r="A214" i="1"/>
  <c r="AM213" i="1"/>
  <c r="AL213" i="1"/>
  <c r="AK213" i="1"/>
  <c r="AJ213" i="1"/>
  <c r="AI213" i="1"/>
  <c r="AG213" i="1"/>
  <c r="AF213" i="1"/>
  <c r="AE213" i="1"/>
  <c r="AD213" i="1"/>
  <c r="AC213" i="1"/>
  <c r="AB213" i="1"/>
  <c r="Y213" i="1"/>
  <c r="X213" i="1"/>
  <c r="W213" i="1"/>
  <c r="V213" i="1"/>
  <c r="U213" i="1"/>
  <c r="T213" i="1"/>
  <c r="S213" i="1"/>
  <c r="R213" i="1"/>
  <c r="Q213" i="1"/>
  <c r="P213" i="1"/>
  <c r="N213" i="1"/>
  <c r="J213" i="1"/>
  <c r="I213" i="1"/>
  <c r="H213" i="1"/>
  <c r="G213" i="1"/>
  <c r="F213" i="1"/>
  <c r="E213" i="1"/>
  <c r="D213" i="1"/>
  <c r="C213" i="1"/>
  <c r="B213" i="1"/>
  <c r="A213" i="1"/>
  <c r="AM212" i="1"/>
  <c r="AK212" i="1"/>
  <c r="AJ212" i="1"/>
  <c r="AF212" i="1"/>
  <c r="AD212" i="1"/>
  <c r="AB212" i="1"/>
  <c r="X212" i="1"/>
  <c r="V212" i="1"/>
  <c r="T212" i="1"/>
  <c r="R212" i="1"/>
  <c r="P212" i="1"/>
  <c r="N212" i="1"/>
  <c r="M212" i="1"/>
  <c r="I212" i="1"/>
  <c r="H212" i="1"/>
  <c r="G212" i="1"/>
  <c r="F212" i="1"/>
  <c r="E212" i="1"/>
  <c r="D212" i="1"/>
  <c r="C212" i="1"/>
  <c r="B212" i="1"/>
  <c r="A212" i="1"/>
  <c r="AM211" i="1"/>
  <c r="AL211" i="1"/>
  <c r="AK211" i="1"/>
  <c r="AJ211" i="1"/>
  <c r="AI211" i="1"/>
  <c r="AG211" i="1"/>
  <c r="AF211" i="1"/>
  <c r="AE211" i="1"/>
  <c r="AD211" i="1"/>
  <c r="AC211" i="1"/>
  <c r="AB211" i="1"/>
  <c r="Y211" i="1"/>
  <c r="X211" i="1"/>
  <c r="W211" i="1"/>
  <c r="V211" i="1"/>
  <c r="U211" i="1"/>
  <c r="T211" i="1"/>
  <c r="S211" i="1"/>
  <c r="R211" i="1"/>
  <c r="Q211" i="1"/>
  <c r="P211" i="1"/>
  <c r="N211" i="1"/>
  <c r="M211" i="1"/>
  <c r="J211" i="1"/>
  <c r="I211" i="1"/>
  <c r="H211" i="1"/>
  <c r="G211" i="1"/>
  <c r="F211" i="1"/>
  <c r="E211" i="1"/>
  <c r="D211" i="1"/>
  <c r="C211" i="1"/>
  <c r="B211" i="1"/>
  <c r="A211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N210" i="1"/>
  <c r="J210" i="1"/>
  <c r="I210" i="1"/>
  <c r="H210" i="1"/>
  <c r="G210" i="1"/>
  <c r="F210" i="1"/>
  <c r="E210" i="1"/>
  <c r="D210" i="1"/>
  <c r="C210" i="1"/>
  <c r="B210" i="1"/>
  <c r="A210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N209" i="1"/>
  <c r="J209" i="1"/>
  <c r="I209" i="1"/>
  <c r="H209" i="1"/>
  <c r="G209" i="1"/>
  <c r="F209" i="1"/>
  <c r="E209" i="1"/>
  <c r="D209" i="1"/>
  <c r="C209" i="1"/>
  <c r="B209" i="1"/>
  <c r="A209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Q208" i="1"/>
  <c r="P208" i="1"/>
  <c r="N208" i="1"/>
  <c r="H208" i="1"/>
  <c r="G208" i="1"/>
  <c r="F208" i="1"/>
  <c r="E208" i="1"/>
  <c r="D208" i="1"/>
  <c r="C208" i="1"/>
  <c r="B208" i="1"/>
  <c r="A208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Q207" i="1"/>
  <c r="P207" i="1"/>
  <c r="N207" i="1"/>
  <c r="H207" i="1"/>
  <c r="G207" i="1"/>
  <c r="F207" i="1"/>
  <c r="E207" i="1"/>
  <c r="D207" i="1"/>
  <c r="C207" i="1"/>
  <c r="B207" i="1"/>
  <c r="A207" i="1"/>
  <c r="AM206" i="1"/>
  <c r="AL206" i="1"/>
  <c r="AK206" i="1"/>
  <c r="AJ206" i="1"/>
  <c r="AG206" i="1"/>
  <c r="AF206" i="1"/>
  <c r="AE206" i="1"/>
  <c r="AD206" i="1"/>
  <c r="AC206" i="1"/>
  <c r="AB206" i="1"/>
  <c r="Z206" i="1"/>
  <c r="Y206" i="1"/>
  <c r="X206" i="1"/>
  <c r="W206" i="1"/>
  <c r="V206" i="1"/>
  <c r="U206" i="1"/>
  <c r="T206" i="1"/>
  <c r="P206" i="1"/>
  <c r="N206" i="1"/>
  <c r="H206" i="1"/>
  <c r="G206" i="1"/>
  <c r="F206" i="1"/>
  <c r="E206" i="1"/>
  <c r="D206" i="1"/>
  <c r="C206" i="1"/>
  <c r="B206" i="1"/>
  <c r="A206" i="1"/>
  <c r="AM205" i="1"/>
  <c r="AL205" i="1"/>
  <c r="AK205" i="1"/>
  <c r="AJ205" i="1"/>
  <c r="AG205" i="1"/>
  <c r="AF205" i="1"/>
  <c r="AE205" i="1"/>
  <c r="AD205" i="1"/>
  <c r="AC205" i="1"/>
  <c r="AB205" i="1"/>
  <c r="Z205" i="1"/>
  <c r="Y205" i="1"/>
  <c r="X205" i="1"/>
  <c r="W205" i="1"/>
  <c r="V205" i="1"/>
  <c r="U205" i="1"/>
  <c r="T205" i="1"/>
  <c r="S205" i="1"/>
  <c r="R205" i="1"/>
  <c r="P205" i="1"/>
  <c r="N205" i="1"/>
  <c r="M205" i="1"/>
  <c r="J205" i="1"/>
  <c r="I205" i="1"/>
  <c r="H205" i="1"/>
  <c r="G205" i="1"/>
  <c r="F205" i="1"/>
  <c r="E205" i="1"/>
  <c r="D205" i="1"/>
  <c r="C205" i="1"/>
  <c r="B205" i="1"/>
  <c r="A205" i="1"/>
  <c r="AM204" i="1"/>
  <c r="AL204" i="1"/>
  <c r="AK204" i="1"/>
  <c r="AJ204" i="1"/>
  <c r="AG204" i="1"/>
  <c r="AF204" i="1"/>
  <c r="AE204" i="1"/>
  <c r="AD204" i="1"/>
  <c r="AC204" i="1"/>
  <c r="AB204" i="1"/>
  <c r="Z204" i="1"/>
  <c r="Y204" i="1"/>
  <c r="X204" i="1"/>
  <c r="W204" i="1"/>
  <c r="V204" i="1"/>
  <c r="U204" i="1"/>
  <c r="T204" i="1"/>
  <c r="R204" i="1"/>
  <c r="P204" i="1"/>
  <c r="N204" i="1"/>
  <c r="J204" i="1"/>
  <c r="I204" i="1"/>
  <c r="H204" i="1"/>
  <c r="G204" i="1"/>
  <c r="F204" i="1"/>
  <c r="E204" i="1"/>
  <c r="D204" i="1"/>
  <c r="C204" i="1"/>
  <c r="B204" i="1"/>
  <c r="A204" i="1"/>
  <c r="AM203" i="1"/>
  <c r="AL203" i="1"/>
  <c r="AK203" i="1"/>
  <c r="AJ203" i="1"/>
  <c r="AH203" i="1"/>
  <c r="AG203" i="1"/>
  <c r="AF203" i="1"/>
  <c r="AE203" i="1"/>
  <c r="AD203" i="1"/>
  <c r="AC203" i="1"/>
  <c r="AB203" i="1"/>
  <c r="Y203" i="1"/>
  <c r="X203" i="1"/>
  <c r="W203" i="1"/>
  <c r="V203" i="1"/>
  <c r="U203" i="1"/>
  <c r="T203" i="1"/>
  <c r="S203" i="1"/>
  <c r="Q203" i="1"/>
  <c r="P203" i="1"/>
  <c r="N203" i="1"/>
  <c r="H203" i="1"/>
  <c r="G203" i="1"/>
  <c r="F203" i="1"/>
  <c r="E203" i="1"/>
  <c r="D203" i="1"/>
  <c r="C203" i="1"/>
  <c r="B203" i="1"/>
  <c r="A203" i="1"/>
  <c r="AM202" i="1"/>
  <c r="AK202" i="1"/>
  <c r="AJ202" i="1"/>
  <c r="AF202" i="1"/>
  <c r="AD202" i="1"/>
  <c r="AB202" i="1"/>
  <c r="Z202" i="1"/>
  <c r="X202" i="1"/>
  <c r="V202" i="1"/>
  <c r="T202" i="1"/>
  <c r="S202" i="1"/>
  <c r="R202" i="1"/>
  <c r="P202" i="1"/>
  <c r="N202" i="1"/>
  <c r="M202" i="1"/>
  <c r="J202" i="1"/>
  <c r="I202" i="1"/>
  <c r="H202" i="1"/>
  <c r="G202" i="1"/>
  <c r="F202" i="1"/>
  <c r="E202" i="1"/>
  <c r="D202" i="1"/>
  <c r="C202" i="1"/>
  <c r="B202" i="1"/>
  <c r="A202" i="1"/>
  <c r="AM201" i="1"/>
  <c r="AL201" i="1"/>
  <c r="AK201" i="1"/>
  <c r="AJ201" i="1"/>
  <c r="AG201" i="1"/>
  <c r="AF201" i="1"/>
  <c r="AE201" i="1"/>
  <c r="AD201" i="1"/>
  <c r="AC201" i="1"/>
  <c r="AB201" i="1"/>
  <c r="Y201" i="1"/>
  <c r="X201" i="1"/>
  <c r="W201" i="1"/>
  <c r="V201" i="1"/>
  <c r="U201" i="1"/>
  <c r="T201" i="1"/>
  <c r="S201" i="1"/>
  <c r="R201" i="1"/>
  <c r="Q201" i="1"/>
  <c r="P201" i="1"/>
  <c r="N201" i="1"/>
  <c r="J201" i="1"/>
  <c r="I201" i="1"/>
  <c r="H201" i="1"/>
  <c r="G201" i="1"/>
  <c r="F201" i="1"/>
  <c r="E201" i="1"/>
  <c r="D201" i="1"/>
  <c r="C201" i="1"/>
  <c r="B201" i="1"/>
  <c r="A201" i="1"/>
  <c r="AM200" i="1"/>
  <c r="AL200" i="1"/>
  <c r="AK200" i="1"/>
  <c r="AJ200" i="1"/>
  <c r="AG200" i="1"/>
  <c r="AF200" i="1"/>
  <c r="AE200" i="1"/>
  <c r="AD200" i="1"/>
  <c r="AC200" i="1"/>
  <c r="AB200" i="1"/>
  <c r="Y200" i="1"/>
  <c r="X200" i="1"/>
  <c r="W200" i="1"/>
  <c r="V200" i="1"/>
  <c r="U200" i="1"/>
  <c r="T200" i="1"/>
  <c r="Q200" i="1"/>
  <c r="P200" i="1"/>
  <c r="N200" i="1"/>
  <c r="H200" i="1"/>
  <c r="G200" i="1"/>
  <c r="F200" i="1"/>
  <c r="E200" i="1"/>
  <c r="D200" i="1"/>
  <c r="C200" i="1"/>
  <c r="B200" i="1"/>
  <c r="A200" i="1"/>
  <c r="AM199" i="1"/>
  <c r="AL199" i="1"/>
  <c r="AK199" i="1"/>
  <c r="AJ199" i="1"/>
  <c r="AG199" i="1"/>
  <c r="AF199" i="1"/>
  <c r="AE199" i="1"/>
  <c r="AD199" i="1"/>
  <c r="AC199" i="1"/>
  <c r="AB199" i="1"/>
  <c r="Y199" i="1"/>
  <c r="X199" i="1"/>
  <c r="W199" i="1"/>
  <c r="V199" i="1"/>
  <c r="U199" i="1"/>
  <c r="T199" i="1"/>
  <c r="P199" i="1"/>
  <c r="N199" i="1"/>
  <c r="H199" i="1"/>
  <c r="G199" i="1"/>
  <c r="F199" i="1"/>
  <c r="E199" i="1"/>
  <c r="D199" i="1"/>
  <c r="C199" i="1"/>
  <c r="B199" i="1"/>
  <c r="A199" i="1"/>
  <c r="AM198" i="1"/>
  <c r="AL198" i="1"/>
  <c r="AK198" i="1"/>
  <c r="AJ198" i="1"/>
  <c r="AG198" i="1"/>
  <c r="AF198" i="1"/>
  <c r="AE198" i="1"/>
  <c r="AD198" i="1"/>
  <c r="AC198" i="1"/>
  <c r="AB198" i="1"/>
  <c r="Z198" i="1"/>
  <c r="Y198" i="1"/>
  <c r="X198" i="1"/>
  <c r="W198" i="1"/>
  <c r="V198" i="1"/>
  <c r="U198" i="1"/>
  <c r="T198" i="1"/>
  <c r="P198" i="1"/>
  <c r="N198" i="1"/>
  <c r="H198" i="1"/>
  <c r="G198" i="1"/>
  <c r="F198" i="1"/>
  <c r="E198" i="1"/>
  <c r="D198" i="1"/>
  <c r="C198" i="1"/>
  <c r="B198" i="1"/>
  <c r="A198" i="1"/>
  <c r="AM197" i="1"/>
  <c r="AL197" i="1"/>
  <c r="AK197" i="1"/>
  <c r="AJ197" i="1"/>
  <c r="AI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P197" i="1"/>
  <c r="N197" i="1"/>
  <c r="H197" i="1"/>
  <c r="G197" i="1"/>
  <c r="F197" i="1"/>
  <c r="E197" i="1"/>
  <c r="D197" i="1"/>
  <c r="C197" i="1"/>
  <c r="B197" i="1"/>
  <c r="A197" i="1"/>
  <c r="AM196" i="1"/>
  <c r="AL196" i="1"/>
  <c r="AK196" i="1"/>
  <c r="AJ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N196" i="1"/>
  <c r="J196" i="1"/>
  <c r="I196" i="1"/>
  <c r="H196" i="1"/>
  <c r="G196" i="1"/>
  <c r="F196" i="1"/>
  <c r="E196" i="1"/>
  <c r="D196" i="1"/>
  <c r="C196" i="1"/>
  <c r="B196" i="1"/>
  <c r="A196" i="1"/>
  <c r="AM195" i="1"/>
  <c r="AL195" i="1"/>
  <c r="AK195" i="1"/>
  <c r="AJ195" i="1"/>
  <c r="AI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P195" i="1"/>
  <c r="N195" i="1"/>
  <c r="H195" i="1"/>
  <c r="G195" i="1"/>
  <c r="F195" i="1"/>
  <c r="E195" i="1"/>
  <c r="D195" i="1"/>
  <c r="C195" i="1"/>
  <c r="B195" i="1"/>
  <c r="A195" i="1"/>
  <c r="AM194" i="1"/>
  <c r="AL194" i="1"/>
  <c r="AK194" i="1"/>
  <c r="AJ194" i="1"/>
  <c r="AI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P194" i="1"/>
  <c r="N194" i="1"/>
  <c r="H194" i="1"/>
  <c r="G194" i="1"/>
  <c r="F194" i="1"/>
  <c r="E194" i="1"/>
  <c r="D194" i="1"/>
  <c r="C194" i="1"/>
  <c r="B194" i="1"/>
  <c r="A194" i="1"/>
  <c r="AM193" i="1"/>
  <c r="AL193" i="1"/>
  <c r="AK193" i="1"/>
  <c r="AJ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P193" i="1"/>
  <c r="N193" i="1"/>
  <c r="H193" i="1"/>
  <c r="G193" i="1"/>
  <c r="F193" i="1"/>
  <c r="E193" i="1"/>
  <c r="D193" i="1"/>
  <c r="C193" i="1"/>
  <c r="B193" i="1"/>
  <c r="A193" i="1"/>
  <c r="AM192" i="1"/>
  <c r="AL192" i="1"/>
  <c r="AK192" i="1"/>
  <c r="AJ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Q192" i="1"/>
  <c r="P192" i="1"/>
  <c r="N192" i="1"/>
  <c r="J192" i="1"/>
  <c r="I192" i="1"/>
  <c r="H192" i="1"/>
  <c r="G192" i="1"/>
  <c r="F192" i="1"/>
  <c r="E192" i="1"/>
  <c r="D192" i="1"/>
  <c r="C192" i="1"/>
  <c r="B192" i="1"/>
  <c r="A192" i="1"/>
  <c r="AM191" i="1"/>
  <c r="AL191" i="1"/>
  <c r="AK191" i="1"/>
  <c r="AJ191" i="1"/>
  <c r="AI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P191" i="1"/>
  <c r="N191" i="1"/>
  <c r="J191" i="1"/>
  <c r="I191" i="1"/>
  <c r="H191" i="1"/>
  <c r="G191" i="1"/>
  <c r="F191" i="1"/>
  <c r="E191" i="1"/>
  <c r="D191" i="1"/>
  <c r="C191" i="1"/>
  <c r="B191" i="1"/>
  <c r="A191" i="1"/>
  <c r="AM190" i="1"/>
  <c r="AL190" i="1"/>
  <c r="AK190" i="1"/>
  <c r="AJ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N190" i="1"/>
  <c r="J190" i="1"/>
  <c r="I190" i="1"/>
  <c r="H190" i="1"/>
  <c r="G190" i="1"/>
  <c r="F190" i="1"/>
  <c r="E190" i="1"/>
  <c r="D190" i="1"/>
  <c r="C190" i="1"/>
  <c r="B190" i="1"/>
  <c r="A190" i="1"/>
  <c r="AM189" i="1"/>
  <c r="AL189" i="1"/>
  <c r="AK189" i="1"/>
  <c r="AJ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Q189" i="1"/>
  <c r="P189" i="1"/>
  <c r="N189" i="1"/>
  <c r="H189" i="1"/>
  <c r="G189" i="1"/>
  <c r="F189" i="1"/>
  <c r="E189" i="1"/>
  <c r="D189" i="1"/>
  <c r="C189" i="1"/>
  <c r="B189" i="1"/>
  <c r="A189" i="1"/>
  <c r="AM188" i="1"/>
  <c r="AL188" i="1"/>
  <c r="AK188" i="1"/>
  <c r="AJ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N188" i="1"/>
  <c r="M188" i="1"/>
  <c r="J188" i="1"/>
  <c r="I188" i="1"/>
  <c r="H188" i="1"/>
  <c r="G188" i="1"/>
  <c r="F188" i="1"/>
  <c r="E188" i="1"/>
  <c r="D188" i="1"/>
  <c r="C188" i="1"/>
  <c r="B188" i="1"/>
  <c r="A188" i="1"/>
  <c r="AM187" i="1"/>
  <c r="AL187" i="1"/>
  <c r="AK187" i="1"/>
  <c r="AJ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N187" i="1"/>
  <c r="J187" i="1"/>
  <c r="I187" i="1"/>
  <c r="H187" i="1"/>
  <c r="G187" i="1"/>
  <c r="F187" i="1"/>
  <c r="E187" i="1"/>
  <c r="D187" i="1"/>
  <c r="C187" i="1"/>
  <c r="B187" i="1"/>
  <c r="A187" i="1"/>
  <c r="AM186" i="1"/>
  <c r="AK186" i="1"/>
  <c r="AJ186" i="1"/>
  <c r="AH186" i="1"/>
  <c r="AF186" i="1"/>
  <c r="AD186" i="1"/>
  <c r="AB186" i="1"/>
  <c r="Z186" i="1"/>
  <c r="X186" i="1"/>
  <c r="V186" i="1"/>
  <c r="T186" i="1"/>
  <c r="S186" i="1"/>
  <c r="R186" i="1"/>
  <c r="Q186" i="1"/>
  <c r="P186" i="1"/>
  <c r="N186" i="1"/>
  <c r="J186" i="1"/>
  <c r="I186" i="1"/>
  <c r="H186" i="1"/>
  <c r="G186" i="1"/>
  <c r="F186" i="1"/>
  <c r="E186" i="1"/>
  <c r="D186" i="1"/>
  <c r="C186" i="1"/>
  <c r="B186" i="1"/>
  <c r="A186" i="1"/>
  <c r="AM185" i="1"/>
  <c r="AK185" i="1"/>
  <c r="AJ185" i="1"/>
  <c r="AH185" i="1"/>
  <c r="AF185" i="1"/>
  <c r="AD185" i="1"/>
  <c r="AB185" i="1"/>
  <c r="Z185" i="1"/>
  <c r="X185" i="1"/>
  <c r="V185" i="1"/>
  <c r="T185" i="1"/>
  <c r="S185" i="1"/>
  <c r="Q185" i="1"/>
  <c r="P185" i="1"/>
  <c r="N185" i="1"/>
  <c r="H185" i="1"/>
  <c r="G185" i="1"/>
  <c r="F185" i="1"/>
  <c r="E185" i="1"/>
  <c r="D185" i="1"/>
  <c r="C185" i="1"/>
  <c r="B185" i="1"/>
  <c r="A185" i="1"/>
  <c r="AM184" i="1"/>
  <c r="AL184" i="1"/>
  <c r="AK184" i="1"/>
  <c r="AJ184" i="1"/>
  <c r="AG184" i="1"/>
  <c r="AF184" i="1"/>
  <c r="AE184" i="1"/>
  <c r="AD184" i="1"/>
  <c r="AC184" i="1"/>
  <c r="AB184" i="1"/>
  <c r="Z184" i="1"/>
  <c r="Y184" i="1"/>
  <c r="X184" i="1"/>
  <c r="W184" i="1"/>
  <c r="V184" i="1"/>
  <c r="U184" i="1"/>
  <c r="T184" i="1"/>
  <c r="Q184" i="1"/>
  <c r="P184" i="1"/>
  <c r="N184" i="1"/>
  <c r="H184" i="1"/>
  <c r="G184" i="1"/>
  <c r="F184" i="1"/>
  <c r="E184" i="1"/>
  <c r="D184" i="1"/>
  <c r="C184" i="1"/>
  <c r="B184" i="1"/>
  <c r="A184" i="1"/>
  <c r="AM183" i="1"/>
  <c r="AK183" i="1"/>
  <c r="AJ183" i="1"/>
  <c r="AH183" i="1"/>
  <c r="AF183" i="1"/>
  <c r="AD183" i="1"/>
  <c r="AB183" i="1"/>
  <c r="Z183" i="1"/>
  <c r="X183" i="1"/>
  <c r="V183" i="1"/>
  <c r="T183" i="1"/>
  <c r="S183" i="1"/>
  <c r="Q183" i="1"/>
  <c r="P183" i="1"/>
  <c r="N183" i="1"/>
  <c r="H183" i="1"/>
  <c r="G183" i="1"/>
  <c r="F183" i="1"/>
  <c r="E183" i="1"/>
  <c r="D183" i="1"/>
  <c r="C183" i="1"/>
  <c r="B183" i="1"/>
  <c r="A183" i="1"/>
  <c r="AM182" i="1"/>
  <c r="AL182" i="1"/>
  <c r="AK182" i="1"/>
  <c r="AJ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Q182" i="1"/>
  <c r="P182" i="1"/>
  <c r="N182" i="1"/>
  <c r="H182" i="1"/>
  <c r="G182" i="1"/>
  <c r="F182" i="1"/>
  <c r="E182" i="1"/>
  <c r="D182" i="1"/>
  <c r="C182" i="1"/>
  <c r="B182" i="1"/>
  <c r="A182" i="1"/>
  <c r="AM181" i="1"/>
  <c r="AL181" i="1"/>
  <c r="AK181" i="1"/>
  <c r="AJ181" i="1"/>
  <c r="AI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N181" i="1"/>
  <c r="J181" i="1"/>
  <c r="I181" i="1"/>
  <c r="H181" i="1"/>
  <c r="G181" i="1"/>
  <c r="F181" i="1"/>
  <c r="E181" i="1"/>
  <c r="D181" i="1"/>
  <c r="C181" i="1"/>
  <c r="B181" i="1"/>
  <c r="A181" i="1"/>
  <c r="AM180" i="1"/>
  <c r="AK180" i="1"/>
  <c r="AJ180" i="1"/>
  <c r="AF180" i="1"/>
  <c r="AD180" i="1"/>
  <c r="AB180" i="1"/>
  <c r="Z180" i="1"/>
  <c r="X180" i="1"/>
  <c r="V180" i="1"/>
  <c r="T180" i="1"/>
  <c r="S180" i="1"/>
  <c r="R180" i="1"/>
  <c r="P180" i="1"/>
  <c r="N180" i="1"/>
  <c r="J180" i="1"/>
  <c r="I180" i="1"/>
  <c r="H180" i="1"/>
  <c r="G180" i="1"/>
  <c r="F180" i="1"/>
  <c r="E180" i="1"/>
  <c r="D180" i="1"/>
  <c r="C180" i="1"/>
  <c r="B180" i="1"/>
  <c r="A180" i="1"/>
  <c r="AM179" i="1"/>
  <c r="AK179" i="1"/>
  <c r="AJ179" i="1"/>
  <c r="AH179" i="1"/>
  <c r="AF179" i="1"/>
  <c r="AD179" i="1"/>
  <c r="AB179" i="1"/>
  <c r="Z179" i="1"/>
  <c r="X179" i="1"/>
  <c r="V179" i="1"/>
  <c r="T179" i="1"/>
  <c r="S179" i="1"/>
  <c r="Q179" i="1"/>
  <c r="P179" i="1"/>
  <c r="N179" i="1"/>
  <c r="H179" i="1"/>
  <c r="G179" i="1"/>
  <c r="F179" i="1"/>
  <c r="E179" i="1"/>
  <c r="D179" i="1"/>
  <c r="C179" i="1"/>
  <c r="B179" i="1"/>
  <c r="A179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R178" i="1"/>
  <c r="Q178" i="1"/>
  <c r="P178" i="1"/>
  <c r="N178" i="1"/>
  <c r="J178" i="1"/>
  <c r="I178" i="1"/>
  <c r="H178" i="1"/>
  <c r="G178" i="1"/>
  <c r="F178" i="1"/>
  <c r="E178" i="1"/>
  <c r="D178" i="1"/>
  <c r="C178" i="1"/>
  <c r="B178" i="1"/>
  <c r="A178" i="1"/>
  <c r="AM177" i="1"/>
  <c r="AK177" i="1"/>
  <c r="AJ177" i="1"/>
  <c r="AF177" i="1"/>
  <c r="AD177" i="1"/>
  <c r="AB177" i="1"/>
  <c r="Z177" i="1"/>
  <c r="X177" i="1"/>
  <c r="V177" i="1"/>
  <c r="T177" i="1"/>
  <c r="S177" i="1"/>
  <c r="R177" i="1"/>
  <c r="Q177" i="1"/>
  <c r="P177" i="1"/>
  <c r="N177" i="1"/>
  <c r="J177" i="1"/>
  <c r="I177" i="1"/>
  <c r="H177" i="1"/>
  <c r="G177" i="1"/>
  <c r="F177" i="1"/>
  <c r="E177" i="1"/>
  <c r="D177" i="1"/>
  <c r="C177" i="1"/>
  <c r="B177" i="1"/>
  <c r="A177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Q176" i="1"/>
  <c r="P176" i="1"/>
  <c r="N176" i="1"/>
  <c r="H176" i="1"/>
  <c r="G176" i="1"/>
  <c r="F176" i="1"/>
  <c r="E176" i="1"/>
  <c r="D176" i="1"/>
  <c r="C176" i="1"/>
  <c r="B176" i="1"/>
  <c r="A176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N175" i="1"/>
  <c r="J175" i="1"/>
  <c r="I175" i="1"/>
  <c r="H175" i="1"/>
  <c r="G175" i="1"/>
  <c r="F175" i="1"/>
  <c r="E175" i="1"/>
  <c r="D175" i="1"/>
  <c r="C175" i="1"/>
  <c r="B175" i="1"/>
  <c r="A175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Q174" i="1"/>
  <c r="P174" i="1"/>
  <c r="N174" i="1"/>
  <c r="H174" i="1"/>
  <c r="G174" i="1"/>
  <c r="F174" i="1"/>
  <c r="E174" i="1"/>
  <c r="D174" i="1"/>
  <c r="C174" i="1"/>
  <c r="B174" i="1"/>
  <c r="A174" i="1"/>
  <c r="AM173" i="1"/>
  <c r="AL173" i="1"/>
  <c r="AK173" i="1"/>
  <c r="AJ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P173" i="1"/>
  <c r="N173" i="1"/>
  <c r="H173" i="1"/>
  <c r="G173" i="1"/>
  <c r="F173" i="1"/>
  <c r="E173" i="1"/>
  <c r="D173" i="1"/>
  <c r="C173" i="1"/>
  <c r="B173" i="1"/>
  <c r="A173" i="1"/>
  <c r="AM172" i="1"/>
  <c r="AL172" i="1"/>
  <c r="AK172" i="1"/>
  <c r="AJ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P172" i="1"/>
  <c r="N172" i="1"/>
  <c r="H172" i="1"/>
  <c r="G172" i="1"/>
  <c r="F172" i="1"/>
  <c r="E172" i="1"/>
  <c r="D172" i="1"/>
  <c r="C172" i="1"/>
  <c r="B172" i="1"/>
  <c r="A172" i="1"/>
  <c r="AM171" i="1"/>
  <c r="AL171" i="1"/>
  <c r="AK171" i="1"/>
  <c r="AJ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R171" i="1"/>
  <c r="Q171" i="1"/>
  <c r="P171" i="1"/>
  <c r="N171" i="1"/>
  <c r="J171" i="1"/>
  <c r="I171" i="1"/>
  <c r="H171" i="1"/>
  <c r="G171" i="1"/>
  <c r="F171" i="1"/>
  <c r="E171" i="1"/>
  <c r="D171" i="1"/>
  <c r="C171" i="1"/>
  <c r="B171" i="1"/>
  <c r="A171" i="1"/>
  <c r="AM170" i="1"/>
  <c r="AL170" i="1"/>
  <c r="AK170" i="1"/>
  <c r="AJ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Q170" i="1"/>
  <c r="P170" i="1"/>
  <c r="N170" i="1"/>
  <c r="H170" i="1"/>
  <c r="G170" i="1"/>
  <c r="F170" i="1"/>
  <c r="E170" i="1"/>
  <c r="D170" i="1"/>
  <c r="C170" i="1"/>
  <c r="B170" i="1"/>
  <c r="A170" i="1"/>
  <c r="AM169" i="1"/>
  <c r="AL169" i="1"/>
  <c r="AK169" i="1"/>
  <c r="AJ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Q169" i="1"/>
  <c r="P169" i="1"/>
  <c r="N169" i="1"/>
  <c r="H169" i="1"/>
  <c r="G169" i="1"/>
  <c r="F169" i="1"/>
  <c r="E169" i="1"/>
  <c r="D169" i="1"/>
  <c r="C169" i="1"/>
  <c r="B169" i="1"/>
  <c r="A169" i="1"/>
  <c r="AM168" i="1"/>
  <c r="AL168" i="1"/>
  <c r="AK168" i="1"/>
  <c r="AJ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P168" i="1"/>
  <c r="N168" i="1"/>
  <c r="J168" i="1"/>
  <c r="I168" i="1"/>
  <c r="H168" i="1"/>
  <c r="G168" i="1"/>
  <c r="F168" i="1"/>
  <c r="E168" i="1"/>
  <c r="D168" i="1"/>
  <c r="C168" i="1"/>
  <c r="B168" i="1"/>
  <c r="A168" i="1"/>
  <c r="AM167" i="1"/>
  <c r="AL167" i="1"/>
  <c r="AK167" i="1"/>
  <c r="AJ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R167" i="1"/>
  <c r="P167" i="1"/>
  <c r="N167" i="1"/>
  <c r="J167" i="1"/>
  <c r="I167" i="1"/>
  <c r="H167" i="1"/>
  <c r="G167" i="1"/>
  <c r="F167" i="1"/>
  <c r="E167" i="1"/>
  <c r="D167" i="1"/>
  <c r="C167" i="1"/>
  <c r="B167" i="1"/>
  <c r="A167" i="1"/>
  <c r="AM166" i="1"/>
  <c r="AL166" i="1"/>
  <c r="AK166" i="1"/>
  <c r="AJ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R166" i="1"/>
  <c r="P166" i="1"/>
  <c r="N166" i="1"/>
  <c r="J166" i="1"/>
  <c r="I166" i="1"/>
  <c r="H166" i="1"/>
  <c r="G166" i="1"/>
  <c r="F166" i="1"/>
  <c r="E166" i="1"/>
  <c r="D166" i="1"/>
  <c r="C166" i="1"/>
  <c r="B166" i="1"/>
  <c r="A166" i="1"/>
  <c r="AM165" i="1"/>
  <c r="AL165" i="1"/>
  <c r="AK165" i="1"/>
  <c r="AJ165" i="1"/>
  <c r="AH165" i="1"/>
  <c r="AG165" i="1"/>
  <c r="AF165" i="1"/>
  <c r="AE165" i="1"/>
  <c r="AD165" i="1"/>
  <c r="AC165" i="1"/>
  <c r="AB165" i="1"/>
  <c r="Y165" i="1"/>
  <c r="X165" i="1"/>
  <c r="W165" i="1"/>
  <c r="V165" i="1"/>
  <c r="U165" i="1"/>
  <c r="T165" i="1"/>
  <c r="Q165" i="1"/>
  <c r="P165" i="1"/>
  <c r="N165" i="1"/>
  <c r="H165" i="1"/>
  <c r="G165" i="1"/>
  <c r="F165" i="1"/>
  <c r="E165" i="1"/>
  <c r="D165" i="1"/>
  <c r="C165" i="1"/>
  <c r="B165" i="1"/>
  <c r="A165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Y164" i="1"/>
  <c r="X164" i="1"/>
  <c r="W164" i="1"/>
  <c r="V164" i="1"/>
  <c r="U164" i="1"/>
  <c r="T164" i="1"/>
  <c r="S164" i="1"/>
  <c r="Q164" i="1"/>
  <c r="P164" i="1"/>
  <c r="N164" i="1"/>
  <c r="H164" i="1"/>
  <c r="G164" i="1"/>
  <c r="F164" i="1"/>
  <c r="E164" i="1"/>
  <c r="D164" i="1"/>
  <c r="C164" i="1"/>
  <c r="B164" i="1"/>
  <c r="A164" i="1"/>
  <c r="AM163" i="1"/>
  <c r="AL163" i="1"/>
  <c r="AK163" i="1"/>
  <c r="AJ163" i="1"/>
  <c r="AH163" i="1"/>
  <c r="AG163" i="1"/>
  <c r="AF163" i="1"/>
  <c r="AE163" i="1"/>
  <c r="AD163" i="1"/>
  <c r="AC163" i="1"/>
  <c r="AB163" i="1"/>
  <c r="Y163" i="1"/>
  <c r="X163" i="1"/>
  <c r="W163" i="1"/>
  <c r="V163" i="1"/>
  <c r="U163" i="1"/>
  <c r="T163" i="1"/>
  <c r="R163" i="1"/>
  <c r="Q163" i="1"/>
  <c r="P163" i="1"/>
  <c r="N163" i="1"/>
  <c r="J163" i="1"/>
  <c r="I163" i="1"/>
  <c r="H163" i="1"/>
  <c r="G163" i="1"/>
  <c r="F163" i="1"/>
  <c r="E163" i="1"/>
  <c r="D163" i="1"/>
  <c r="C163" i="1"/>
  <c r="B163" i="1"/>
  <c r="A163" i="1"/>
  <c r="AM162" i="1"/>
  <c r="AL162" i="1"/>
  <c r="AK162" i="1"/>
  <c r="AJ162" i="1"/>
  <c r="AH162" i="1"/>
  <c r="AG162" i="1"/>
  <c r="AF162" i="1"/>
  <c r="AE162" i="1"/>
  <c r="AD162" i="1"/>
  <c r="AC162" i="1"/>
  <c r="AB162" i="1"/>
  <c r="Y162" i="1"/>
  <c r="X162" i="1"/>
  <c r="W162" i="1"/>
  <c r="V162" i="1"/>
  <c r="U162" i="1"/>
  <c r="T162" i="1"/>
  <c r="Q162" i="1"/>
  <c r="P162" i="1"/>
  <c r="N162" i="1"/>
  <c r="H162" i="1"/>
  <c r="G162" i="1"/>
  <c r="F162" i="1"/>
  <c r="E162" i="1"/>
  <c r="D162" i="1"/>
  <c r="C162" i="1"/>
  <c r="B162" i="1"/>
  <c r="A162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Y161" i="1"/>
  <c r="X161" i="1"/>
  <c r="W161" i="1"/>
  <c r="V161" i="1"/>
  <c r="U161" i="1"/>
  <c r="T161" i="1"/>
  <c r="R161" i="1"/>
  <c r="Q161" i="1"/>
  <c r="P161" i="1"/>
  <c r="N161" i="1"/>
  <c r="J161" i="1"/>
  <c r="I161" i="1"/>
  <c r="H161" i="1"/>
  <c r="G161" i="1"/>
  <c r="F161" i="1"/>
  <c r="E161" i="1"/>
  <c r="D161" i="1"/>
  <c r="C161" i="1"/>
  <c r="B161" i="1"/>
  <c r="A161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Y160" i="1"/>
  <c r="X160" i="1"/>
  <c r="W160" i="1"/>
  <c r="V160" i="1"/>
  <c r="U160" i="1"/>
  <c r="T160" i="1"/>
  <c r="Q160" i="1"/>
  <c r="P160" i="1"/>
  <c r="N160" i="1"/>
  <c r="H160" i="1"/>
  <c r="G160" i="1"/>
  <c r="F160" i="1"/>
  <c r="E160" i="1"/>
  <c r="D160" i="1"/>
  <c r="C160" i="1"/>
  <c r="B160" i="1"/>
  <c r="A160" i="1"/>
  <c r="AM159" i="1"/>
  <c r="AL159" i="1"/>
  <c r="AK159" i="1"/>
  <c r="AJ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R159" i="1"/>
  <c r="P159" i="1"/>
  <c r="N159" i="1"/>
  <c r="J159" i="1"/>
  <c r="I159" i="1"/>
  <c r="H159" i="1"/>
  <c r="G159" i="1"/>
  <c r="F159" i="1"/>
  <c r="E159" i="1"/>
  <c r="D159" i="1"/>
  <c r="C159" i="1"/>
  <c r="B159" i="1"/>
  <c r="A159" i="1"/>
  <c r="AM158" i="1"/>
  <c r="AL158" i="1"/>
  <c r="AK158" i="1"/>
  <c r="AJ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R158" i="1"/>
  <c r="P158" i="1"/>
  <c r="N158" i="1"/>
  <c r="J158" i="1"/>
  <c r="I158" i="1"/>
  <c r="H158" i="1"/>
  <c r="G158" i="1"/>
  <c r="F158" i="1"/>
  <c r="E158" i="1"/>
  <c r="D158" i="1"/>
  <c r="C158" i="1"/>
  <c r="B158" i="1"/>
  <c r="A158" i="1"/>
  <c r="AM157" i="1"/>
  <c r="AL157" i="1"/>
  <c r="AK157" i="1"/>
  <c r="AJ157" i="1"/>
  <c r="AI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P157" i="1"/>
  <c r="N157" i="1"/>
  <c r="H157" i="1"/>
  <c r="G157" i="1"/>
  <c r="F157" i="1"/>
  <c r="E157" i="1"/>
  <c r="D157" i="1"/>
  <c r="C157" i="1"/>
  <c r="B157" i="1"/>
  <c r="A157" i="1"/>
  <c r="AM156" i="1"/>
  <c r="AL156" i="1"/>
  <c r="AK156" i="1"/>
  <c r="AJ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R156" i="1"/>
  <c r="P156" i="1"/>
  <c r="N156" i="1"/>
  <c r="J156" i="1"/>
  <c r="I156" i="1"/>
  <c r="H156" i="1"/>
  <c r="G156" i="1"/>
  <c r="F156" i="1"/>
  <c r="E156" i="1"/>
  <c r="D156" i="1"/>
  <c r="C156" i="1"/>
  <c r="B156" i="1"/>
  <c r="A156" i="1"/>
  <c r="AM155" i="1"/>
  <c r="AL155" i="1"/>
  <c r="AK155" i="1"/>
  <c r="AJ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R155" i="1"/>
  <c r="P155" i="1"/>
  <c r="N155" i="1"/>
  <c r="J155" i="1"/>
  <c r="I155" i="1"/>
  <c r="H155" i="1"/>
  <c r="G155" i="1"/>
  <c r="F155" i="1"/>
  <c r="E155" i="1"/>
  <c r="D155" i="1"/>
  <c r="C155" i="1"/>
  <c r="B155" i="1"/>
  <c r="A155" i="1"/>
  <c r="AM154" i="1"/>
  <c r="AK154" i="1"/>
  <c r="AJ154" i="1"/>
  <c r="AF154" i="1"/>
  <c r="AD154" i="1"/>
  <c r="AB154" i="1"/>
  <c r="Z154" i="1"/>
  <c r="X154" i="1"/>
  <c r="V154" i="1"/>
  <c r="T154" i="1"/>
  <c r="P154" i="1"/>
  <c r="N154" i="1"/>
  <c r="H154" i="1"/>
  <c r="G154" i="1"/>
  <c r="F154" i="1"/>
  <c r="E154" i="1"/>
  <c r="D154" i="1"/>
  <c r="C154" i="1"/>
  <c r="B154" i="1"/>
  <c r="A154" i="1"/>
  <c r="AM153" i="1"/>
  <c r="AL153" i="1"/>
  <c r="AK153" i="1"/>
  <c r="AJ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P153" i="1"/>
  <c r="N153" i="1"/>
  <c r="H153" i="1"/>
  <c r="G153" i="1"/>
  <c r="F153" i="1"/>
  <c r="E153" i="1"/>
  <c r="D153" i="1"/>
  <c r="C153" i="1"/>
  <c r="B153" i="1"/>
  <c r="A153" i="1"/>
  <c r="AM152" i="1"/>
  <c r="AL152" i="1"/>
  <c r="AK152" i="1"/>
  <c r="AJ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P152" i="1"/>
  <c r="N152" i="1"/>
  <c r="H152" i="1"/>
  <c r="G152" i="1"/>
  <c r="F152" i="1"/>
  <c r="E152" i="1"/>
  <c r="D152" i="1"/>
  <c r="C152" i="1"/>
  <c r="B152" i="1"/>
  <c r="A152" i="1"/>
  <c r="AM151" i="1"/>
  <c r="AL151" i="1"/>
  <c r="AK151" i="1"/>
  <c r="AJ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P151" i="1"/>
  <c r="N151" i="1"/>
  <c r="H151" i="1"/>
  <c r="G151" i="1"/>
  <c r="F151" i="1"/>
  <c r="E151" i="1"/>
  <c r="D151" i="1"/>
  <c r="C151" i="1"/>
  <c r="B151" i="1"/>
  <c r="A151" i="1"/>
  <c r="AM150" i="1"/>
  <c r="AL150" i="1"/>
  <c r="AK150" i="1"/>
  <c r="AJ150" i="1"/>
  <c r="AI150" i="1"/>
  <c r="AG150" i="1"/>
  <c r="AF150" i="1"/>
  <c r="AE150" i="1"/>
  <c r="AD150" i="1"/>
  <c r="AC150" i="1"/>
  <c r="AB150" i="1"/>
  <c r="Y150" i="1"/>
  <c r="X150" i="1"/>
  <c r="W150" i="1"/>
  <c r="V150" i="1"/>
  <c r="U150" i="1"/>
  <c r="T150" i="1"/>
  <c r="R150" i="1"/>
  <c r="Q150" i="1"/>
  <c r="P150" i="1"/>
  <c r="N150" i="1"/>
  <c r="M150" i="1"/>
  <c r="J150" i="1"/>
  <c r="I150" i="1"/>
  <c r="H150" i="1"/>
  <c r="G150" i="1"/>
  <c r="F150" i="1"/>
  <c r="E150" i="1"/>
  <c r="D150" i="1"/>
  <c r="C150" i="1"/>
  <c r="B150" i="1"/>
  <c r="A150" i="1"/>
  <c r="AM149" i="1"/>
  <c r="AL149" i="1"/>
  <c r="AK149" i="1"/>
  <c r="AJ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P149" i="1"/>
  <c r="N149" i="1"/>
  <c r="J149" i="1"/>
  <c r="I149" i="1"/>
  <c r="H149" i="1"/>
  <c r="G149" i="1"/>
  <c r="F149" i="1"/>
  <c r="E149" i="1"/>
  <c r="D149" i="1"/>
  <c r="C149" i="1"/>
  <c r="B149" i="1"/>
  <c r="A149" i="1"/>
  <c r="AM148" i="1"/>
  <c r="AL148" i="1"/>
  <c r="AK148" i="1"/>
  <c r="AJ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Q148" i="1"/>
  <c r="P148" i="1"/>
  <c r="N148" i="1"/>
  <c r="H148" i="1"/>
  <c r="G148" i="1"/>
  <c r="F148" i="1"/>
  <c r="E148" i="1"/>
  <c r="D148" i="1"/>
  <c r="C148" i="1"/>
  <c r="B148" i="1"/>
  <c r="A148" i="1"/>
  <c r="AM147" i="1"/>
  <c r="AL147" i="1"/>
  <c r="AK147" i="1"/>
  <c r="AJ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P147" i="1"/>
  <c r="N147" i="1"/>
  <c r="J147" i="1"/>
  <c r="I147" i="1"/>
  <c r="H147" i="1"/>
  <c r="G147" i="1"/>
  <c r="F147" i="1"/>
  <c r="E147" i="1"/>
  <c r="D147" i="1"/>
  <c r="C147" i="1"/>
  <c r="B147" i="1"/>
  <c r="A147" i="1"/>
  <c r="AM146" i="1"/>
  <c r="AK146" i="1"/>
  <c r="AJ146" i="1"/>
  <c r="AF146" i="1"/>
  <c r="AD146" i="1"/>
  <c r="AB146" i="1"/>
  <c r="Z146" i="1"/>
  <c r="X146" i="1"/>
  <c r="V146" i="1"/>
  <c r="T146" i="1"/>
  <c r="S146" i="1"/>
  <c r="R146" i="1"/>
  <c r="P146" i="1"/>
  <c r="N146" i="1"/>
  <c r="J146" i="1"/>
  <c r="I146" i="1"/>
  <c r="H146" i="1"/>
  <c r="G146" i="1"/>
  <c r="F146" i="1"/>
  <c r="E146" i="1"/>
  <c r="D146" i="1"/>
  <c r="C146" i="1"/>
  <c r="B146" i="1"/>
  <c r="A146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R145" i="1"/>
  <c r="Q145" i="1"/>
  <c r="P145" i="1"/>
  <c r="N145" i="1"/>
  <c r="J145" i="1"/>
  <c r="I145" i="1"/>
  <c r="H145" i="1"/>
  <c r="G145" i="1"/>
  <c r="F145" i="1"/>
  <c r="E145" i="1"/>
  <c r="D145" i="1"/>
  <c r="C145" i="1"/>
  <c r="B145" i="1"/>
  <c r="A145" i="1"/>
  <c r="AM144" i="1"/>
  <c r="AK144" i="1"/>
  <c r="AJ144" i="1"/>
  <c r="AF144" i="1"/>
  <c r="AD144" i="1"/>
  <c r="AB144" i="1"/>
  <c r="Z144" i="1"/>
  <c r="X144" i="1"/>
  <c r="V144" i="1"/>
  <c r="T144" i="1"/>
  <c r="S144" i="1"/>
  <c r="R144" i="1"/>
  <c r="P144" i="1"/>
  <c r="N144" i="1"/>
  <c r="M144" i="1"/>
  <c r="J144" i="1"/>
  <c r="I144" i="1"/>
  <c r="H144" i="1"/>
  <c r="G144" i="1"/>
  <c r="F144" i="1"/>
  <c r="E144" i="1"/>
  <c r="D144" i="1"/>
  <c r="C144" i="1"/>
  <c r="B144" i="1"/>
  <c r="A144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Q143" i="1"/>
  <c r="P143" i="1"/>
  <c r="N143" i="1"/>
  <c r="H143" i="1"/>
  <c r="G143" i="1"/>
  <c r="F143" i="1"/>
  <c r="E143" i="1"/>
  <c r="D143" i="1"/>
  <c r="C143" i="1"/>
  <c r="B143" i="1"/>
  <c r="A143" i="1"/>
  <c r="AM142" i="1"/>
  <c r="AL142" i="1"/>
  <c r="AK142" i="1"/>
  <c r="AJ142" i="1"/>
  <c r="AG142" i="1"/>
  <c r="AF142" i="1"/>
  <c r="AE142" i="1"/>
  <c r="AD142" i="1"/>
  <c r="AC142" i="1"/>
  <c r="AB142" i="1"/>
  <c r="AA142" i="1"/>
  <c r="Y142" i="1"/>
  <c r="X142" i="1"/>
  <c r="W142" i="1"/>
  <c r="V142" i="1"/>
  <c r="U142" i="1"/>
  <c r="T142" i="1"/>
  <c r="S142" i="1"/>
  <c r="R142" i="1"/>
  <c r="P142" i="1"/>
  <c r="N142" i="1"/>
  <c r="M142" i="1"/>
  <c r="J142" i="1"/>
  <c r="I142" i="1"/>
  <c r="H142" i="1"/>
  <c r="G142" i="1"/>
  <c r="F142" i="1"/>
  <c r="E142" i="1"/>
  <c r="D142" i="1"/>
  <c r="C142" i="1"/>
  <c r="B142" i="1"/>
  <c r="A142" i="1"/>
  <c r="AM141" i="1"/>
  <c r="AL141" i="1"/>
  <c r="AK141" i="1"/>
  <c r="AJ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R141" i="1"/>
  <c r="P141" i="1"/>
  <c r="N141" i="1"/>
  <c r="M141" i="1"/>
  <c r="J141" i="1"/>
  <c r="I141" i="1"/>
  <c r="H141" i="1"/>
  <c r="G141" i="1"/>
  <c r="F141" i="1"/>
  <c r="E141" i="1"/>
  <c r="D141" i="1"/>
  <c r="C141" i="1"/>
  <c r="B141" i="1"/>
  <c r="A141" i="1"/>
  <c r="AM140" i="1"/>
  <c r="AL140" i="1"/>
  <c r="AK140" i="1"/>
  <c r="AJ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R140" i="1"/>
  <c r="P140" i="1"/>
  <c r="N140" i="1"/>
  <c r="J140" i="1"/>
  <c r="I140" i="1"/>
  <c r="H140" i="1"/>
  <c r="G140" i="1"/>
  <c r="F140" i="1"/>
  <c r="E140" i="1"/>
  <c r="D140" i="1"/>
  <c r="C140" i="1"/>
  <c r="B140" i="1"/>
  <c r="A140" i="1"/>
  <c r="AM139" i="1"/>
  <c r="AL139" i="1"/>
  <c r="AK139" i="1"/>
  <c r="AJ139" i="1"/>
  <c r="AG139" i="1"/>
  <c r="AF139" i="1"/>
  <c r="AE139" i="1"/>
  <c r="AD139" i="1"/>
  <c r="AC139" i="1"/>
  <c r="AB139" i="1"/>
  <c r="Z139" i="1"/>
  <c r="Y139" i="1"/>
  <c r="X139" i="1"/>
  <c r="W139" i="1"/>
  <c r="V139" i="1"/>
  <c r="U139" i="1"/>
  <c r="T139" i="1"/>
  <c r="P139" i="1"/>
  <c r="N139" i="1"/>
  <c r="H139" i="1"/>
  <c r="G139" i="1"/>
  <c r="F139" i="1"/>
  <c r="E139" i="1"/>
  <c r="D139" i="1"/>
  <c r="C139" i="1"/>
  <c r="B139" i="1"/>
  <c r="A139" i="1"/>
  <c r="AM138" i="1"/>
  <c r="AL138" i="1"/>
  <c r="AK138" i="1"/>
  <c r="AJ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P138" i="1"/>
  <c r="N138" i="1"/>
  <c r="H138" i="1"/>
  <c r="G138" i="1"/>
  <c r="F138" i="1"/>
  <c r="E138" i="1"/>
  <c r="D138" i="1"/>
  <c r="C138" i="1"/>
  <c r="B138" i="1"/>
  <c r="A138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Y137" i="1"/>
  <c r="X137" i="1"/>
  <c r="W137" i="1"/>
  <c r="V137" i="1"/>
  <c r="U137" i="1"/>
  <c r="T137" i="1"/>
  <c r="R137" i="1"/>
  <c r="Q137" i="1"/>
  <c r="P137" i="1"/>
  <c r="N137" i="1"/>
  <c r="J137" i="1"/>
  <c r="I137" i="1"/>
  <c r="H137" i="1"/>
  <c r="G137" i="1"/>
  <c r="F137" i="1"/>
  <c r="E137" i="1"/>
  <c r="D137" i="1"/>
  <c r="C137" i="1"/>
  <c r="B137" i="1"/>
  <c r="A137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Y136" i="1"/>
  <c r="X136" i="1"/>
  <c r="W136" i="1"/>
  <c r="V136" i="1"/>
  <c r="U136" i="1"/>
  <c r="T136" i="1"/>
  <c r="R136" i="1"/>
  <c r="Q136" i="1"/>
  <c r="P136" i="1"/>
  <c r="N136" i="1"/>
  <c r="J136" i="1"/>
  <c r="I136" i="1"/>
  <c r="H136" i="1"/>
  <c r="G136" i="1"/>
  <c r="F136" i="1"/>
  <c r="E136" i="1"/>
  <c r="D136" i="1"/>
  <c r="C136" i="1"/>
  <c r="B136" i="1"/>
  <c r="A136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Y135" i="1"/>
  <c r="X135" i="1"/>
  <c r="W135" i="1"/>
  <c r="V135" i="1"/>
  <c r="U135" i="1"/>
  <c r="T135" i="1"/>
  <c r="P135" i="1"/>
  <c r="N135" i="1"/>
  <c r="H135" i="1"/>
  <c r="G135" i="1"/>
  <c r="F135" i="1"/>
  <c r="E135" i="1"/>
  <c r="D135" i="1"/>
  <c r="C135" i="1"/>
  <c r="B135" i="1"/>
  <c r="A135" i="1"/>
  <c r="AM134" i="1"/>
  <c r="AL134" i="1"/>
  <c r="AK134" i="1"/>
  <c r="AJ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Q134" i="1"/>
  <c r="P134" i="1"/>
  <c r="N134" i="1"/>
  <c r="H134" i="1"/>
  <c r="G134" i="1"/>
  <c r="F134" i="1"/>
  <c r="E134" i="1"/>
  <c r="D134" i="1"/>
  <c r="C134" i="1"/>
  <c r="B134" i="1"/>
  <c r="A134" i="1"/>
  <c r="AM133" i="1"/>
  <c r="AK133" i="1"/>
  <c r="AJ133" i="1"/>
  <c r="AF133" i="1"/>
  <c r="AD133" i="1"/>
  <c r="AB133" i="1"/>
  <c r="X133" i="1"/>
  <c r="V133" i="1"/>
  <c r="T133" i="1"/>
  <c r="R133" i="1"/>
  <c r="P133" i="1"/>
  <c r="N133" i="1"/>
  <c r="J133" i="1"/>
  <c r="I133" i="1"/>
  <c r="H133" i="1"/>
  <c r="G133" i="1"/>
  <c r="F133" i="1"/>
  <c r="E133" i="1"/>
  <c r="D133" i="1"/>
  <c r="C133" i="1"/>
  <c r="B133" i="1"/>
  <c r="A133" i="1"/>
  <c r="AM132" i="1"/>
  <c r="AL132" i="1"/>
  <c r="AK132" i="1"/>
  <c r="AJ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R132" i="1"/>
  <c r="P132" i="1"/>
  <c r="N132" i="1"/>
  <c r="J132" i="1"/>
  <c r="I132" i="1"/>
  <c r="H132" i="1"/>
  <c r="G132" i="1"/>
  <c r="F132" i="1"/>
  <c r="E132" i="1"/>
  <c r="D132" i="1"/>
  <c r="C132" i="1"/>
  <c r="B132" i="1"/>
  <c r="A132" i="1"/>
  <c r="AM131" i="1"/>
  <c r="AL131" i="1"/>
  <c r="AK131" i="1"/>
  <c r="AJ131" i="1"/>
  <c r="AI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P131" i="1"/>
  <c r="N131" i="1"/>
  <c r="H131" i="1"/>
  <c r="G131" i="1"/>
  <c r="F131" i="1"/>
  <c r="E131" i="1"/>
  <c r="D131" i="1"/>
  <c r="C131" i="1"/>
  <c r="B131" i="1"/>
  <c r="A131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Y130" i="1"/>
  <c r="X130" i="1"/>
  <c r="W130" i="1"/>
  <c r="V130" i="1"/>
  <c r="U130" i="1"/>
  <c r="T130" i="1"/>
  <c r="S130" i="1"/>
  <c r="R130" i="1"/>
  <c r="P130" i="1"/>
  <c r="N130" i="1"/>
  <c r="J130" i="1"/>
  <c r="I130" i="1"/>
  <c r="H130" i="1"/>
  <c r="G130" i="1"/>
  <c r="F130" i="1"/>
  <c r="E130" i="1"/>
  <c r="D130" i="1"/>
  <c r="C130" i="1"/>
  <c r="B130" i="1"/>
  <c r="A130" i="1"/>
  <c r="AM129" i="1"/>
  <c r="AL129" i="1"/>
  <c r="AK129" i="1"/>
  <c r="AJ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Q129" i="1"/>
  <c r="P129" i="1"/>
  <c r="N129" i="1"/>
  <c r="H129" i="1"/>
  <c r="G129" i="1"/>
  <c r="F129" i="1"/>
  <c r="E129" i="1"/>
  <c r="D129" i="1"/>
  <c r="C129" i="1"/>
  <c r="B129" i="1"/>
  <c r="A129" i="1"/>
  <c r="AM128" i="1"/>
  <c r="AL128" i="1"/>
  <c r="AK128" i="1"/>
  <c r="AJ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N128" i="1"/>
  <c r="J128" i="1"/>
  <c r="I128" i="1"/>
  <c r="H128" i="1"/>
  <c r="G128" i="1"/>
  <c r="F128" i="1"/>
  <c r="E128" i="1"/>
  <c r="D128" i="1"/>
  <c r="C128" i="1"/>
  <c r="B128" i="1"/>
  <c r="A128" i="1"/>
  <c r="AM127" i="1"/>
  <c r="AL127" i="1"/>
  <c r="AK127" i="1"/>
  <c r="AJ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P127" i="1"/>
  <c r="N127" i="1"/>
  <c r="J127" i="1"/>
  <c r="I127" i="1"/>
  <c r="H127" i="1"/>
  <c r="G127" i="1"/>
  <c r="F127" i="1"/>
  <c r="E127" i="1"/>
  <c r="D127" i="1"/>
  <c r="C127" i="1"/>
  <c r="B127" i="1"/>
  <c r="A127" i="1"/>
  <c r="AM126" i="1"/>
  <c r="AL126" i="1"/>
  <c r="AK126" i="1"/>
  <c r="AJ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P126" i="1"/>
  <c r="N126" i="1"/>
  <c r="M126" i="1"/>
  <c r="J126" i="1"/>
  <c r="I126" i="1"/>
  <c r="H126" i="1"/>
  <c r="G126" i="1"/>
  <c r="F126" i="1"/>
  <c r="E126" i="1"/>
  <c r="D126" i="1"/>
  <c r="C126" i="1"/>
  <c r="B126" i="1"/>
  <c r="A126" i="1"/>
  <c r="AM125" i="1"/>
  <c r="AL125" i="1"/>
  <c r="AK125" i="1"/>
  <c r="AJ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P125" i="1"/>
  <c r="N125" i="1"/>
  <c r="H125" i="1"/>
  <c r="G125" i="1"/>
  <c r="F125" i="1"/>
  <c r="E125" i="1"/>
  <c r="D125" i="1"/>
  <c r="C125" i="1"/>
  <c r="B125" i="1"/>
  <c r="A125" i="1"/>
  <c r="AM124" i="1"/>
  <c r="AL124" i="1"/>
  <c r="AK124" i="1"/>
  <c r="AJ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P124" i="1"/>
  <c r="N124" i="1"/>
  <c r="M124" i="1"/>
  <c r="J124" i="1"/>
  <c r="I124" i="1"/>
  <c r="H124" i="1"/>
  <c r="G124" i="1"/>
  <c r="F124" i="1"/>
  <c r="E124" i="1"/>
  <c r="D124" i="1"/>
  <c r="C124" i="1"/>
  <c r="B124" i="1"/>
  <c r="A124" i="1"/>
  <c r="AM123" i="1"/>
  <c r="AL123" i="1"/>
  <c r="AK123" i="1"/>
  <c r="AJ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R123" i="1"/>
  <c r="P123" i="1"/>
  <c r="N123" i="1"/>
  <c r="J123" i="1"/>
  <c r="I123" i="1"/>
  <c r="H123" i="1"/>
  <c r="G123" i="1"/>
  <c r="F123" i="1"/>
  <c r="E123" i="1"/>
  <c r="D123" i="1"/>
  <c r="C123" i="1"/>
  <c r="B123" i="1"/>
  <c r="A123" i="1"/>
  <c r="AM122" i="1"/>
  <c r="AL122" i="1"/>
  <c r="AK122" i="1"/>
  <c r="AJ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R122" i="1"/>
  <c r="P122" i="1"/>
  <c r="N122" i="1"/>
  <c r="M122" i="1"/>
  <c r="J122" i="1"/>
  <c r="I122" i="1"/>
  <c r="H122" i="1"/>
  <c r="G122" i="1"/>
  <c r="F122" i="1"/>
  <c r="E122" i="1"/>
  <c r="D122" i="1"/>
  <c r="C122" i="1"/>
  <c r="B122" i="1"/>
  <c r="A122" i="1"/>
  <c r="AM121" i="1"/>
  <c r="AK121" i="1"/>
  <c r="AJ121" i="1"/>
  <c r="AF121" i="1"/>
  <c r="AD121" i="1"/>
  <c r="AB121" i="1"/>
  <c r="Z121" i="1"/>
  <c r="X121" i="1"/>
  <c r="V121" i="1"/>
  <c r="T121" i="1"/>
  <c r="R121" i="1"/>
  <c r="P121" i="1"/>
  <c r="N121" i="1"/>
  <c r="M121" i="1"/>
  <c r="J121" i="1"/>
  <c r="I121" i="1"/>
  <c r="H121" i="1"/>
  <c r="G121" i="1"/>
  <c r="F121" i="1"/>
  <c r="E121" i="1"/>
  <c r="D121" i="1"/>
  <c r="C121" i="1"/>
  <c r="B121" i="1"/>
  <c r="A121" i="1"/>
  <c r="AM120" i="1"/>
  <c r="AL120" i="1"/>
  <c r="AK120" i="1"/>
  <c r="AJ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Q120" i="1"/>
  <c r="P120" i="1"/>
  <c r="N120" i="1"/>
  <c r="H120" i="1"/>
  <c r="G120" i="1"/>
  <c r="F120" i="1"/>
  <c r="E120" i="1"/>
  <c r="D120" i="1"/>
  <c r="C120" i="1"/>
  <c r="B120" i="1"/>
  <c r="A120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R119" i="1"/>
  <c r="Q119" i="1"/>
  <c r="P119" i="1"/>
  <c r="N119" i="1"/>
  <c r="M119" i="1"/>
  <c r="J119" i="1"/>
  <c r="I119" i="1"/>
  <c r="H119" i="1"/>
  <c r="G119" i="1"/>
  <c r="F119" i="1"/>
  <c r="E119" i="1"/>
  <c r="D119" i="1"/>
  <c r="C119" i="1"/>
  <c r="B119" i="1"/>
  <c r="A119" i="1"/>
  <c r="AM118" i="1"/>
  <c r="AK118" i="1"/>
  <c r="AJ118" i="1"/>
  <c r="AF118" i="1"/>
  <c r="AD118" i="1"/>
  <c r="AB118" i="1"/>
  <c r="Z118" i="1"/>
  <c r="X118" i="1"/>
  <c r="V118" i="1"/>
  <c r="T118" i="1"/>
  <c r="S118" i="1"/>
  <c r="R118" i="1"/>
  <c r="P118" i="1"/>
  <c r="N118" i="1"/>
  <c r="J118" i="1"/>
  <c r="I118" i="1"/>
  <c r="H118" i="1"/>
  <c r="G118" i="1"/>
  <c r="F118" i="1"/>
  <c r="E118" i="1"/>
  <c r="D118" i="1"/>
  <c r="C118" i="1"/>
  <c r="B118" i="1"/>
  <c r="A118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N117" i="1"/>
  <c r="J117" i="1"/>
  <c r="I117" i="1"/>
  <c r="H117" i="1"/>
  <c r="G117" i="1"/>
  <c r="F117" i="1"/>
  <c r="E117" i="1"/>
  <c r="D117" i="1"/>
  <c r="C117" i="1"/>
  <c r="B117" i="1"/>
  <c r="A117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N116" i="1"/>
  <c r="M116" i="1"/>
  <c r="J116" i="1"/>
  <c r="I116" i="1"/>
  <c r="H116" i="1"/>
  <c r="G116" i="1"/>
  <c r="F116" i="1"/>
  <c r="E116" i="1"/>
  <c r="D116" i="1"/>
  <c r="C116" i="1"/>
  <c r="B116" i="1"/>
  <c r="A116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N115" i="1"/>
  <c r="J115" i="1"/>
  <c r="H115" i="1"/>
  <c r="G115" i="1"/>
  <c r="F115" i="1"/>
  <c r="E115" i="1"/>
  <c r="D115" i="1"/>
  <c r="C115" i="1"/>
  <c r="B115" i="1"/>
  <c r="A115" i="1"/>
  <c r="AM114" i="1"/>
  <c r="AL114" i="1"/>
  <c r="AK114" i="1"/>
  <c r="AJ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P114" i="1"/>
  <c r="N114" i="1"/>
  <c r="J114" i="1"/>
  <c r="I114" i="1"/>
  <c r="H114" i="1"/>
  <c r="G114" i="1"/>
  <c r="F114" i="1"/>
  <c r="E114" i="1"/>
  <c r="D114" i="1"/>
  <c r="C114" i="1"/>
  <c r="B114" i="1"/>
  <c r="A114" i="1"/>
  <c r="AM113" i="1"/>
  <c r="AK113" i="1"/>
  <c r="AJ113" i="1"/>
  <c r="AG113" i="1"/>
  <c r="AF113" i="1"/>
  <c r="AE113" i="1"/>
  <c r="AD113" i="1"/>
  <c r="AC113" i="1"/>
  <c r="AB113" i="1"/>
  <c r="Y113" i="1"/>
  <c r="X113" i="1"/>
  <c r="W113" i="1"/>
  <c r="V113" i="1"/>
  <c r="U113" i="1"/>
  <c r="T113" i="1"/>
  <c r="R113" i="1"/>
  <c r="P113" i="1"/>
  <c r="N113" i="1"/>
  <c r="M113" i="1"/>
  <c r="J113" i="1"/>
  <c r="I113" i="1"/>
  <c r="H113" i="1"/>
  <c r="G113" i="1"/>
  <c r="F113" i="1"/>
  <c r="E113" i="1"/>
  <c r="D113" i="1"/>
  <c r="C113" i="1"/>
  <c r="B113" i="1"/>
  <c r="A113" i="1"/>
  <c r="AM112" i="1"/>
  <c r="AL112" i="1"/>
  <c r="AK112" i="1"/>
  <c r="AJ112" i="1"/>
  <c r="AH112" i="1"/>
  <c r="AG112" i="1"/>
  <c r="AF112" i="1"/>
  <c r="AE112" i="1"/>
  <c r="AD112" i="1"/>
  <c r="AC112" i="1"/>
  <c r="AB112" i="1"/>
  <c r="Z112" i="1"/>
  <c r="Y112" i="1"/>
  <c r="X112" i="1"/>
  <c r="W112" i="1"/>
  <c r="V112" i="1"/>
  <c r="U112" i="1"/>
  <c r="T112" i="1"/>
  <c r="S112" i="1"/>
  <c r="R112" i="1"/>
  <c r="P112" i="1"/>
  <c r="N112" i="1"/>
  <c r="J112" i="1"/>
  <c r="I112" i="1"/>
  <c r="H112" i="1"/>
  <c r="G112" i="1"/>
  <c r="F112" i="1"/>
  <c r="E112" i="1"/>
  <c r="D112" i="1"/>
  <c r="C112" i="1"/>
  <c r="B112" i="1"/>
  <c r="A112" i="1"/>
  <c r="AM111" i="1"/>
  <c r="AL111" i="1"/>
  <c r="AK111" i="1"/>
  <c r="AJ111" i="1"/>
  <c r="AH111" i="1"/>
  <c r="AG111" i="1"/>
  <c r="AF111" i="1"/>
  <c r="AE111" i="1"/>
  <c r="AD111" i="1"/>
  <c r="AC111" i="1"/>
  <c r="AB111" i="1"/>
  <c r="Z111" i="1"/>
  <c r="Y111" i="1"/>
  <c r="X111" i="1"/>
  <c r="W111" i="1"/>
  <c r="V111" i="1"/>
  <c r="U111" i="1"/>
  <c r="T111" i="1"/>
  <c r="S111" i="1"/>
  <c r="R111" i="1"/>
  <c r="P111" i="1"/>
  <c r="N111" i="1"/>
  <c r="J111" i="1"/>
  <c r="I111" i="1"/>
  <c r="H111" i="1"/>
  <c r="G111" i="1"/>
  <c r="F111" i="1"/>
  <c r="E111" i="1"/>
  <c r="D111" i="1"/>
  <c r="C111" i="1"/>
  <c r="B111" i="1"/>
  <c r="A111" i="1"/>
  <c r="AM110" i="1"/>
  <c r="AL110" i="1"/>
  <c r="AK110" i="1"/>
  <c r="AJ110" i="1"/>
  <c r="AI110" i="1"/>
  <c r="AG110" i="1"/>
  <c r="AF110" i="1"/>
  <c r="AE110" i="1"/>
  <c r="AD110" i="1"/>
  <c r="AC110" i="1"/>
  <c r="AB110" i="1"/>
  <c r="Y110" i="1"/>
  <c r="X110" i="1"/>
  <c r="W110" i="1"/>
  <c r="V110" i="1"/>
  <c r="U110" i="1"/>
  <c r="T110" i="1"/>
  <c r="Q110" i="1"/>
  <c r="P110" i="1"/>
  <c r="N110" i="1"/>
  <c r="H110" i="1"/>
  <c r="G110" i="1"/>
  <c r="F110" i="1"/>
  <c r="E110" i="1"/>
  <c r="D110" i="1"/>
  <c r="C110" i="1"/>
  <c r="B110" i="1"/>
  <c r="A110" i="1"/>
  <c r="AM109" i="1"/>
  <c r="AL109" i="1"/>
  <c r="AK109" i="1"/>
  <c r="AJ109" i="1"/>
  <c r="AI109" i="1"/>
  <c r="AG109" i="1"/>
  <c r="AF109" i="1"/>
  <c r="AE109" i="1"/>
  <c r="AD109" i="1"/>
  <c r="AC109" i="1"/>
  <c r="AB109" i="1"/>
  <c r="Y109" i="1"/>
  <c r="X109" i="1"/>
  <c r="W109" i="1"/>
  <c r="V109" i="1"/>
  <c r="U109" i="1"/>
  <c r="T109" i="1"/>
  <c r="R109" i="1"/>
  <c r="Q109" i="1"/>
  <c r="P109" i="1"/>
  <c r="N109" i="1"/>
  <c r="J109" i="1"/>
  <c r="I109" i="1"/>
  <c r="H109" i="1"/>
  <c r="G109" i="1"/>
  <c r="F109" i="1"/>
  <c r="E109" i="1"/>
  <c r="D109" i="1"/>
  <c r="C109" i="1"/>
  <c r="B109" i="1"/>
  <c r="A109" i="1"/>
  <c r="AM108" i="1"/>
  <c r="AL108" i="1"/>
  <c r="AK108" i="1"/>
  <c r="AJ108" i="1"/>
  <c r="AG108" i="1"/>
  <c r="AF108" i="1"/>
  <c r="AE108" i="1"/>
  <c r="AD108" i="1"/>
  <c r="AC108" i="1"/>
  <c r="AB108" i="1"/>
  <c r="Z108" i="1"/>
  <c r="Y108" i="1"/>
  <c r="X108" i="1"/>
  <c r="W108" i="1"/>
  <c r="V108" i="1"/>
  <c r="U108" i="1"/>
  <c r="T108" i="1"/>
  <c r="S108" i="1"/>
  <c r="P108" i="1"/>
  <c r="N108" i="1"/>
  <c r="H108" i="1"/>
  <c r="G108" i="1"/>
  <c r="F108" i="1"/>
  <c r="E108" i="1"/>
  <c r="D108" i="1"/>
  <c r="C108" i="1"/>
  <c r="B108" i="1"/>
  <c r="A108" i="1"/>
  <c r="AM107" i="1"/>
  <c r="AL107" i="1"/>
  <c r="AK107" i="1"/>
  <c r="AJ107" i="1"/>
  <c r="AG107" i="1"/>
  <c r="AF107" i="1"/>
  <c r="AE107" i="1"/>
  <c r="AD107" i="1"/>
  <c r="AC107" i="1"/>
  <c r="AB107" i="1"/>
  <c r="Z107" i="1"/>
  <c r="Y107" i="1"/>
  <c r="X107" i="1"/>
  <c r="W107" i="1"/>
  <c r="V107" i="1"/>
  <c r="U107" i="1"/>
  <c r="T107" i="1"/>
  <c r="P107" i="1"/>
  <c r="N107" i="1"/>
  <c r="H107" i="1"/>
  <c r="G107" i="1"/>
  <c r="F107" i="1"/>
  <c r="E107" i="1"/>
  <c r="D107" i="1"/>
  <c r="C107" i="1"/>
  <c r="B107" i="1"/>
  <c r="A107" i="1"/>
  <c r="AM106" i="1"/>
  <c r="AL106" i="1"/>
  <c r="AK106" i="1"/>
  <c r="AJ106" i="1"/>
  <c r="AG106" i="1"/>
  <c r="AF106" i="1"/>
  <c r="AE106" i="1"/>
  <c r="AD106" i="1"/>
  <c r="AC106" i="1"/>
  <c r="AB106" i="1"/>
  <c r="Z106" i="1"/>
  <c r="Y106" i="1"/>
  <c r="X106" i="1"/>
  <c r="W106" i="1"/>
  <c r="V106" i="1"/>
  <c r="U106" i="1"/>
  <c r="T106" i="1"/>
  <c r="S106" i="1"/>
  <c r="P106" i="1"/>
  <c r="N106" i="1"/>
  <c r="H106" i="1"/>
  <c r="G106" i="1"/>
  <c r="F106" i="1"/>
  <c r="E106" i="1"/>
  <c r="D106" i="1"/>
  <c r="C106" i="1"/>
  <c r="B106" i="1"/>
  <c r="A106" i="1"/>
  <c r="AM105" i="1"/>
  <c r="AL105" i="1"/>
  <c r="AK105" i="1"/>
  <c r="AJ105" i="1"/>
  <c r="AG105" i="1"/>
  <c r="AF105" i="1"/>
  <c r="AE105" i="1"/>
  <c r="AD105" i="1"/>
  <c r="AC105" i="1"/>
  <c r="AB105" i="1"/>
  <c r="Z105" i="1"/>
  <c r="Y105" i="1"/>
  <c r="X105" i="1"/>
  <c r="W105" i="1"/>
  <c r="V105" i="1"/>
  <c r="U105" i="1"/>
  <c r="T105" i="1"/>
  <c r="S105" i="1"/>
  <c r="R105" i="1"/>
  <c r="P105" i="1"/>
  <c r="N105" i="1"/>
  <c r="J105" i="1"/>
  <c r="I105" i="1"/>
  <c r="H105" i="1"/>
  <c r="G105" i="1"/>
  <c r="F105" i="1"/>
  <c r="E105" i="1"/>
  <c r="D105" i="1"/>
  <c r="C105" i="1"/>
  <c r="B105" i="1"/>
  <c r="A105" i="1"/>
  <c r="AM104" i="1"/>
  <c r="AL104" i="1"/>
  <c r="AK104" i="1"/>
  <c r="AJ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N104" i="1"/>
  <c r="J104" i="1"/>
  <c r="I104" i="1"/>
  <c r="H104" i="1"/>
  <c r="G104" i="1"/>
  <c r="F104" i="1"/>
  <c r="E104" i="1"/>
  <c r="D104" i="1"/>
  <c r="C104" i="1"/>
  <c r="B104" i="1"/>
  <c r="A104" i="1"/>
  <c r="AM103" i="1"/>
  <c r="AL103" i="1"/>
  <c r="AK103" i="1"/>
  <c r="AJ103" i="1"/>
  <c r="AG103" i="1"/>
  <c r="AF103" i="1"/>
  <c r="AE103" i="1"/>
  <c r="AD103" i="1"/>
  <c r="AC103" i="1"/>
  <c r="AB103" i="1"/>
  <c r="Y103" i="1"/>
  <c r="X103" i="1"/>
  <c r="W103" i="1"/>
  <c r="V103" i="1"/>
  <c r="U103" i="1"/>
  <c r="T103" i="1"/>
  <c r="S103" i="1"/>
  <c r="P103" i="1"/>
  <c r="N103" i="1"/>
  <c r="H103" i="1"/>
  <c r="G103" i="1"/>
  <c r="F103" i="1"/>
  <c r="E103" i="1"/>
  <c r="D103" i="1"/>
  <c r="C103" i="1"/>
  <c r="B103" i="1"/>
  <c r="A103" i="1"/>
  <c r="AM102" i="1"/>
  <c r="AL102" i="1"/>
  <c r="AK102" i="1"/>
  <c r="AJ102" i="1"/>
  <c r="AG102" i="1"/>
  <c r="AF102" i="1"/>
  <c r="AE102" i="1"/>
  <c r="AD102" i="1"/>
  <c r="AC102" i="1"/>
  <c r="AB102" i="1"/>
  <c r="Y102" i="1"/>
  <c r="X102" i="1"/>
  <c r="W102" i="1"/>
  <c r="V102" i="1"/>
  <c r="U102" i="1"/>
  <c r="T102" i="1"/>
  <c r="S102" i="1"/>
  <c r="R102" i="1"/>
  <c r="P102" i="1"/>
  <c r="N102" i="1"/>
  <c r="J102" i="1"/>
  <c r="I102" i="1"/>
  <c r="H102" i="1"/>
  <c r="G102" i="1"/>
  <c r="F102" i="1"/>
  <c r="E102" i="1"/>
  <c r="D102" i="1"/>
  <c r="C102" i="1"/>
  <c r="B102" i="1"/>
  <c r="A102" i="1"/>
  <c r="AM101" i="1"/>
  <c r="AL101" i="1"/>
  <c r="AK101" i="1"/>
  <c r="AJ101" i="1"/>
  <c r="AH101" i="1"/>
  <c r="AG101" i="1"/>
  <c r="AF101" i="1"/>
  <c r="AE101" i="1"/>
  <c r="AD101" i="1"/>
  <c r="AC101" i="1"/>
  <c r="AB101" i="1"/>
  <c r="AA101" i="1"/>
  <c r="Y101" i="1"/>
  <c r="X101" i="1"/>
  <c r="W101" i="1"/>
  <c r="V101" i="1"/>
  <c r="U101" i="1"/>
  <c r="T101" i="1"/>
  <c r="P101" i="1"/>
  <c r="N101" i="1"/>
  <c r="H101" i="1"/>
  <c r="G101" i="1"/>
  <c r="F101" i="1"/>
  <c r="E101" i="1"/>
  <c r="D101" i="1"/>
  <c r="C101" i="1"/>
  <c r="B101" i="1"/>
  <c r="A101" i="1"/>
  <c r="AM100" i="1"/>
  <c r="AL100" i="1"/>
  <c r="AK100" i="1"/>
  <c r="AJ100" i="1"/>
  <c r="AH100" i="1"/>
  <c r="AG100" i="1"/>
  <c r="AF100" i="1"/>
  <c r="AE100" i="1"/>
  <c r="AD100" i="1"/>
  <c r="AC100" i="1"/>
  <c r="AB100" i="1"/>
  <c r="AA100" i="1"/>
  <c r="Y100" i="1"/>
  <c r="X100" i="1"/>
  <c r="W100" i="1"/>
  <c r="V100" i="1"/>
  <c r="U100" i="1"/>
  <c r="T100" i="1"/>
  <c r="P100" i="1"/>
  <c r="N100" i="1"/>
  <c r="H100" i="1"/>
  <c r="G100" i="1"/>
  <c r="F100" i="1"/>
  <c r="E100" i="1"/>
  <c r="D100" i="1"/>
  <c r="C100" i="1"/>
  <c r="B100" i="1"/>
  <c r="A100" i="1"/>
  <c r="AM99" i="1"/>
  <c r="AL99" i="1"/>
  <c r="AK99" i="1"/>
  <c r="AJ99" i="1"/>
  <c r="AG99" i="1"/>
  <c r="AF99" i="1"/>
  <c r="AE99" i="1"/>
  <c r="AD99" i="1"/>
  <c r="AC99" i="1"/>
  <c r="AB99" i="1"/>
  <c r="Y99" i="1"/>
  <c r="X99" i="1"/>
  <c r="W99" i="1"/>
  <c r="V99" i="1"/>
  <c r="U99" i="1"/>
  <c r="T99" i="1"/>
  <c r="R99" i="1"/>
  <c r="Q99" i="1"/>
  <c r="P99" i="1"/>
  <c r="N99" i="1"/>
  <c r="J99" i="1"/>
  <c r="I99" i="1"/>
  <c r="H99" i="1"/>
  <c r="G99" i="1"/>
  <c r="F99" i="1"/>
  <c r="E99" i="1"/>
  <c r="D99" i="1"/>
  <c r="C99" i="1"/>
  <c r="B99" i="1"/>
  <c r="A99" i="1"/>
  <c r="AM98" i="1"/>
  <c r="AL98" i="1"/>
  <c r="AK98" i="1"/>
  <c r="AJ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Q98" i="1"/>
  <c r="P98" i="1"/>
  <c r="N98" i="1"/>
  <c r="H98" i="1"/>
  <c r="G98" i="1"/>
  <c r="F98" i="1"/>
  <c r="E98" i="1"/>
  <c r="D98" i="1"/>
  <c r="C98" i="1"/>
  <c r="B98" i="1"/>
  <c r="A98" i="1"/>
  <c r="AM97" i="1"/>
  <c r="AL97" i="1"/>
  <c r="AK97" i="1"/>
  <c r="AJ97" i="1"/>
  <c r="AG97" i="1"/>
  <c r="AF97" i="1"/>
  <c r="AE97" i="1"/>
  <c r="AD97" i="1"/>
  <c r="AC97" i="1"/>
  <c r="AB97" i="1"/>
  <c r="Y97" i="1"/>
  <c r="X97" i="1"/>
  <c r="W97" i="1"/>
  <c r="V97" i="1"/>
  <c r="U97" i="1"/>
  <c r="T97" i="1"/>
  <c r="P97" i="1"/>
  <c r="N97" i="1"/>
  <c r="H97" i="1"/>
  <c r="G97" i="1"/>
  <c r="F97" i="1"/>
  <c r="E97" i="1"/>
  <c r="D97" i="1"/>
  <c r="C97" i="1"/>
  <c r="B97" i="1"/>
  <c r="A97" i="1"/>
  <c r="AM96" i="1"/>
  <c r="AL96" i="1"/>
  <c r="AK96" i="1"/>
  <c r="AJ96" i="1"/>
  <c r="AG96" i="1"/>
  <c r="AF96" i="1"/>
  <c r="AE96" i="1"/>
  <c r="AD96" i="1"/>
  <c r="AC96" i="1"/>
  <c r="AB96" i="1"/>
  <c r="Y96" i="1"/>
  <c r="X96" i="1"/>
  <c r="W96" i="1"/>
  <c r="V96" i="1"/>
  <c r="U96" i="1"/>
  <c r="T96" i="1"/>
  <c r="P96" i="1"/>
  <c r="N96" i="1"/>
  <c r="H96" i="1"/>
  <c r="G96" i="1"/>
  <c r="F96" i="1"/>
  <c r="E96" i="1"/>
  <c r="D96" i="1"/>
  <c r="C96" i="1"/>
  <c r="B96" i="1"/>
  <c r="A96" i="1"/>
  <c r="AM95" i="1"/>
  <c r="AL95" i="1"/>
  <c r="AK95" i="1"/>
  <c r="AJ95" i="1"/>
  <c r="AH95" i="1"/>
  <c r="AG95" i="1"/>
  <c r="AF95" i="1"/>
  <c r="AE95" i="1"/>
  <c r="AD95" i="1"/>
  <c r="AC95" i="1"/>
  <c r="AB95" i="1"/>
  <c r="Y95" i="1"/>
  <c r="X95" i="1"/>
  <c r="W95" i="1"/>
  <c r="V95" i="1"/>
  <c r="U95" i="1"/>
  <c r="T95" i="1"/>
  <c r="R95" i="1"/>
  <c r="Q95" i="1"/>
  <c r="P95" i="1"/>
  <c r="N95" i="1"/>
  <c r="J95" i="1"/>
  <c r="I95" i="1"/>
  <c r="H95" i="1"/>
  <c r="G95" i="1"/>
  <c r="F95" i="1"/>
  <c r="E95" i="1"/>
  <c r="D95" i="1"/>
  <c r="C95" i="1"/>
  <c r="B95" i="1"/>
  <c r="A95" i="1"/>
  <c r="AM94" i="1"/>
  <c r="AL94" i="1"/>
  <c r="AK94" i="1"/>
  <c r="AJ94" i="1"/>
  <c r="AH94" i="1"/>
  <c r="AG94" i="1"/>
  <c r="AF94" i="1"/>
  <c r="AE94" i="1"/>
  <c r="AD94" i="1"/>
  <c r="AC94" i="1"/>
  <c r="AB94" i="1"/>
  <c r="Y94" i="1"/>
  <c r="X94" i="1"/>
  <c r="W94" i="1"/>
  <c r="V94" i="1"/>
  <c r="U94" i="1"/>
  <c r="T94" i="1"/>
  <c r="R94" i="1"/>
  <c r="Q94" i="1"/>
  <c r="P94" i="1"/>
  <c r="N94" i="1"/>
  <c r="M94" i="1"/>
  <c r="J94" i="1"/>
  <c r="I94" i="1"/>
  <c r="H94" i="1"/>
  <c r="G94" i="1"/>
  <c r="F94" i="1"/>
  <c r="E94" i="1"/>
  <c r="D94" i="1"/>
  <c r="C94" i="1"/>
  <c r="B94" i="1"/>
  <c r="A94" i="1"/>
  <c r="AM93" i="1"/>
  <c r="AL93" i="1"/>
  <c r="AK93" i="1"/>
  <c r="AJ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R93" i="1"/>
  <c r="P93" i="1"/>
  <c r="N93" i="1"/>
  <c r="J93" i="1"/>
  <c r="I93" i="1"/>
  <c r="H93" i="1"/>
  <c r="G93" i="1"/>
  <c r="F93" i="1"/>
  <c r="E93" i="1"/>
  <c r="D93" i="1"/>
  <c r="C93" i="1"/>
  <c r="B93" i="1"/>
  <c r="A93" i="1"/>
  <c r="AM92" i="1"/>
  <c r="AL92" i="1"/>
  <c r="AK92" i="1"/>
  <c r="AJ92" i="1"/>
  <c r="AI92" i="1"/>
  <c r="AG92" i="1"/>
  <c r="AF92" i="1"/>
  <c r="AE92" i="1"/>
  <c r="AD92" i="1"/>
  <c r="AC92" i="1"/>
  <c r="AB92" i="1"/>
  <c r="Z92" i="1"/>
  <c r="Y92" i="1"/>
  <c r="X92" i="1"/>
  <c r="W92" i="1"/>
  <c r="V92" i="1"/>
  <c r="U92" i="1"/>
  <c r="T92" i="1"/>
  <c r="Q92" i="1"/>
  <c r="P92" i="1"/>
  <c r="N92" i="1"/>
  <c r="H92" i="1"/>
  <c r="G92" i="1"/>
  <c r="F92" i="1"/>
  <c r="E92" i="1"/>
  <c r="D92" i="1"/>
  <c r="C92" i="1"/>
  <c r="B92" i="1"/>
  <c r="A92" i="1"/>
  <c r="AM91" i="1"/>
  <c r="AL91" i="1"/>
  <c r="AK91" i="1"/>
  <c r="AJ91" i="1"/>
  <c r="AG91" i="1"/>
  <c r="AF91" i="1"/>
  <c r="AE91" i="1"/>
  <c r="AD91" i="1"/>
  <c r="AC91" i="1"/>
  <c r="AB91" i="1"/>
  <c r="Y91" i="1"/>
  <c r="X91" i="1"/>
  <c r="W91" i="1"/>
  <c r="V91" i="1"/>
  <c r="U91" i="1"/>
  <c r="T91" i="1"/>
  <c r="S91" i="1"/>
  <c r="R91" i="1"/>
  <c r="P91" i="1"/>
  <c r="N91" i="1"/>
  <c r="M91" i="1"/>
  <c r="J91" i="1"/>
  <c r="I91" i="1"/>
  <c r="H91" i="1"/>
  <c r="G91" i="1"/>
  <c r="F91" i="1"/>
  <c r="E91" i="1"/>
  <c r="D91" i="1"/>
  <c r="C91" i="1"/>
  <c r="B91" i="1"/>
  <c r="A91" i="1"/>
  <c r="AM90" i="1"/>
  <c r="AL90" i="1"/>
  <c r="AK90" i="1"/>
  <c r="AJ90" i="1"/>
  <c r="AG90" i="1"/>
  <c r="AF90" i="1"/>
  <c r="AE90" i="1"/>
  <c r="AD90" i="1"/>
  <c r="AC90" i="1"/>
  <c r="AB90" i="1"/>
  <c r="Y90" i="1"/>
  <c r="X90" i="1"/>
  <c r="W90" i="1"/>
  <c r="V90" i="1"/>
  <c r="U90" i="1"/>
  <c r="T90" i="1"/>
  <c r="R90" i="1"/>
  <c r="P90" i="1"/>
  <c r="N90" i="1"/>
  <c r="M90" i="1"/>
  <c r="J90" i="1"/>
  <c r="I90" i="1"/>
  <c r="H90" i="1"/>
  <c r="G90" i="1"/>
  <c r="F90" i="1"/>
  <c r="E90" i="1"/>
  <c r="D90" i="1"/>
  <c r="C90" i="1"/>
  <c r="B90" i="1"/>
  <c r="A90" i="1"/>
  <c r="AM89" i="1"/>
  <c r="AL89" i="1"/>
  <c r="AK89" i="1"/>
  <c r="AJ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N89" i="1"/>
  <c r="J89" i="1"/>
  <c r="I89" i="1"/>
  <c r="H89" i="1"/>
  <c r="G89" i="1"/>
  <c r="F89" i="1"/>
  <c r="E89" i="1"/>
  <c r="D89" i="1"/>
  <c r="C89" i="1"/>
  <c r="B89" i="1"/>
  <c r="A89" i="1"/>
  <c r="AM88" i="1"/>
  <c r="AK88" i="1"/>
  <c r="AJ88" i="1"/>
  <c r="AH88" i="1"/>
  <c r="AF88" i="1"/>
  <c r="AD88" i="1"/>
  <c r="AB88" i="1"/>
  <c r="Z88" i="1"/>
  <c r="X88" i="1"/>
  <c r="V88" i="1"/>
  <c r="T88" i="1"/>
  <c r="S88" i="1"/>
  <c r="R88" i="1"/>
  <c r="Q88" i="1"/>
  <c r="P88" i="1"/>
  <c r="N88" i="1"/>
  <c r="J88" i="1"/>
  <c r="I88" i="1"/>
  <c r="H88" i="1"/>
  <c r="G88" i="1"/>
  <c r="F88" i="1"/>
  <c r="E88" i="1"/>
  <c r="D88" i="1"/>
  <c r="C88" i="1"/>
  <c r="B88" i="1"/>
  <c r="A88" i="1"/>
  <c r="AM87" i="1"/>
  <c r="AL87" i="1"/>
  <c r="AK87" i="1"/>
  <c r="AJ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P87" i="1"/>
  <c r="N87" i="1"/>
  <c r="H87" i="1"/>
  <c r="G87" i="1"/>
  <c r="F87" i="1"/>
  <c r="E87" i="1"/>
  <c r="D87" i="1"/>
  <c r="C87" i="1"/>
  <c r="B87" i="1"/>
  <c r="A87" i="1"/>
  <c r="AM86" i="1"/>
  <c r="AL86" i="1"/>
  <c r="AK86" i="1"/>
  <c r="AJ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N86" i="1"/>
  <c r="J86" i="1"/>
  <c r="I86" i="1"/>
  <c r="H86" i="1"/>
  <c r="G86" i="1"/>
  <c r="F86" i="1"/>
  <c r="E86" i="1"/>
  <c r="D86" i="1"/>
  <c r="C86" i="1"/>
  <c r="B86" i="1"/>
  <c r="A86" i="1"/>
  <c r="AM85" i="1"/>
  <c r="AL85" i="1"/>
  <c r="AK85" i="1"/>
  <c r="AJ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R85" i="1"/>
  <c r="P85" i="1"/>
  <c r="N85" i="1"/>
  <c r="M85" i="1"/>
  <c r="K85" i="1"/>
  <c r="J85" i="1"/>
  <c r="I85" i="1"/>
  <c r="H85" i="1"/>
  <c r="G85" i="1"/>
  <c r="F85" i="1"/>
  <c r="E85" i="1"/>
  <c r="D85" i="1"/>
  <c r="C85" i="1"/>
  <c r="B85" i="1"/>
  <c r="A85" i="1"/>
  <c r="AM84" i="1"/>
  <c r="AL84" i="1"/>
  <c r="AK84" i="1"/>
  <c r="AJ84" i="1"/>
  <c r="AG84" i="1"/>
  <c r="AF84" i="1"/>
  <c r="AE84" i="1"/>
  <c r="AD84" i="1"/>
  <c r="AC84" i="1"/>
  <c r="AB84" i="1"/>
  <c r="Y84" i="1"/>
  <c r="X84" i="1"/>
  <c r="W84" i="1"/>
  <c r="V84" i="1"/>
  <c r="U84" i="1"/>
  <c r="T84" i="1"/>
  <c r="P84" i="1"/>
  <c r="N84" i="1"/>
  <c r="H84" i="1"/>
  <c r="G84" i="1"/>
  <c r="F84" i="1"/>
  <c r="E84" i="1"/>
  <c r="D84" i="1"/>
  <c r="C84" i="1"/>
  <c r="B84" i="1"/>
  <c r="A84" i="1"/>
  <c r="AM83" i="1"/>
  <c r="AL83" i="1"/>
  <c r="AK83" i="1"/>
  <c r="AJ83" i="1"/>
  <c r="AG83" i="1"/>
  <c r="AF83" i="1"/>
  <c r="AE83" i="1"/>
  <c r="AD83" i="1"/>
  <c r="AC83" i="1"/>
  <c r="AB83" i="1"/>
  <c r="Z83" i="1"/>
  <c r="Y83" i="1"/>
  <c r="X83" i="1"/>
  <c r="W83" i="1"/>
  <c r="V83" i="1"/>
  <c r="U83" i="1"/>
  <c r="T83" i="1"/>
  <c r="S83" i="1"/>
  <c r="R83" i="1"/>
  <c r="P83" i="1"/>
  <c r="N83" i="1"/>
  <c r="M83" i="1"/>
  <c r="J83" i="1"/>
  <c r="I83" i="1"/>
  <c r="H83" i="1"/>
  <c r="G83" i="1"/>
  <c r="F83" i="1"/>
  <c r="E83" i="1"/>
  <c r="D83" i="1"/>
  <c r="C83" i="1"/>
  <c r="B83" i="1"/>
  <c r="A83" i="1"/>
  <c r="AM82" i="1"/>
  <c r="AL82" i="1"/>
  <c r="AK82" i="1"/>
  <c r="AJ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P82" i="1"/>
  <c r="N82" i="1"/>
  <c r="H82" i="1"/>
  <c r="G82" i="1"/>
  <c r="F82" i="1"/>
  <c r="E82" i="1"/>
  <c r="D82" i="1"/>
  <c r="C82" i="1"/>
  <c r="B82" i="1"/>
  <c r="A82" i="1"/>
  <c r="AM81" i="1"/>
  <c r="AL81" i="1"/>
  <c r="AK81" i="1"/>
  <c r="AJ81" i="1"/>
  <c r="AI81" i="1"/>
  <c r="AG81" i="1"/>
  <c r="AF81" i="1"/>
  <c r="AE81" i="1"/>
  <c r="AD81" i="1"/>
  <c r="AC81" i="1"/>
  <c r="AB81" i="1"/>
  <c r="AA81" i="1"/>
  <c r="Y81" i="1"/>
  <c r="X81" i="1"/>
  <c r="W81" i="1"/>
  <c r="V81" i="1"/>
  <c r="U81" i="1"/>
  <c r="T81" i="1"/>
  <c r="P81" i="1"/>
  <c r="N81" i="1"/>
  <c r="H81" i="1"/>
  <c r="G81" i="1"/>
  <c r="F81" i="1"/>
  <c r="E81" i="1"/>
  <c r="D81" i="1"/>
  <c r="C81" i="1"/>
  <c r="B81" i="1"/>
  <c r="A81" i="1"/>
  <c r="AM80" i="1"/>
  <c r="AL80" i="1"/>
  <c r="AK80" i="1"/>
  <c r="AJ80" i="1"/>
  <c r="AI80" i="1"/>
  <c r="AG80" i="1"/>
  <c r="AF80" i="1"/>
  <c r="AE80" i="1"/>
  <c r="AD80" i="1"/>
  <c r="AC80" i="1"/>
  <c r="AB80" i="1"/>
  <c r="AA80" i="1"/>
  <c r="Y80" i="1"/>
  <c r="X80" i="1"/>
  <c r="W80" i="1"/>
  <c r="V80" i="1"/>
  <c r="U80" i="1"/>
  <c r="T80" i="1"/>
  <c r="R80" i="1"/>
  <c r="P80" i="1"/>
  <c r="N80" i="1"/>
  <c r="M80" i="1"/>
  <c r="K80" i="1"/>
  <c r="J80" i="1"/>
  <c r="I80" i="1"/>
  <c r="H80" i="1"/>
  <c r="G80" i="1"/>
  <c r="F80" i="1"/>
  <c r="E80" i="1"/>
  <c r="D80" i="1"/>
  <c r="C80" i="1"/>
  <c r="B80" i="1"/>
  <c r="A80" i="1"/>
  <c r="AM79" i="1"/>
  <c r="AL79" i="1"/>
  <c r="AK79" i="1"/>
  <c r="AJ79" i="1"/>
  <c r="AI79" i="1"/>
  <c r="AG79" i="1"/>
  <c r="AF79" i="1"/>
  <c r="AE79" i="1"/>
  <c r="AD79" i="1"/>
  <c r="AC79" i="1"/>
  <c r="AB79" i="1"/>
  <c r="AA79" i="1"/>
  <c r="Y79" i="1"/>
  <c r="X79" i="1"/>
  <c r="W79" i="1"/>
  <c r="V79" i="1"/>
  <c r="U79" i="1"/>
  <c r="T79" i="1"/>
  <c r="S79" i="1"/>
  <c r="R79" i="1"/>
  <c r="P79" i="1"/>
  <c r="N79" i="1"/>
  <c r="J79" i="1"/>
  <c r="I79" i="1"/>
  <c r="H79" i="1"/>
  <c r="G79" i="1"/>
  <c r="F79" i="1"/>
  <c r="E79" i="1"/>
  <c r="D79" i="1"/>
  <c r="C79" i="1"/>
  <c r="B79" i="1"/>
  <c r="A79" i="1"/>
  <c r="AM78" i="1"/>
  <c r="AL78" i="1"/>
  <c r="AK78" i="1"/>
  <c r="AJ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P78" i="1"/>
  <c r="N78" i="1"/>
  <c r="J78" i="1"/>
  <c r="I78" i="1"/>
  <c r="H78" i="1"/>
  <c r="G78" i="1"/>
  <c r="F78" i="1"/>
  <c r="E78" i="1"/>
  <c r="D78" i="1"/>
  <c r="C78" i="1"/>
  <c r="B78" i="1"/>
  <c r="A78" i="1"/>
  <c r="AM77" i="1"/>
  <c r="AL77" i="1"/>
  <c r="AK77" i="1"/>
  <c r="AJ77" i="1"/>
  <c r="AH77" i="1"/>
  <c r="AG77" i="1"/>
  <c r="AF77" i="1"/>
  <c r="AE77" i="1"/>
  <c r="AD77" i="1"/>
  <c r="AC77" i="1"/>
  <c r="AB77" i="1"/>
  <c r="Z77" i="1"/>
  <c r="Y77" i="1"/>
  <c r="X77" i="1"/>
  <c r="W77" i="1"/>
  <c r="V77" i="1"/>
  <c r="U77" i="1"/>
  <c r="T77" i="1"/>
  <c r="S77" i="1"/>
  <c r="Q77" i="1"/>
  <c r="P77" i="1"/>
  <c r="N77" i="1"/>
  <c r="H77" i="1"/>
  <c r="G77" i="1"/>
  <c r="F77" i="1"/>
  <c r="E77" i="1"/>
  <c r="D77" i="1"/>
  <c r="C77" i="1"/>
  <c r="B77" i="1"/>
  <c r="A77" i="1"/>
  <c r="AM76" i="1"/>
  <c r="AL76" i="1"/>
  <c r="AK76" i="1"/>
  <c r="AJ76" i="1"/>
  <c r="AG76" i="1"/>
  <c r="AF76" i="1"/>
  <c r="AE76" i="1"/>
  <c r="AD76" i="1"/>
  <c r="AC76" i="1"/>
  <c r="AB76" i="1"/>
  <c r="Y76" i="1"/>
  <c r="X76" i="1"/>
  <c r="W76" i="1"/>
  <c r="V76" i="1"/>
  <c r="U76" i="1"/>
  <c r="T76" i="1"/>
  <c r="R76" i="1"/>
  <c r="P76" i="1"/>
  <c r="N76" i="1"/>
  <c r="M76" i="1"/>
  <c r="J76" i="1"/>
  <c r="I76" i="1"/>
  <c r="H76" i="1"/>
  <c r="G76" i="1"/>
  <c r="F76" i="1"/>
  <c r="E76" i="1"/>
  <c r="D76" i="1"/>
  <c r="C76" i="1"/>
  <c r="B76" i="1"/>
  <c r="A76" i="1"/>
  <c r="AM75" i="1"/>
  <c r="AL75" i="1"/>
  <c r="AK75" i="1"/>
  <c r="AJ75" i="1"/>
  <c r="AH75" i="1"/>
  <c r="AG75" i="1"/>
  <c r="AF75" i="1"/>
  <c r="AE75" i="1"/>
  <c r="AD75" i="1"/>
  <c r="AC75" i="1"/>
  <c r="AB75" i="1"/>
  <c r="Y75" i="1"/>
  <c r="X75" i="1"/>
  <c r="W75" i="1"/>
  <c r="V75" i="1"/>
  <c r="U75" i="1"/>
  <c r="T75" i="1"/>
  <c r="S75" i="1"/>
  <c r="R75" i="1"/>
  <c r="P75" i="1"/>
  <c r="N75" i="1"/>
  <c r="M75" i="1"/>
  <c r="J75" i="1"/>
  <c r="I75" i="1"/>
  <c r="H75" i="1"/>
  <c r="G75" i="1"/>
  <c r="F75" i="1"/>
  <c r="E75" i="1"/>
  <c r="D75" i="1"/>
  <c r="C75" i="1"/>
  <c r="B75" i="1"/>
  <c r="A75" i="1"/>
  <c r="AM74" i="1"/>
  <c r="AK74" i="1"/>
  <c r="AJ74" i="1"/>
  <c r="AF74" i="1"/>
  <c r="AD74" i="1"/>
  <c r="AB74" i="1"/>
  <c r="Z74" i="1"/>
  <c r="X74" i="1"/>
  <c r="V74" i="1"/>
  <c r="T74" i="1"/>
  <c r="S74" i="1"/>
  <c r="R74" i="1"/>
  <c r="Q74" i="1"/>
  <c r="P74" i="1"/>
  <c r="N74" i="1"/>
  <c r="J74" i="1"/>
  <c r="I74" i="1"/>
  <c r="H74" i="1"/>
  <c r="G74" i="1"/>
  <c r="F74" i="1"/>
  <c r="E74" i="1"/>
  <c r="D74" i="1"/>
  <c r="C74" i="1"/>
  <c r="B74" i="1"/>
  <c r="A74" i="1"/>
  <c r="AM73" i="1"/>
  <c r="AL73" i="1"/>
  <c r="AK73" i="1"/>
  <c r="AJ73" i="1"/>
  <c r="AH73" i="1"/>
  <c r="AG73" i="1"/>
  <c r="AF73" i="1"/>
  <c r="AE73" i="1"/>
  <c r="AD73" i="1"/>
  <c r="AC73" i="1"/>
  <c r="AB73" i="1"/>
  <c r="Y73" i="1"/>
  <c r="X73" i="1"/>
  <c r="W73" i="1"/>
  <c r="V73" i="1"/>
  <c r="U73" i="1"/>
  <c r="T73" i="1"/>
  <c r="R73" i="1"/>
  <c r="P73" i="1"/>
  <c r="N73" i="1"/>
  <c r="M73" i="1"/>
  <c r="J73" i="1"/>
  <c r="I73" i="1"/>
  <c r="H73" i="1"/>
  <c r="G73" i="1"/>
  <c r="F73" i="1"/>
  <c r="E73" i="1"/>
  <c r="D73" i="1"/>
  <c r="C73" i="1"/>
  <c r="B73" i="1"/>
  <c r="A73" i="1"/>
  <c r="AM72" i="1"/>
  <c r="AL72" i="1"/>
  <c r="AK72" i="1"/>
  <c r="AJ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P72" i="1"/>
  <c r="N72" i="1"/>
  <c r="M72" i="1"/>
  <c r="J72" i="1"/>
  <c r="I72" i="1"/>
  <c r="H72" i="1"/>
  <c r="G72" i="1"/>
  <c r="F72" i="1"/>
  <c r="E72" i="1"/>
  <c r="D72" i="1"/>
  <c r="C72" i="1"/>
  <c r="B72" i="1"/>
  <c r="A72" i="1"/>
  <c r="AM71" i="1"/>
  <c r="AL71" i="1"/>
  <c r="AK71" i="1"/>
  <c r="AJ71" i="1"/>
  <c r="AI71" i="1"/>
  <c r="AG71" i="1"/>
  <c r="AF71" i="1"/>
  <c r="AE71" i="1"/>
  <c r="AD71" i="1"/>
  <c r="AC71" i="1"/>
  <c r="AB71" i="1"/>
  <c r="Z71" i="1"/>
  <c r="Y71" i="1"/>
  <c r="X71" i="1"/>
  <c r="W71" i="1"/>
  <c r="V71" i="1"/>
  <c r="U71" i="1"/>
  <c r="T71" i="1"/>
  <c r="S71" i="1"/>
  <c r="R71" i="1"/>
  <c r="P71" i="1"/>
  <c r="N71" i="1"/>
  <c r="J71" i="1"/>
  <c r="I71" i="1"/>
  <c r="H71" i="1"/>
  <c r="G71" i="1"/>
  <c r="F71" i="1"/>
  <c r="E71" i="1"/>
  <c r="D71" i="1"/>
  <c r="C71" i="1"/>
  <c r="B71" i="1"/>
  <c r="A71" i="1"/>
  <c r="AM70" i="1"/>
  <c r="AL70" i="1"/>
  <c r="AK70" i="1"/>
  <c r="AJ70" i="1"/>
  <c r="AG70" i="1"/>
  <c r="AF70" i="1"/>
  <c r="AE70" i="1"/>
  <c r="AD70" i="1"/>
  <c r="AC70" i="1"/>
  <c r="AB70" i="1"/>
  <c r="Z70" i="1"/>
  <c r="Y70" i="1"/>
  <c r="X70" i="1"/>
  <c r="W70" i="1"/>
  <c r="V70" i="1"/>
  <c r="U70" i="1"/>
  <c r="T70" i="1"/>
  <c r="Q70" i="1"/>
  <c r="P70" i="1"/>
  <c r="N70" i="1"/>
  <c r="H70" i="1"/>
  <c r="G70" i="1"/>
  <c r="F70" i="1"/>
  <c r="E70" i="1"/>
  <c r="D70" i="1"/>
  <c r="C70" i="1"/>
  <c r="B70" i="1"/>
  <c r="A70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N69" i="1"/>
  <c r="J69" i="1"/>
  <c r="I69" i="1"/>
  <c r="H69" i="1"/>
  <c r="G69" i="1"/>
  <c r="F69" i="1"/>
  <c r="E69" i="1"/>
  <c r="D69" i="1"/>
  <c r="C69" i="1"/>
  <c r="B69" i="1"/>
  <c r="A69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Q68" i="1"/>
  <c r="P68" i="1"/>
  <c r="N68" i="1"/>
  <c r="H68" i="1"/>
  <c r="G68" i="1"/>
  <c r="F68" i="1"/>
  <c r="E68" i="1"/>
  <c r="D68" i="1"/>
  <c r="C68" i="1"/>
  <c r="B68" i="1"/>
  <c r="A68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N67" i="1"/>
  <c r="M67" i="1"/>
  <c r="J67" i="1"/>
  <c r="I67" i="1"/>
  <c r="H67" i="1"/>
  <c r="G67" i="1"/>
  <c r="F67" i="1"/>
  <c r="E67" i="1"/>
  <c r="D67" i="1"/>
  <c r="C67" i="1"/>
  <c r="B67" i="1"/>
  <c r="A67" i="1"/>
  <c r="AM66" i="1"/>
  <c r="AL66" i="1"/>
  <c r="AK66" i="1"/>
  <c r="AJ66" i="1"/>
  <c r="AG66" i="1"/>
  <c r="AF66" i="1"/>
  <c r="AE66" i="1"/>
  <c r="AD66" i="1"/>
  <c r="AC66" i="1"/>
  <c r="AB66" i="1"/>
  <c r="Z66" i="1"/>
  <c r="Y66" i="1"/>
  <c r="X66" i="1"/>
  <c r="W66" i="1"/>
  <c r="V66" i="1"/>
  <c r="U66" i="1"/>
  <c r="T66" i="1"/>
  <c r="S66" i="1"/>
  <c r="P66" i="1"/>
  <c r="N66" i="1"/>
  <c r="H66" i="1"/>
  <c r="G66" i="1"/>
  <c r="F66" i="1"/>
  <c r="E66" i="1"/>
  <c r="D66" i="1"/>
  <c r="C66" i="1"/>
  <c r="B66" i="1"/>
  <c r="A66" i="1"/>
  <c r="AM65" i="1"/>
  <c r="AL65" i="1"/>
  <c r="AK65" i="1"/>
  <c r="AJ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R65" i="1"/>
  <c r="P65" i="1"/>
  <c r="N65" i="1"/>
  <c r="J65" i="1"/>
  <c r="I65" i="1"/>
  <c r="H65" i="1"/>
  <c r="G65" i="1"/>
  <c r="F65" i="1"/>
  <c r="E65" i="1"/>
  <c r="D65" i="1"/>
  <c r="C65" i="1"/>
  <c r="B65" i="1"/>
  <c r="A65" i="1"/>
  <c r="AM64" i="1"/>
  <c r="AL64" i="1"/>
  <c r="AK64" i="1"/>
  <c r="AJ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P64" i="1"/>
  <c r="N64" i="1"/>
  <c r="J64" i="1"/>
  <c r="I64" i="1"/>
  <c r="H64" i="1"/>
  <c r="G64" i="1"/>
  <c r="F64" i="1"/>
  <c r="E64" i="1"/>
  <c r="D64" i="1"/>
  <c r="C64" i="1"/>
  <c r="B64" i="1"/>
  <c r="A64" i="1"/>
  <c r="AM63" i="1"/>
  <c r="AL63" i="1"/>
  <c r="AK63" i="1"/>
  <c r="AJ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P63" i="1"/>
  <c r="N63" i="1"/>
  <c r="H63" i="1"/>
  <c r="G63" i="1"/>
  <c r="F63" i="1"/>
  <c r="E63" i="1"/>
  <c r="D63" i="1"/>
  <c r="C63" i="1"/>
  <c r="B63" i="1"/>
  <c r="A63" i="1"/>
  <c r="AM62" i="1"/>
  <c r="AL62" i="1"/>
  <c r="AK62" i="1"/>
  <c r="AJ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P62" i="1"/>
  <c r="N62" i="1"/>
  <c r="H62" i="1"/>
  <c r="G62" i="1"/>
  <c r="F62" i="1"/>
  <c r="E62" i="1"/>
  <c r="D62" i="1"/>
  <c r="C62" i="1"/>
  <c r="B62" i="1"/>
  <c r="A62" i="1"/>
  <c r="AM61" i="1"/>
  <c r="AL61" i="1"/>
  <c r="AK61" i="1"/>
  <c r="AJ61" i="1"/>
  <c r="AI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N61" i="1"/>
  <c r="J61" i="1"/>
  <c r="I61" i="1"/>
  <c r="H61" i="1"/>
  <c r="G61" i="1"/>
  <c r="F61" i="1"/>
  <c r="E61" i="1"/>
  <c r="D61" i="1"/>
  <c r="C61" i="1"/>
  <c r="B61" i="1"/>
  <c r="A61" i="1"/>
  <c r="AM60" i="1"/>
  <c r="AK60" i="1"/>
  <c r="AJ60" i="1"/>
  <c r="AF60" i="1"/>
  <c r="AD60" i="1"/>
  <c r="AB60" i="1"/>
  <c r="Z60" i="1"/>
  <c r="X60" i="1"/>
  <c r="V60" i="1"/>
  <c r="T60" i="1"/>
  <c r="Q60" i="1"/>
  <c r="P60" i="1"/>
  <c r="N60" i="1"/>
  <c r="H60" i="1"/>
  <c r="G60" i="1"/>
  <c r="F60" i="1"/>
  <c r="E60" i="1"/>
  <c r="D60" i="1"/>
  <c r="C60" i="1"/>
  <c r="B60" i="1"/>
  <c r="A60" i="1"/>
  <c r="AM59" i="1"/>
  <c r="AL59" i="1"/>
  <c r="AK59" i="1"/>
  <c r="AJ59" i="1"/>
  <c r="AG59" i="1"/>
  <c r="AF59" i="1"/>
  <c r="AE59" i="1"/>
  <c r="AD59" i="1"/>
  <c r="AC59" i="1"/>
  <c r="AB59" i="1"/>
  <c r="Z59" i="1"/>
  <c r="Y59" i="1"/>
  <c r="X59" i="1"/>
  <c r="W59" i="1"/>
  <c r="V59" i="1"/>
  <c r="U59" i="1"/>
  <c r="T59" i="1"/>
  <c r="R59" i="1"/>
  <c r="Q59" i="1"/>
  <c r="P59" i="1"/>
  <c r="N59" i="1"/>
  <c r="J59" i="1"/>
  <c r="I59" i="1"/>
  <c r="H59" i="1"/>
  <c r="G59" i="1"/>
  <c r="F59" i="1"/>
  <c r="E59" i="1"/>
  <c r="D59" i="1"/>
  <c r="C59" i="1"/>
  <c r="B59" i="1"/>
  <c r="A59" i="1"/>
  <c r="AM58" i="1"/>
  <c r="AL58" i="1"/>
  <c r="AK58" i="1"/>
  <c r="AJ58" i="1"/>
  <c r="AG58" i="1"/>
  <c r="AF58" i="1"/>
  <c r="AE58" i="1"/>
  <c r="AD58" i="1"/>
  <c r="AC58" i="1"/>
  <c r="AB58" i="1"/>
  <c r="Y58" i="1"/>
  <c r="X58" i="1"/>
  <c r="W58" i="1"/>
  <c r="V58" i="1"/>
  <c r="U58" i="1"/>
  <c r="T58" i="1"/>
  <c r="S58" i="1"/>
  <c r="R58" i="1"/>
  <c r="P58" i="1"/>
  <c r="N58" i="1"/>
  <c r="M58" i="1"/>
  <c r="J58" i="1"/>
  <c r="I58" i="1"/>
  <c r="H58" i="1"/>
  <c r="G58" i="1"/>
  <c r="F58" i="1"/>
  <c r="E58" i="1"/>
  <c r="D58" i="1"/>
  <c r="C58" i="1"/>
  <c r="B58" i="1"/>
  <c r="A58" i="1"/>
  <c r="AM57" i="1"/>
  <c r="AL57" i="1"/>
  <c r="AK57" i="1"/>
  <c r="AJ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P57" i="1"/>
  <c r="N57" i="1"/>
  <c r="H57" i="1"/>
  <c r="G57" i="1"/>
  <c r="F57" i="1"/>
  <c r="E57" i="1"/>
  <c r="D57" i="1"/>
  <c r="C57" i="1"/>
  <c r="B57" i="1"/>
  <c r="A57" i="1"/>
  <c r="AM56" i="1"/>
  <c r="AL56" i="1"/>
  <c r="AK56" i="1"/>
  <c r="AJ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P56" i="1"/>
  <c r="N56" i="1"/>
  <c r="H56" i="1"/>
  <c r="G56" i="1"/>
  <c r="F56" i="1"/>
  <c r="E56" i="1"/>
  <c r="D56" i="1"/>
  <c r="C56" i="1"/>
  <c r="B56" i="1"/>
  <c r="A56" i="1"/>
  <c r="AM55" i="1"/>
  <c r="AL55" i="1"/>
  <c r="AK55" i="1"/>
  <c r="AJ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P55" i="1"/>
  <c r="N55" i="1"/>
  <c r="H55" i="1"/>
  <c r="G55" i="1"/>
  <c r="F55" i="1"/>
  <c r="E55" i="1"/>
  <c r="D55" i="1"/>
  <c r="C55" i="1"/>
  <c r="B55" i="1"/>
  <c r="A55" i="1"/>
  <c r="AM54" i="1"/>
  <c r="AK54" i="1"/>
  <c r="AJ54" i="1"/>
  <c r="AF54" i="1"/>
  <c r="AD54" i="1"/>
  <c r="AB54" i="1"/>
  <c r="Z54" i="1"/>
  <c r="X54" i="1"/>
  <c r="V54" i="1"/>
  <c r="T54" i="1"/>
  <c r="P54" i="1"/>
  <c r="N54" i="1"/>
  <c r="H54" i="1"/>
  <c r="G54" i="1"/>
  <c r="F54" i="1"/>
  <c r="E54" i="1"/>
  <c r="D54" i="1"/>
  <c r="C54" i="1"/>
  <c r="B54" i="1"/>
  <c r="A54" i="1"/>
  <c r="AM53" i="1"/>
  <c r="AK53" i="1"/>
  <c r="AJ53" i="1"/>
  <c r="AF53" i="1"/>
  <c r="AD53" i="1"/>
  <c r="AB53" i="1"/>
  <c r="Z53" i="1"/>
  <c r="X53" i="1"/>
  <c r="V53" i="1"/>
  <c r="T53" i="1"/>
  <c r="P53" i="1"/>
  <c r="N53" i="1"/>
  <c r="H53" i="1"/>
  <c r="G53" i="1"/>
  <c r="F53" i="1"/>
  <c r="E53" i="1"/>
  <c r="D53" i="1"/>
  <c r="C53" i="1"/>
  <c r="B53" i="1"/>
  <c r="A53" i="1"/>
  <c r="AM52" i="1"/>
  <c r="AL52" i="1"/>
  <c r="AK52" i="1"/>
  <c r="AJ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P52" i="1"/>
  <c r="N52" i="1"/>
  <c r="H52" i="1"/>
  <c r="G52" i="1"/>
  <c r="F52" i="1"/>
  <c r="E52" i="1"/>
  <c r="D52" i="1"/>
  <c r="C52" i="1"/>
  <c r="B52" i="1"/>
  <c r="A52" i="1"/>
  <c r="AM51" i="1"/>
  <c r="AL51" i="1"/>
  <c r="AK51" i="1"/>
  <c r="AJ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R51" i="1"/>
  <c r="P51" i="1"/>
  <c r="N51" i="1"/>
  <c r="J51" i="1"/>
  <c r="I51" i="1"/>
  <c r="H51" i="1"/>
  <c r="G51" i="1"/>
  <c r="F51" i="1"/>
  <c r="E51" i="1"/>
  <c r="D51" i="1"/>
  <c r="C51" i="1"/>
  <c r="B51" i="1"/>
  <c r="A51" i="1"/>
  <c r="AM50" i="1"/>
  <c r="AK50" i="1"/>
  <c r="AJ50" i="1"/>
  <c r="AF50" i="1"/>
  <c r="AD50" i="1"/>
  <c r="AB50" i="1"/>
  <c r="Z50" i="1"/>
  <c r="X50" i="1"/>
  <c r="V50" i="1"/>
  <c r="T50" i="1"/>
  <c r="R50" i="1"/>
  <c r="P50" i="1"/>
  <c r="N50" i="1"/>
  <c r="J50" i="1"/>
  <c r="I50" i="1"/>
  <c r="H50" i="1"/>
  <c r="G50" i="1"/>
  <c r="F50" i="1"/>
  <c r="E50" i="1"/>
  <c r="D50" i="1"/>
  <c r="C50" i="1"/>
  <c r="B50" i="1"/>
  <c r="A50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N49" i="1"/>
  <c r="M49" i="1"/>
  <c r="J49" i="1"/>
  <c r="I49" i="1"/>
  <c r="H49" i="1"/>
  <c r="G49" i="1"/>
  <c r="F49" i="1"/>
  <c r="E49" i="1"/>
  <c r="D49" i="1"/>
  <c r="C49" i="1"/>
  <c r="B49" i="1"/>
  <c r="A49" i="1"/>
  <c r="AM48" i="1"/>
  <c r="AL48" i="1"/>
  <c r="AK48" i="1"/>
  <c r="AJ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Q48" i="1"/>
  <c r="P48" i="1"/>
  <c r="N48" i="1"/>
  <c r="H48" i="1"/>
  <c r="G48" i="1"/>
  <c r="F48" i="1"/>
  <c r="E48" i="1"/>
  <c r="D48" i="1"/>
  <c r="C48" i="1"/>
  <c r="B48" i="1"/>
  <c r="A48" i="1"/>
  <c r="AM47" i="1"/>
  <c r="AL47" i="1"/>
  <c r="AK47" i="1"/>
  <c r="AJ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P47" i="1"/>
  <c r="N47" i="1"/>
  <c r="H47" i="1"/>
  <c r="G47" i="1"/>
  <c r="F47" i="1"/>
  <c r="E47" i="1"/>
  <c r="D47" i="1"/>
  <c r="C47" i="1"/>
  <c r="B47" i="1"/>
  <c r="A47" i="1"/>
  <c r="AM46" i="1"/>
  <c r="AL46" i="1"/>
  <c r="AK46" i="1"/>
  <c r="AJ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P46" i="1"/>
  <c r="N46" i="1"/>
  <c r="H46" i="1"/>
  <c r="G46" i="1"/>
  <c r="F46" i="1"/>
  <c r="E46" i="1"/>
  <c r="D46" i="1"/>
  <c r="C46" i="1"/>
  <c r="B46" i="1"/>
  <c r="A46" i="1"/>
  <c r="AM45" i="1"/>
  <c r="AL45" i="1"/>
  <c r="AK45" i="1"/>
  <c r="AJ45" i="1"/>
  <c r="AG45" i="1"/>
  <c r="AF45" i="1"/>
  <c r="AE45" i="1"/>
  <c r="AD45" i="1"/>
  <c r="AC45" i="1"/>
  <c r="AB45" i="1"/>
  <c r="Y45" i="1"/>
  <c r="X45" i="1"/>
  <c r="W45" i="1"/>
  <c r="V45" i="1"/>
  <c r="U45" i="1"/>
  <c r="T45" i="1"/>
  <c r="S45" i="1"/>
  <c r="R45" i="1"/>
  <c r="P45" i="1"/>
  <c r="N45" i="1"/>
  <c r="M45" i="1"/>
  <c r="K45" i="1"/>
  <c r="J45" i="1"/>
  <c r="I45" i="1"/>
  <c r="H45" i="1"/>
  <c r="G45" i="1"/>
  <c r="F45" i="1"/>
  <c r="E45" i="1"/>
  <c r="D45" i="1"/>
  <c r="C45" i="1"/>
  <c r="B45" i="1"/>
  <c r="A45" i="1"/>
  <c r="AM44" i="1"/>
  <c r="AL44" i="1"/>
  <c r="AK44" i="1"/>
  <c r="AJ44" i="1"/>
  <c r="AG44" i="1"/>
  <c r="AF44" i="1"/>
  <c r="AE44" i="1"/>
  <c r="AD44" i="1"/>
  <c r="AC44" i="1"/>
  <c r="AB44" i="1"/>
  <c r="Y44" i="1"/>
  <c r="X44" i="1"/>
  <c r="W44" i="1"/>
  <c r="V44" i="1"/>
  <c r="U44" i="1"/>
  <c r="T44" i="1"/>
  <c r="S44" i="1"/>
  <c r="R44" i="1"/>
  <c r="P44" i="1"/>
  <c r="N44" i="1"/>
  <c r="J44" i="1"/>
  <c r="I44" i="1"/>
  <c r="H44" i="1"/>
  <c r="G44" i="1"/>
  <c r="F44" i="1"/>
  <c r="E44" i="1"/>
  <c r="D44" i="1"/>
  <c r="C44" i="1"/>
  <c r="B44" i="1"/>
  <c r="A44" i="1"/>
  <c r="AM43" i="1"/>
  <c r="AL43" i="1"/>
  <c r="AK43" i="1"/>
  <c r="AJ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R43" i="1"/>
  <c r="Q43" i="1"/>
  <c r="P43" i="1"/>
  <c r="N43" i="1"/>
  <c r="J43" i="1"/>
  <c r="I43" i="1"/>
  <c r="H43" i="1"/>
  <c r="G43" i="1"/>
  <c r="F43" i="1"/>
  <c r="E43" i="1"/>
  <c r="D43" i="1"/>
  <c r="C43" i="1"/>
  <c r="B43" i="1"/>
  <c r="A43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N42" i="1"/>
  <c r="M42" i="1"/>
  <c r="K42" i="1"/>
  <c r="J42" i="1"/>
  <c r="I42" i="1"/>
  <c r="H42" i="1"/>
  <c r="G42" i="1"/>
  <c r="F42" i="1"/>
  <c r="E42" i="1"/>
  <c r="D42" i="1"/>
  <c r="C42" i="1"/>
  <c r="B42" i="1"/>
  <c r="A42" i="1"/>
  <c r="AM41" i="1"/>
  <c r="AL41" i="1"/>
  <c r="AK41" i="1"/>
  <c r="AJ41" i="1"/>
  <c r="AI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Q41" i="1"/>
  <c r="P41" i="1"/>
  <c r="N41" i="1"/>
  <c r="H41" i="1"/>
  <c r="G41" i="1"/>
  <c r="F41" i="1"/>
  <c r="E41" i="1"/>
  <c r="D41" i="1"/>
  <c r="C41" i="1"/>
  <c r="B41" i="1"/>
  <c r="A41" i="1"/>
  <c r="AM40" i="1"/>
  <c r="AL40" i="1"/>
  <c r="AK40" i="1"/>
  <c r="AJ40" i="1"/>
  <c r="AI40" i="1"/>
  <c r="AG40" i="1"/>
  <c r="AF40" i="1"/>
  <c r="AE40" i="1"/>
  <c r="AD40" i="1"/>
  <c r="AC40" i="1"/>
  <c r="AB40" i="1"/>
  <c r="Y40" i="1"/>
  <c r="X40" i="1"/>
  <c r="W40" i="1"/>
  <c r="V40" i="1"/>
  <c r="U40" i="1"/>
  <c r="T40" i="1"/>
  <c r="R40" i="1"/>
  <c r="P40" i="1"/>
  <c r="N40" i="1"/>
  <c r="M40" i="1"/>
  <c r="J40" i="1"/>
  <c r="I40" i="1"/>
  <c r="H40" i="1"/>
  <c r="G40" i="1"/>
  <c r="F40" i="1"/>
  <c r="E40" i="1"/>
  <c r="D40" i="1"/>
  <c r="C40" i="1"/>
  <c r="B40" i="1"/>
  <c r="A40" i="1"/>
  <c r="AM39" i="1"/>
  <c r="AL39" i="1"/>
  <c r="AK39" i="1"/>
  <c r="AJ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P39" i="1"/>
  <c r="N39" i="1"/>
  <c r="J39" i="1"/>
  <c r="I39" i="1"/>
  <c r="H39" i="1"/>
  <c r="G39" i="1"/>
  <c r="F39" i="1"/>
  <c r="E39" i="1"/>
  <c r="D39" i="1"/>
  <c r="C39" i="1"/>
  <c r="B39" i="1"/>
  <c r="A39" i="1"/>
  <c r="AM38" i="1"/>
  <c r="AL38" i="1"/>
  <c r="AK38" i="1"/>
  <c r="AJ38" i="1"/>
  <c r="AI38" i="1"/>
  <c r="AG38" i="1"/>
  <c r="AF38" i="1"/>
  <c r="AE38" i="1"/>
  <c r="AD38" i="1"/>
  <c r="AC38" i="1"/>
  <c r="AB38" i="1"/>
  <c r="Y38" i="1"/>
  <c r="X38" i="1"/>
  <c r="W38" i="1"/>
  <c r="V38" i="1"/>
  <c r="U38" i="1"/>
  <c r="T38" i="1"/>
  <c r="P38" i="1"/>
  <c r="N38" i="1"/>
  <c r="H38" i="1"/>
  <c r="G38" i="1"/>
  <c r="F38" i="1"/>
  <c r="E38" i="1"/>
  <c r="D38" i="1"/>
  <c r="C38" i="1"/>
  <c r="B38" i="1"/>
  <c r="A38" i="1"/>
  <c r="AM37" i="1"/>
  <c r="AL37" i="1"/>
  <c r="AK37" i="1"/>
  <c r="AJ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P37" i="1"/>
  <c r="N37" i="1"/>
  <c r="H37" i="1"/>
  <c r="G37" i="1"/>
  <c r="F37" i="1"/>
  <c r="E37" i="1"/>
  <c r="D37" i="1"/>
  <c r="C37" i="1"/>
  <c r="B37" i="1"/>
  <c r="A37" i="1"/>
  <c r="AM36" i="1"/>
  <c r="AL36" i="1"/>
  <c r="AK36" i="1"/>
  <c r="AJ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R36" i="1"/>
  <c r="P36" i="1"/>
  <c r="N36" i="1"/>
  <c r="J36" i="1"/>
  <c r="I36" i="1"/>
  <c r="H36" i="1"/>
  <c r="G36" i="1"/>
  <c r="F36" i="1"/>
  <c r="E36" i="1"/>
  <c r="D36" i="1"/>
  <c r="C36" i="1"/>
  <c r="B36" i="1"/>
  <c r="A36" i="1"/>
  <c r="AM35" i="1"/>
  <c r="AL35" i="1"/>
  <c r="AK35" i="1"/>
  <c r="AJ35" i="1"/>
  <c r="AH35" i="1"/>
  <c r="AG35" i="1"/>
  <c r="AF35" i="1"/>
  <c r="AE35" i="1"/>
  <c r="AD35" i="1"/>
  <c r="AC35" i="1"/>
  <c r="AB35" i="1"/>
  <c r="Y35" i="1"/>
  <c r="X35" i="1"/>
  <c r="W35" i="1"/>
  <c r="V35" i="1"/>
  <c r="U35" i="1"/>
  <c r="T35" i="1"/>
  <c r="S35" i="1"/>
  <c r="P35" i="1"/>
  <c r="N35" i="1"/>
  <c r="H35" i="1"/>
  <c r="G35" i="1"/>
  <c r="F35" i="1"/>
  <c r="E35" i="1"/>
  <c r="D35" i="1"/>
  <c r="C35" i="1"/>
  <c r="B35" i="1"/>
  <c r="A35" i="1"/>
  <c r="AM34" i="1"/>
  <c r="AL34" i="1"/>
  <c r="AK34" i="1"/>
  <c r="AJ34" i="1"/>
  <c r="AH34" i="1"/>
  <c r="AG34" i="1"/>
  <c r="AF34" i="1"/>
  <c r="AE34" i="1"/>
  <c r="AD34" i="1"/>
  <c r="AC34" i="1"/>
  <c r="AB34" i="1"/>
  <c r="Y34" i="1"/>
  <c r="X34" i="1"/>
  <c r="W34" i="1"/>
  <c r="V34" i="1"/>
  <c r="U34" i="1"/>
  <c r="T34" i="1"/>
  <c r="P34" i="1"/>
  <c r="N34" i="1"/>
  <c r="H34" i="1"/>
  <c r="G34" i="1"/>
  <c r="F34" i="1"/>
  <c r="E34" i="1"/>
  <c r="D34" i="1"/>
  <c r="C34" i="1"/>
  <c r="B34" i="1"/>
  <c r="A34" i="1"/>
  <c r="AM33" i="1"/>
  <c r="AL33" i="1"/>
  <c r="AK33" i="1"/>
  <c r="AJ33" i="1"/>
  <c r="AG33" i="1"/>
  <c r="AF33" i="1"/>
  <c r="AE33" i="1"/>
  <c r="AD33" i="1"/>
  <c r="AC33" i="1"/>
  <c r="AB33" i="1"/>
  <c r="X33" i="1"/>
  <c r="W33" i="1"/>
  <c r="V33" i="1"/>
  <c r="U33" i="1"/>
  <c r="T33" i="1"/>
  <c r="R33" i="1"/>
  <c r="P33" i="1"/>
  <c r="N33" i="1"/>
  <c r="M33" i="1"/>
  <c r="J33" i="1"/>
  <c r="I33" i="1"/>
  <c r="H33" i="1"/>
  <c r="G33" i="1"/>
  <c r="F33" i="1"/>
  <c r="E33" i="1"/>
  <c r="D33" i="1"/>
  <c r="C33" i="1"/>
  <c r="B33" i="1"/>
  <c r="A33" i="1"/>
  <c r="AM32" i="1"/>
  <c r="AL32" i="1"/>
  <c r="AK32" i="1"/>
  <c r="AJ32" i="1"/>
  <c r="AI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Q32" i="1"/>
  <c r="P32" i="1"/>
  <c r="N32" i="1"/>
  <c r="H32" i="1"/>
  <c r="G32" i="1"/>
  <c r="F32" i="1"/>
  <c r="E32" i="1"/>
  <c r="D32" i="1"/>
  <c r="C32" i="1"/>
  <c r="B32" i="1"/>
  <c r="A32" i="1"/>
  <c r="AM31" i="1"/>
  <c r="AL31" i="1"/>
  <c r="AK31" i="1"/>
  <c r="AJ31" i="1"/>
  <c r="AH31" i="1"/>
  <c r="AG31" i="1"/>
  <c r="AF31" i="1"/>
  <c r="AE31" i="1"/>
  <c r="AD31" i="1"/>
  <c r="AC31" i="1"/>
  <c r="AB31" i="1"/>
  <c r="Y31" i="1"/>
  <c r="X31" i="1"/>
  <c r="W31" i="1"/>
  <c r="V31" i="1"/>
  <c r="U31" i="1"/>
  <c r="T31" i="1"/>
  <c r="Q31" i="1"/>
  <c r="P31" i="1"/>
  <c r="N31" i="1"/>
  <c r="H31" i="1"/>
  <c r="G31" i="1"/>
  <c r="F31" i="1"/>
  <c r="E31" i="1"/>
  <c r="D31" i="1"/>
  <c r="C31" i="1"/>
  <c r="B31" i="1"/>
  <c r="A31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Y30" i="1"/>
  <c r="X30" i="1"/>
  <c r="W30" i="1"/>
  <c r="V30" i="1"/>
  <c r="U30" i="1"/>
  <c r="T30" i="1"/>
  <c r="R30" i="1"/>
  <c r="Q30" i="1"/>
  <c r="P30" i="1"/>
  <c r="N30" i="1"/>
  <c r="J30" i="1"/>
  <c r="I30" i="1"/>
  <c r="H30" i="1"/>
  <c r="G30" i="1"/>
  <c r="F30" i="1"/>
  <c r="E30" i="1"/>
  <c r="D30" i="1"/>
  <c r="C30" i="1"/>
  <c r="B30" i="1"/>
  <c r="A30" i="1"/>
  <c r="AM29" i="1"/>
  <c r="AL29" i="1"/>
  <c r="AK29" i="1"/>
  <c r="AJ29" i="1"/>
  <c r="AG29" i="1"/>
  <c r="AF29" i="1"/>
  <c r="AE29" i="1"/>
  <c r="AD29" i="1"/>
  <c r="AC29" i="1"/>
  <c r="AB29" i="1"/>
  <c r="Y29" i="1"/>
  <c r="X29" i="1"/>
  <c r="W29" i="1"/>
  <c r="V29" i="1"/>
  <c r="U29" i="1"/>
  <c r="T29" i="1"/>
  <c r="R29" i="1"/>
  <c r="P29" i="1"/>
  <c r="N29" i="1"/>
  <c r="M29" i="1"/>
  <c r="J29" i="1"/>
  <c r="I29" i="1"/>
  <c r="H29" i="1"/>
  <c r="G29" i="1"/>
  <c r="F29" i="1"/>
  <c r="E29" i="1"/>
  <c r="D29" i="1"/>
  <c r="C29" i="1"/>
  <c r="B29" i="1"/>
  <c r="A29" i="1"/>
  <c r="AM28" i="1"/>
  <c r="AL28" i="1"/>
  <c r="AK28" i="1"/>
  <c r="AJ28" i="1"/>
  <c r="AH28" i="1"/>
  <c r="AG28" i="1"/>
  <c r="AF28" i="1"/>
  <c r="AE28" i="1"/>
  <c r="AD28" i="1"/>
  <c r="AC28" i="1"/>
  <c r="AB28" i="1"/>
  <c r="Y28" i="1"/>
  <c r="X28" i="1"/>
  <c r="W28" i="1"/>
  <c r="V28" i="1"/>
  <c r="U28" i="1"/>
  <c r="T28" i="1"/>
  <c r="Q28" i="1"/>
  <c r="P28" i="1"/>
  <c r="N28" i="1"/>
  <c r="H28" i="1"/>
  <c r="G28" i="1"/>
  <c r="F28" i="1"/>
  <c r="E28" i="1"/>
  <c r="D28" i="1"/>
  <c r="C28" i="1"/>
  <c r="B28" i="1"/>
  <c r="A28" i="1"/>
  <c r="AM27" i="1"/>
  <c r="AL27" i="1"/>
  <c r="AK27" i="1"/>
  <c r="AJ27" i="1"/>
  <c r="AI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Q27" i="1"/>
  <c r="P27" i="1"/>
  <c r="N27" i="1"/>
  <c r="H27" i="1"/>
  <c r="G27" i="1"/>
  <c r="F27" i="1"/>
  <c r="E27" i="1"/>
  <c r="D27" i="1"/>
  <c r="C27" i="1"/>
  <c r="B27" i="1"/>
  <c r="A27" i="1"/>
  <c r="AM26" i="1"/>
  <c r="AL26" i="1"/>
  <c r="AK26" i="1"/>
  <c r="AJ26" i="1"/>
  <c r="AI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R26" i="1"/>
  <c r="Q26" i="1"/>
  <c r="P26" i="1"/>
  <c r="N26" i="1"/>
  <c r="J26" i="1"/>
  <c r="I26" i="1"/>
  <c r="H26" i="1"/>
  <c r="G26" i="1"/>
  <c r="F26" i="1"/>
  <c r="E26" i="1"/>
  <c r="D26" i="1"/>
  <c r="C26" i="1"/>
  <c r="B26" i="1"/>
  <c r="A26" i="1"/>
  <c r="AM25" i="1"/>
  <c r="AL25" i="1"/>
  <c r="AK25" i="1"/>
  <c r="AJ25" i="1"/>
  <c r="AG25" i="1"/>
  <c r="AF25" i="1"/>
  <c r="AE25" i="1"/>
  <c r="AD25" i="1"/>
  <c r="AC25" i="1"/>
  <c r="AB25" i="1"/>
  <c r="Y25" i="1"/>
  <c r="X25" i="1"/>
  <c r="W25" i="1"/>
  <c r="V25" i="1"/>
  <c r="U25" i="1"/>
  <c r="T25" i="1"/>
  <c r="P25" i="1"/>
  <c r="N25" i="1"/>
  <c r="H25" i="1"/>
  <c r="G25" i="1"/>
  <c r="F25" i="1"/>
  <c r="E25" i="1"/>
  <c r="D25" i="1"/>
  <c r="C25" i="1"/>
  <c r="B25" i="1"/>
  <c r="A25" i="1"/>
  <c r="AM24" i="1"/>
  <c r="AL24" i="1"/>
  <c r="AK24" i="1"/>
  <c r="AJ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N24" i="1"/>
  <c r="J24" i="1"/>
  <c r="I24" i="1"/>
  <c r="H24" i="1"/>
  <c r="G24" i="1"/>
  <c r="F24" i="1"/>
  <c r="E24" i="1"/>
  <c r="D24" i="1"/>
  <c r="C24" i="1"/>
  <c r="B24" i="1"/>
  <c r="A24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Z23" i="1"/>
  <c r="Y23" i="1"/>
  <c r="X23" i="1"/>
  <c r="W23" i="1"/>
  <c r="V23" i="1"/>
  <c r="U23" i="1"/>
  <c r="T23" i="1"/>
  <c r="S23" i="1"/>
  <c r="R23" i="1"/>
  <c r="Q23" i="1"/>
  <c r="P23" i="1"/>
  <c r="N23" i="1"/>
  <c r="J23" i="1"/>
  <c r="I23" i="1"/>
  <c r="H23" i="1"/>
  <c r="G23" i="1"/>
  <c r="F23" i="1"/>
  <c r="E23" i="1"/>
  <c r="D23" i="1"/>
  <c r="C23" i="1"/>
  <c r="B23" i="1"/>
  <c r="A23" i="1"/>
  <c r="AM22" i="1"/>
  <c r="AL22" i="1"/>
  <c r="AK22" i="1"/>
  <c r="AJ22" i="1"/>
  <c r="AG22" i="1"/>
  <c r="AF22" i="1"/>
  <c r="AE22" i="1"/>
  <c r="AD22" i="1"/>
  <c r="AC22" i="1"/>
  <c r="AB22" i="1"/>
  <c r="Z22" i="1"/>
  <c r="Y22" i="1"/>
  <c r="X22" i="1"/>
  <c r="W22" i="1"/>
  <c r="V22" i="1"/>
  <c r="U22" i="1"/>
  <c r="T22" i="1"/>
  <c r="Q22" i="1"/>
  <c r="P22" i="1"/>
  <c r="N22" i="1"/>
  <c r="H22" i="1"/>
  <c r="G22" i="1"/>
  <c r="F22" i="1"/>
  <c r="E22" i="1"/>
  <c r="D22" i="1"/>
  <c r="C22" i="1"/>
  <c r="B22" i="1"/>
  <c r="A22" i="1"/>
  <c r="AM21" i="1"/>
  <c r="AL21" i="1"/>
  <c r="AK21" i="1"/>
  <c r="AJ21" i="1"/>
  <c r="AG21" i="1"/>
  <c r="AF21" i="1"/>
  <c r="AE21" i="1"/>
  <c r="AD21" i="1"/>
  <c r="AC21" i="1"/>
  <c r="AB21" i="1"/>
  <c r="Z21" i="1"/>
  <c r="Y21" i="1"/>
  <c r="X21" i="1"/>
  <c r="W21" i="1"/>
  <c r="V21" i="1"/>
  <c r="U21" i="1"/>
  <c r="T21" i="1"/>
  <c r="R21" i="1"/>
  <c r="Q21" i="1"/>
  <c r="P21" i="1"/>
  <c r="N21" i="1"/>
  <c r="J21" i="1"/>
  <c r="I21" i="1"/>
  <c r="H21" i="1"/>
  <c r="G21" i="1"/>
  <c r="F21" i="1"/>
  <c r="E21" i="1"/>
  <c r="D21" i="1"/>
  <c r="C21" i="1"/>
  <c r="B21" i="1"/>
  <c r="A21" i="1"/>
  <c r="AM20" i="1"/>
  <c r="AL20" i="1"/>
  <c r="AK20" i="1"/>
  <c r="AJ20" i="1"/>
  <c r="AG20" i="1"/>
  <c r="AF20" i="1"/>
  <c r="AE20" i="1"/>
  <c r="AD20" i="1"/>
  <c r="AC20" i="1"/>
  <c r="AB20" i="1"/>
  <c r="Z20" i="1"/>
  <c r="Y20" i="1"/>
  <c r="X20" i="1"/>
  <c r="W20" i="1"/>
  <c r="V20" i="1"/>
  <c r="U20" i="1"/>
  <c r="T20" i="1"/>
  <c r="R20" i="1"/>
  <c r="Q20" i="1"/>
  <c r="P20" i="1"/>
  <c r="N20" i="1"/>
  <c r="J20" i="1"/>
  <c r="I20" i="1"/>
  <c r="H20" i="1"/>
  <c r="G20" i="1"/>
  <c r="F20" i="1"/>
  <c r="E20" i="1"/>
  <c r="D20" i="1"/>
  <c r="C20" i="1"/>
  <c r="B20" i="1"/>
  <c r="A20" i="1"/>
  <c r="AM19" i="1"/>
  <c r="AL19" i="1"/>
  <c r="AK19" i="1"/>
  <c r="AJ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R19" i="1"/>
  <c r="Q19" i="1"/>
  <c r="P19" i="1"/>
  <c r="N19" i="1"/>
  <c r="J19" i="1"/>
  <c r="I19" i="1"/>
  <c r="H19" i="1"/>
  <c r="G19" i="1"/>
  <c r="F19" i="1"/>
  <c r="E19" i="1"/>
  <c r="D19" i="1"/>
  <c r="C19" i="1"/>
  <c r="B19" i="1"/>
  <c r="A19" i="1"/>
  <c r="AM18" i="1"/>
  <c r="AL18" i="1"/>
  <c r="AK18" i="1"/>
  <c r="AJ18" i="1"/>
  <c r="AG18" i="1"/>
  <c r="AF18" i="1"/>
  <c r="AE18" i="1"/>
  <c r="AD18" i="1"/>
  <c r="AC18" i="1"/>
  <c r="AB18" i="1"/>
  <c r="Y18" i="1"/>
  <c r="X18" i="1"/>
  <c r="W18" i="1"/>
  <c r="V18" i="1"/>
  <c r="U18" i="1"/>
  <c r="T18" i="1"/>
  <c r="R18" i="1"/>
  <c r="P18" i="1"/>
  <c r="N18" i="1"/>
  <c r="M18" i="1"/>
  <c r="K18" i="1"/>
  <c r="J18" i="1"/>
  <c r="I18" i="1"/>
  <c r="H18" i="1"/>
  <c r="G18" i="1"/>
  <c r="F18" i="1"/>
  <c r="E18" i="1"/>
  <c r="D18" i="1"/>
  <c r="C18" i="1"/>
  <c r="B18" i="1"/>
  <c r="A18" i="1"/>
  <c r="AM17" i="1"/>
  <c r="AL17" i="1"/>
  <c r="AK17" i="1"/>
  <c r="AJ17" i="1"/>
  <c r="AG17" i="1"/>
  <c r="AF17" i="1"/>
  <c r="AE17" i="1"/>
  <c r="AD17" i="1"/>
  <c r="AC17" i="1"/>
  <c r="AB17" i="1"/>
  <c r="Y17" i="1"/>
  <c r="X17" i="1"/>
  <c r="W17" i="1"/>
  <c r="V17" i="1"/>
  <c r="U17" i="1"/>
  <c r="T17" i="1"/>
  <c r="R17" i="1"/>
  <c r="Q17" i="1"/>
  <c r="P17" i="1"/>
  <c r="N17" i="1"/>
  <c r="M17" i="1"/>
  <c r="J17" i="1"/>
  <c r="I17" i="1"/>
  <c r="H17" i="1"/>
  <c r="G17" i="1"/>
  <c r="F17" i="1"/>
  <c r="E17" i="1"/>
  <c r="D17" i="1"/>
  <c r="C17" i="1"/>
  <c r="B17" i="1"/>
  <c r="A17" i="1"/>
  <c r="AM16" i="1"/>
  <c r="AL16" i="1"/>
  <c r="AK16" i="1"/>
  <c r="AJ16" i="1"/>
  <c r="AG16" i="1"/>
  <c r="AF16" i="1"/>
  <c r="AE16" i="1"/>
  <c r="AD16" i="1"/>
  <c r="AC16" i="1"/>
  <c r="AB16" i="1"/>
  <c r="Z16" i="1"/>
  <c r="Y16" i="1"/>
  <c r="X16" i="1"/>
  <c r="W16" i="1"/>
  <c r="V16" i="1"/>
  <c r="U16" i="1"/>
  <c r="T16" i="1"/>
  <c r="P16" i="1"/>
  <c r="N16" i="1"/>
  <c r="H16" i="1"/>
  <c r="G16" i="1"/>
  <c r="F16" i="1"/>
  <c r="E16" i="1"/>
  <c r="D16" i="1"/>
  <c r="C16" i="1"/>
  <c r="B16" i="1"/>
  <c r="A16" i="1"/>
  <c r="AM15" i="1"/>
  <c r="AL15" i="1"/>
  <c r="AK15" i="1"/>
  <c r="AJ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P15" i="1"/>
  <c r="N15" i="1"/>
  <c r="H15" i="1"/>
  <c r="G15" i="1"/>
  <c r="F15" i="1"/>
  <c r="E15" i="1"/>
  <c r="D15" i="1"/>
  <c r="C15" i="1"/>
  <c r="B15" i="1"/>
  <c r="A15" i="1"/>
  <c r="AM14" i="1"/>
  <c r="AL14" i="1"/>
  <c r="AK14" i="1"/>
  <c r="AJ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P14" i="1"/>
  <c r="N14" i="1"/>
  <c r="H14" i="1"/>
  <c r="G14" i="1"/>
  <c r="F14" i="1"/>
  <c r="E14" i="1"/>
  <c r="D14" i="1"/>
  <c r="C14" i="1"/>
  <c r="B14" i="1"/>
  <c r="A14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P13" i="1"/>
  <c r="N13" i="1"/>
  <c r="H13" i="1"/>
  <c r="G13" i="1"/>
  <c r="F13" i="1"/>
  <c r="E13" i="1"/>
  <c r="D13" i="1"/>
  <c r="C13" i="1"/>
  <c r="B13" i="1"/>
  <c r="A13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R12" i="1"/>
  <c r="P12" i="1"/>
  <c r="N12" i="1"/>
  <c r="J12" i="1"/>
  <c r="I12" i="1"/>
  <c r="H12" i="1"/>
  <c r="G12" i="1"/>
  <c r="F12" i="1"/>
  <c r="E12" i="1"/>
  <c r="D12" i="1"/>
  <c r="C12" i="1"/>
  <c r="B12" i="1"/>
  <c r="A12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R11" i="1"/>
  <c r="P11" i="1"/>
  <c r="N11" i="1"/>
  <c r="J11" i="1"/>
  <c r="I11" i="1"/>
  <c r="H11" i="1"/>
  <c r="G11" i="1"/>
  <c r="F11" i="1"/>
  <c r="E11" i="1"/>
  <c r="D11" i="1"/>
  <c r="C11" i="1"/>
  <c r="B11" i="1"/>
  <c r="A11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P10" i="1"/>
  <c r="N10" i="1"/>
  <c r="H10" i="1"/>
  <c r="G10" i="1"/>
  <c r="F10" i="1"/>
  <c r="E10" i="1"/>
  <c r="D10" i="1"/>
  <c r="C10" i="1"/>
  <c r="B10" i="1"/>
  <c r="A10" i="1"/>
  <c r="AM9" i="1"/>
  <c r="AL9" i="1"/>
  <c r="AK9" i="1"/>
  <c r="AJ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P9" i="1"/>
  <c r="N9" i="1"/>
  <c r="M9" i="1"/>
  <c r="J9" i="1"/>
  <c r="I9" i="1"/>
  <c r="H9" i="1"/>
  <c r="G9" i="1"/>
  <c r="F9" i="1"/>
  <c r="E9" i="1"/>
  <c r="D9" i="1"/>
  <c r="C9" i="1"/>
  <c r="B9" i="1"/>
  <c r="A9" i="1"/>
  <c r="AM8" i="1"/>
  <c r="AL8" i="1"/>
  <c r="AK8" i="1"/>
  <c r="AJ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P8" i="1"/>
  <c r="N8" i="1"/>
  <c r="M8" i="1"/>
  <c r="J8" i="1"/>
  <c r="I8" i="1"/>
  <c r="H8" i="1"/>
  <c r="G8" i="1"/>
  <c r="F8" i="1"/>
  <c r="E8" i="1"/>
  <c r="D8" i="1"/>
  <c r="C8" i="1"/>
  <c r="B8" i="1"/>
  <c r="A8" i="1"/>
  <c r="AM7" i="1"/>
  <c r="AL7" i="1"/>
  <c r="AK7" i="1"/>
  <c r="AJ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P7" i="1"/>
  <c r="N7" i="1"/>
  <c r="J7" i="1"/>
  <c r="I7" i="1"/>
  <c r="H7" i="1"/>
  <c r="G7" i="1"/>
  <c r="F7" i="1"/>
  <c r="E7" i="1"/>
  <c r="D7" i="1"/>
  <c r="C7" i="1"/>
  <c r="B7" i="1"/>
  <c r="A7" i="1"/>
  <c r="AM6" i="1"/>
  <c r="AL6" i="1"/>
  <c r="AK6" i="1"/>
  <c r="AJ6" i="1"/>
  <c r="AH6" i="1"/>
  <c r="AG6" i="1"/>
  <c r="AF6" i="1"/>
  <c r="AE6" i="1"/>
  <c r="AD6" i="1"/>
  <c r="AC6" i="1"/>
  <c r="AB6" i="1"/>
  <c r="Z6" i="1"/>
  <c r="Y6" i="1"/>
  <c r="X6" i="1"/>
  <c r="W6" i="1"/>
  <c r="V6" i="1"/>
  <c r="U6" i="1"/>
  <c r="T6" i="1"/>
  <c r="Q6" i="1"/>
  <c r="P6" i="1"/>
  <c r="N6" i="1"/>
  <c r="H6" i="1"/>
  <c r="G6" i="1"/>
  <c r="F6" i="1"/>
  <c r="E6" i="1"/>
  <c r="D6" i="1"/>
  <c r="C6" i="1"/>
  <c r="B6" i="1"/>
  <c r="A6" i="1"/>
  <c r="AM5" i="1"/>
  <c r="AL5" i="1"/>
  <c r="AK5" i="1"/>
  <c r="AJ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P5" i="1"/>
  <c r="N5" i="1"/>
  <c r="H5" i="1"/>
  <c r="G5" i="1"/>
  <c r="F5" i="1"/>
  <c r="E5" i="1"/>
  <c r="D5" i="1"/>
  <c r="C5" i="1"/>
  <c r="B5" i="1"/>
  <c r="A5" i="1"/>
  <c r="AM4" i="1"/>
  <c r="AL4" i="1"/>
  <c r="AK4" i="1"/>
  <c r="AJ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R4" i="1"/>
  <c r="Q4" i="1"/>
  <c r="P4" i="1"/>
  <c r="N4" i="1"/>
  <c r="M4" i="1"/>
  <c r="J4" i="1"/>
  <c r="I4" i="1"/>
  <c r="H4" i="1"/>
  <c r="G4" i="1"/>
  <c r="F4" i="1"/>
  <c r="E4" i="1"/>
  <c r="D4" i="1"/>
  <c r="C4" i="1"/>
  <c r="B4" i="1"/>
  <c r="A4" i="1"/>
  <c r="AM3" i="1"/>
  <c r="AL3" i="1"/>
  <c r="AK3" i="1"/>
  <c r="AJ3" i="1"/>
  <c r="AG3" i="1"/>
  <c r="AF3" i="1"/>
  <c r="AE3" i="1"/>
  <c r="AD3" i="1"/>
  <c r="AC3" i="1"/>
  <c r="AB3" i="1"/>
  <c r="Z3" i="1"/>
  <c r="Y3" i="1"/>
  <c r="X3" i="1"/>
  <c r="W3" i="1"/>
  <c r="V3" i="1"/>
  <c r="U3" i="1"/>
  <c r="T3" i="1"/>
  <c r="S3" i="1"/>
  <c r="R3" i="1"/>
  <c r="P3" i="1"/>
  <c r="N3" i="1"/>
  <c r="J3" i="1"/>
  <c r="I3" i="1"/>
  <c r="H3" i="1"/>
  <c r="G3" i="1"/>
  <c r="F3" i="1"/>
  <c r="E3" i="1"/>
  <c r="D3" i="1"/>
  <c r="C3" i="1"/>
  <c r="B3" i="1"/>
  <c r="A3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R2" i="1"/>
  <c r="P2" i="1"/>
  <c r="N2" i="1"/>
  <c r="M2" i="1"/>
  <c r="J2" i="1"/>
  <c r="I2" i="1"/>
  <c r="H2" i="1"/>
  <c r="G2" i="1"/>
  <c r="F2" i="1"/>
  <c r="E2" i="1"/>
  <c r="D2" i="1"/>
  <c r="C2" i="1"/>
  <c r="B2" i="1"/>
  <c r="A2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</calcChain>
</file>

<file path=xl/sharedStrings.xml><?xml version="1.0" encoding="utf-8"?>
<sst xmlns="http://schemas.openxmlformats.org/spreadsheetml/2006/main" count="934" uniqueCount="280">
  <si>
    <t>Elève</t>
  </si>
  <si>
    <t>Classe</t>
  </si>
  <si>
    <t>Parcours</t>
  </si>
  <si>
    <t>Problématique</t>
  </si>
  <si>
    <t>Discipline_1</t>
  </si>
  <si>
    <t>Discipline_2</t>
  </si>
  <si>
    <t>Confirmé PP</t>
  </si>
  <si>
    <t>Groupe</t>
  </si>
  <si>
    <t>Anglais</t>
  </si>
  <si>
    <t>Espagnol</t>
  </si>
  <si>
    <t>Juré_1</t>
  </si>
  <si>
    <t>Juré_2</t>
  </si>
  <si>
    <t>Heure de convocation</t>
  </si>
  <si>
    <t>Salle</t>
  </si>
  <si>
    <t>Note</t>
  </si>
  <si>
    <t>AUBRY Albert Akoi Agamemnon</t>
  </si>
  <si>
    <t>3EME1</t>
  </si>
  <si>
    <t>Parcours santé</t>
  </si>
  <si>
    <t>En quoi les jeux vidéos influencent-ils le développement scolaire des adolescents ?</t>
  </si>
  <si>
    <t>SVT</t>
  </si>
  <si>
    <t>Vincent David</t>
  </si>
  <si>
    <t>François Faye</t>
  </si>
  <si>
    <t>Salle 1</t>
  </si>
  <si>
    <t>BA Abygaëlle Bilel</t>
  </si>
  <si>
    <t>3EME2</t>
  </si>
  <si>
    <t>Parcours citoyen</t>
  </si>
  <si>
    <t>Comment les auteurs africains ont-ils utilisé l'écriture pour afirmeer leur identité?</t>
  </si>
  <si>
    <t>Français</t>
  </si>
  <si>
    <t>Olivier Baritou</t>
  </si>
  <si>
    <t>Layla Jaït</t>
  </si>
  <si>
    <t>Salle 2</t>
  </si>
  <si>
    <t>BERGOT Mathieu Yohan</t>
  </si>
  <si>
    <t>Comment le basket est-il devenu bien plus qu'un sport et s'est-il imposé comme une culture à part entière ?</t>
  </si>
  <si>
    <t>EPS</t>
  </si>
  <si>
    <t>Aucune</t>
  </si>
  <si>
    <t>Alassane Ndiaye</t>
  </si>
  <si>
    <t>Claire Drame</t>
  </si>
  <si>
    <t>Salle 3</t>
  </si>
  <si>
    <t>BODELOT Julien Achille</t>
  </si>
  <si>
    <t>Quels sont les bienfaits de l'activité physique sur la santé ?</t>
  </si>
  <si>
    <t>Nathalie Mboup</t>
  </si>
  <si>
    <t>Salle 4</t>
  </si>
  <si>
    <t>BOUYER Louis Marie</t>
  </si>
  <si>
    <t>En quoi une mauvaise alimentation  influence négativement l'organisme et que faire pour y remédier ?</t>
  </si>
  <si>
    <t>Salle 5</t>
  </si>
  <si>
    <t>CHARAT Joséphine Awa Michele</t>
  </si>
  <si>
    <t>Qu'est-ce que  la maladie de l'Alzheimer et en quoi mon expérience personnelle m'a-t-elle donné envie de devenir médecin?</t>
  </si>
  <si>
    <t>HGEMC</t>
  </si>
  <si>
    <t>Mathilde Michon Guillaume</t>
  </si>
  <si>
    <t>D'ALMEIDA Asha</t>
  </si>
  <si>
    <t>En quoi Petit Pays de Gaël FAYE montre que la guerre vole bien plus que des vies mais qu'elle vole aussi l'enfance ?</t>
  </si>
  <si>
    <t>Nafissatou Fall</t>
  </si>
  <si>
    <t>Elizabeth Porter</t>
  </si>
  <si>
    <t>DE GAIGNERON JOLLIMON DEMAROLLES Pétronille Agnès Louis Marie</t>
  </si>
  <si>
    <t xml:space="preserve">En quoi le stress influence-t-il nos résultats scolaires et notre santé ? </t>
  </si>
  <si>
    <t>Roselyne D’Aquino</t>
  </si>
  <si>
    <t>DEMANGE Laura Sokhna</t>
  </si>
  <si>
    <t>Nelson Mandela est-il devenu un symbole mondial de la lutte contre l'injustice et le racisme ?</t>
  </si>
  <si>
    <t>Claire Bossu</t>
  </si>
  <si>
    <t>Fanelly Mourain Diop</t>
  </si>
  <si>
    <t>DIAGNE Ndeye Awa</t>
  </si>
  <si>
    <t>En quoi la traite négrière à durablement marquée l'histoire des populations noires et le monde actuel ?</t>
  </si>
  <si>
    <t>Yvon Thomas</t>
  </si>
  <si>
    <t>Alain Gomis</t>
  </si>
  <si>
    <t>DIALLO Djibril</t>
  </si>
  <si>
    <t>Parcours avenir</t>
  </si>
  <si>
    <t>Comment bien comprendre à quoi sert la gestion du patrimoine?</t>
  </si>
  <si>
    <t>DIALLO Ibrahima Sory</t>
  </si>
  <si>
    <t>Comment le sport peut-il favoriser l'intégration sociale et lutter contre les inégalités ?</t>
  </si>
  <si>
    <t>DIENG Aïssatou</t>
  </si>
  <si>
    <t>En quoi le témoignage d'Anne Frank permet-il de comprendre l'horreur de la Shoah et de la seconde guerre mondiale ?</t>
  </si>
  <si>
    <t>Fernando Piaggio</t>
  </si>
  <si>
    <t>DIEYE Awa Cheikh</t>
  </si>
  <si>
    <t>Histoire des arts</t>
  </si>
  <si>
    <t>Comment l'oeuvre d'Otto Dix montre -t-elle les horreurs de la première guerre mondiale?</t>
  </si>
  <si>
    <t>DIOP Oumou</t>
  </si>
  <si>
    <t xml:space="preserve">Pourquoi les artistes font-ils le choix de se représenter eux-mêmes dans leurs propres oeuvres? </t>
  </si>
  <si>
    <t>Arts Plastiques</t>
  </si>
  <si>
    <t>Eve Capel</t>
  </si>
  <si>
    <t>DIOUF Moussa</t>
  </si>
  <si>
    <t>En quoi mon stage d'immersion chez BAAMTU TECHNOLOGIES m'a-t-il ouvert les yeux sur les nouvelles manières de concevoir l'informatique ?</t>
  </si>
  <si>
    <t>Technologie</t>
  </si>
  <si>
    <t>Antoine Frayon</t>
  </si>
  <si>
    <t>FALL Adji Magatte</t>
  </si>
  <si>
    <t>L'IA peut-elle améliorer l'apprentissage sans remplacer les efforts des élèves ?</t>
  </si>
  <si>
    <t>FROUART Mia Tiara</t>
  </si>
  <si>
    <t>Comment le musée MAHICAO participe-t-il à la conservation, à la transmission et à la valorisation des cultures africaines ?</t>
  </si>
  <si>
    <t>GAFFARI Sofia</t>
  </si>
  <si>
    <t>Pourquoi mon stage chez un vétérinaire m'a-t-il amené à reconsidérer mon choix de métier ?</t>
  </si>
  <si>
    <t>Orientation</t>
  </si>
  <si>
    <t>GALAND Margaux Suzette T</t>
  </si>
  <si>
    <t>En quoi la reprise de la pratique sportive peut-elle améliroer la récupération physique et mentale après une leucémie ?</t>
  </si>
  <si>
    <t>GILLEN Mathieu Louis Pierre</t>
  </si>
  <si>
    <t>En quoi le tourisme pourrait-il être un levier pour une carrière internationale afin de découvrir lee monde et les gens?</t>
  </si>
  <si>
    <t>GLAUDE Manon</t>
  </si>
  <si>
    <t>En quoi le sommeil est-il important dans la vie des adolescents ?</t>
  </si>
  <si>
    <t>GRASSAGLIATA Milena</t>
  </si>
  <si>
    <t>En quoi une mauvaise nutrition impacte-t-elle la santé physique et mentale chez les jeunes ?</t>
  </si>
  <si>
    <t>GROS-DUBOIS Daniella Fatoumata</t>
  </si>
  <si>
    <t>En quoi la compréhension du cancer du sein et les différentes stratégies mises en oeuvre pour lutter contre cette maladie améliorent-elles l'espérance de vie ?</t>
  </si>
  <si>
    <t>Amandine Gibus</t>
  </si>
  <si>
    <t>HOUGNON Alexandre Georges</t>
  </si>
  <si>
    <t>Comment vais-je faire pour réussir mon rêve d'architecte ?</t>
  </si>
  <si>
    <t>JABER Ali</t>
  </si>
  <si>
    <t>Comment mon stage à l'hôtel Royam m'a-t-il aider à mieux comprendre le monde du travail et mon futur métier ?</t>
  </si>
  <si>
    <t>KANE Souleymane</t>
  </si>
  <si>
    <t>En quoi le canal carpien peut-il affecter la vie scolaire d'un élève ?</t>
  </si>
  <si>
    <t>KOUROUMA Marguerite</t>
  </si>
  <si>
    <t>Quels sont les risques d'une grossesse précoce pour un élève ?</t>
  </si>
  <si>
    <t>LE COM Solen</t>
  </si>
  <si>
    <t>Comment se passe la vie d'un élève trisomique à l'école et à la maison ?</t>
  </si>
  <si>
    <t>LESAINT Samy Amet</t>
  </si>
  <si>
    <t>Quelles sont les conséquences de la drépanocitose et comment affecte-t-elle la vie des patients?</t>
  </si>
  <si>
    <t>LOZES Raphaël André Dominique</t>
  </si>
  <si>
    <t>Comment devenir agriculteur aujourd'hui et pourquoi choisir ce métier?</t>
  </si>
  <si>
    <t>MARCHESE Howard Giovanni Sédar</t>
  </si>
  <si>
    <t>Pourquoi le métier de pilote fait-il encore réver aujourd'hui?</t>
  </si>
  <si>
    <t>Mathématiques</t>
  </si>
  <si>
    <t>Karine Chabert</t>
  </si>
  <si>
    <t>MARTINEZ Gabriel-Omar Régis</t>
  </si>
  <si>
    <t>Selon vous, pourquoi les drogues ont-elles un effet néfaste sur la santé et le comportement des adolescents?</t>
  </si>
  <si>
    <t>MBOUP Adam Fallou</t>
  </si>
  <si>
    <t>En quoi les progrès scientifiques et technologiques aident-ils les sportifs ?</t>
  </si>
  <si>
    <t>MBOW Aïssatou</t>
  </si>
  <si>
    <t>En quoi l'environnement des jeunes d'aujourd'hui influence-t-il leur orientation pour la médecine ?</t>
  </si>
  <si>
    <t>MENCIERE Théophane Sedar</t>
  </si>
  <si>
    <t>Comment le parcours avenir peut-il nous aider à réfléchir à notre orientation ?</t>
  </si>
  <si>
    <t>MENDY BOSSU Mia Caroline Michele</t>
  </si>
  <si>
    <t>En quoi le journal d'Anne Frank  est-il un acte de résistance et un symbole du devoir de mémoire?</t>
  </si>
  <si>
    <t>MLIK Omar</t>
  </si>
  <si>
    <t>En quoi le parcours scolaire influence-t-il notre futur et quelle est son importance ?</t>
  </si>
  <si>
    <t>MOCNIK Léa Absa</t>
  </si>
  <si>
    <t>Et si le harcèlemeent scolaire n'était pas seulement l'histoire d'un bourreau et d'une victime mais le symptôme d'une société qui ferme les yeux?</t>
  </si>
  <si>
    <t>MONTALBANO Nathalie Marie Olga</t>
  </si>
  <si>
    <t>Comment mon stage m'a t-il orienté pour mon projet futur ?</t>
  </si>
  <si>
    <t>NDIAYE Anna Florence</t>
  </si>
  <si>
    <t>En quoi l'esclavage a-t-il marqué l'histoire ?</t>
  </si>
  <si>
    <t>NDIAYE Soukaïna  Dibor</t>
  </si>
  <si>
    <t>En quoi la médecine de permet de prévenir les risques et d'améliorer les performances des sportifs ?</t>
  </si>
  <si>
    <t>NGOM Khady Meissa</t>
  </si>
  <si>
    <t xml:space="preserve">En quoi les réseaux sociaux influencent-ils le quotidien des adolescents? </t>
  </si>
  <si>
    <t>NOUHANDO ROD Ezechiel Gildas</t>
  </si>
  <si>
    <t xml:space="preserve">Comment le montage vidéo peut-il devenir un moyen de gagner de l'argent grâce aux réseaux sociaux et à internet ? </t>
  </si>
  <si>
    <t>NUSS Paulette Thiaba</t>
  </si>
  <si>
    <t>Pourquoi les femmes continuent-elles de subir les inégalités malgré l'existence de lois qui protègent leurs droits ?</t>
  </si>
  <si>
    <t>PEREZ NGOLI Micah Bruno Jean-Jacques</t>
  </si>
  <si>
    <t>Comment le stage m'a aidé à trouver mon futur métier et comment pourrais-je répondre aux besoins des consommateurs ?</t>
  </si>
  <si>
    <t>PHILIPPE Paloma Clémence</t>
  </si>
  <si>
    <t>Histoire des arts / Citoyen</t>
  </si>
  <si>
    <t>Avoir un style vestimentaire particulier, affecte-t-il la vision que la société porte envers nous ?</t>
  </si>
  <si>
    <t>PORQUET Yaniss</t>
  </si>
  <si>
    <t>En quoi mon stage m'a-t-il permis de mieux comprendre les métiers de l'énergie ?</t>
  </si>
  <si>
    <t>Physique-chimie</t>
  </si>
  <si>
    <t>Adama Ndaw</t>
  </si>
  <si>
    <t>REZGANI Yasmine</t>
  </si>
  <si>
    <t>Comment le manque de sommeil influence-t-il sur nos capacités d'apprentissage et notre santé mentale ?</t>
  </si>
  <si>
    <t>SALL Arona Ababacar Alpha</t>
  </si>
  <si>
    <t>En quoi la pratique régulière d'une activité physique régulière est-elle essentielle à la santé globale du collégien ?</t>
  </si>
  <si>
    <t>SAMB Abdou Aziz</t>
  </si>
  <si>
    <t xml:space="preserve">Comment mon stage de 3ème et le parcours avenir m'ont permis d'amorcer une réflexion autour du métier de psychologue? </t>
  </si>
  <si>
    <t>SARR Fatou Bintou</t>
  </si>
  <si>
    <t>Comment la chanson stand up rend-elle hommage à la lutee de Harriet Tubman et comment nous incite-t-elle à nous défendre contre les injustices d'aujourd'hui?</t>
  </si>
  <si>
    <t>Éducation musicale</t>
  </si>
  <si>
    <t>Antoine Diandy</t>
  </si>
  <si>
    <t>TEBER Nehir</t>
  </si>
  <si>
    <t xml:space="preserve">En quoi les réseaux sociaux ont-ils un impact sur le quotidien des jeunes aujourd'hui ? </t>
  </si>
  <si>
    <t>TUNA Melisa</t>
  </si>
  <si>
    <t>PEAC</t>
  </si>
  <si>
    <t>En quoi la mythologie grecque reste-t-elle influente sur le monde moderne ?</t>
  </si>
  <si>
    <t>VILLAIN Candice Noa</t>
  </si>
  <si>
    <t>Quels sont les troubles DYS, quelles sont leurs difficultés et quelles sont les aides mises en place à  l'école afin dee palier à ces difficultés?</t>
  </si>
  <si>
    <t>WONE Aissatou Rahmatoulahi</t>
  </si>
  <si>
    <t>En quoi mon stage au district sanitaire de Mbour m'a-t-il permis de comprendre le système de santé Sénégalais et de confirmer mon projet professionnel dans le domaine médical ?</t>
  </si>
  <si>
    <t>YEROCHEWSKI Yelen Sophie Marie</t>
  </si>
  <si>
    <t>Comment la propagande de Adolf Hitler a-t-elle influencé la population Allemande ?</t>
  </si>
  <si>
    <t>Civilité</t>
  </si>
  <si>
    <t>Nom</t>
  </si>
  <si>
    <t>Prénom</t>
  </si>
  <si>
    <t>Discipline</t>
  </si>
  <si>
    <t>Adresse E-mail</t>
  </si>
  <si>
    <t>M.</t>
  </si>
  <si>
    <t>ANE</t>
  </si>
  <si>
    <t>Alassane</t>
  </si>
  <si>
    <t>SCIENCES ECONOMIQUES ET SOCIALES</t>
  </si>
  <si>
    <t>alassane.ane@lfjpsaly.org</t>
  </si>
  <si>
    <t>BARITOU</t>
  </si>
  <si>
    <t>Olivier</t>
  </si>
  <si>
    <t>FRANCAIS</t>
  </si>
  <si>
    <t>olivier.baritou@lfjpsaly.org</t>
  </si>
  <si>
    <t>Mme</t>
  </si>
  <si>
    <t>BOSSU</t>
  </si>
  <si>
    <t>Claire</t>
  </si>
  <si>
    <t>HISTOIRE GEOGRAPHIE, MATHEMATIQUES</t>
  </si>
  <si>
    <t>claire.bossu@lfjpsaly.org</t>
  </si>
  <si>
    <t>CAPEL</t>
  </si>
  <si>
    <t>Eve</t>
  </si>
  <si>
    <t>ARTS PLASTIQUES</t>
  </si>
  <si>
    <t>eve.capel@lfjpsaly.org</t>
  </si>
  <si>
    <t>CHABERT</t>
  </si>
  <si>
    <t>Karine</t>
  </si>
  <si>
    <t>MATHEMATIQUES</t>
  </si>
  <si>
    <t>karine.chabert@lfjpsaly.org</t>
  </si>
  <si>
    <t>D'AQUINO</t>
  </si>
  <si>
    <t>Roselyne</t>
  </si>
  <si>
    <t>PRIO - ADN</t>
  </si>
  <si>
    <t>orientation@lfjpsaly.org</t>
  </si>
  <si>
    <t>DAVID</t>
  </si>
  <si>
    <t>Vincent</t>
  </si>
  <si>
    <t>SCIENCES ET VIE DE LA TERRE</t>
  </si>
  <si>
    <t>vincent.david@lfjpsaly.org</t>
  </si>
  <si>
    <t>DIANDY</t>
  </si>
  <si>
    <t>Antoine</t>
  </si>
  <si>
    <t>EDUCATION MUSICALE</t>
  </si>
  <si>
    <t>antoine.diandy@lfjpsaly.org</t>
  </si>
  <si>
    <t>DRAME</t>
  </si>
  <si>
    <t>EDUCATION PHYSIQUE ET SPORTIVE</t>
  </si>
  <si>
    <t>claire.drame@lfjpsaly.org</t>
  </si>
  <si>
    <t>DUFAY</t>
  </si>
  <si>
    <t>Maguette</t>
  </si>
  <si>
    <t>maguette.dufay@lfjpsaly.org</t>
  </si>
  <si>
    <t>FALL</t>
  </si>
  <si>
    <t>Baba</t>
  </si>
  <si>
    <t>SCIENCES PHYSIQUES ET CHIMIE</t>
  </si>
  <si>
    <t>baba.fall@lfjpsaly.org</t>
  </si>
  <si>
    <t>Nafissatou</t>
  </si>
  <si>
    <t>nafissatou.fall@lfjpsaly.org</t>
  </si>
  <si>
    <t>FAYE</t>
  </si>
  <si>
    <t>François</t>
  </si>
  <si>
    <t>ANGLAIS</t>
  </si>
  <si>
    <t>francois.faye@lfjpsaly.org</t>
  </si>
  <si>
    <t>FRAYON</t>
  </si>
  <si>
    <t>TECHNOLOGIE, SCIENCE NUMERIQUE</t>
  </si>
  <si>
    <t>antoine.frayon@lfjpsaly.org</t>
  </si>
  <si>
    <t>GIBUS</t>
  </si>
  <si>
    <t>Amandine</t>
  </si>
  <si>
    <t>ESPAGNOL</t>
  </si>
  <si>
    <t>amandine.gibus@lfjpsaly.org</t>
  </si>
  <si>
    <t>GOMIS</t>
  </si>
  <si>
    <t>Alain</t>
  </si>
  <si>
    <t>PHILOSOPHIE</t>
  </si>
  <si>
    <t>alain.gomis@lfjpsaly.org</t>
  </si>
  <si>
    <t>JAÏT</t>
  </si>
  <si>
    <t>Layla</t>
  </si>
  <si>
    <t>layla.jait@lfjpsaly.org</t>
  </si>
  <si>
    <t>MBOUP</t>
  </si>
  <si>
    <t>Nathalie</t>
  </si>
  <si>
    <t>nathalie.mboup@lfjpsaly.org</t>
  </si>
  <si>
    <t>MICHON GUILLAUME</t>
  </si>
  <si>
    <t>Mathilde</t>
  </si>
  <si>
    <t>HISTOIRE GEOGRAPHIE</t>
  </si>
  <si>
    <t>mathilde.michonguillaume@lfjpsaly.org</t>
  </si>
  <si>
    <t>MOURAIN DIOP</t>
  </si>
  <si>
    <t>Fanelly</t>
  </si>
  <si>
    <t>fanelly.mouraindiop@lfjpsaly.org</t>
  </si>
  <si>
    <t>NDAW</t>
  </si>
  <si>
    <t>Adama</t>
  </si>
  <si>
    <t>adama.ndaw@lfjpsaly.org</t>
  </si>
  <si>
    <t>NDIAYE</t>
  </si>
  <si>
    <t>alassane.ndiaye@lfjpsaly.org</t>
  </si>
  <si>
    <t>NDOYE</t>
  </si>
  <si>
    <t>Abdoulaye</t>
  </si>
  <si>
    <t>abdoulaye.ndoye@lfjpsaly.org</t>
  </si>
  <si>
    <t>PIAGGIO</t>
  </si>
  <si>
    <t>Fernando</t>
  </si>
  <si>
    <t>fernando.piaggio@lfjpsaly.org</t>
  </si>
  <si>
    <t>PORTER</t>
  </si>
  <si>
    <t>Elizabeth</t>
  </si>
  <si>
    <t>elizabeth.porter@lfjpsaly.org</t>
  </si>
  <si>
    <t>SERVATE</t>
  </si>
  <si>
    <t>Samuel</t>
  </si>
  <si>
    <t>samuel.servate@lfjpsaly.org</t>
  </si>
  <si>
    <t>THOMAS</t>
  </si>
  <si>
    <t>Yvon</t>
  </si>
  <si>
    <t>yvon.thomas@lfjpsaly.org</t>
  </si>
  <si>
    <t>Total général</t>
  </si>
  <si>
    <t>Eleve</t>
  </si>
  <si>
    <t>Colonne 4</t>
  </si>
  <si>
    <t>Colonne 5</t>
  </si>
  <si>
    <t>Note Oral DNB</t>
  </si>
  <si>
    <t>COUNTA of Elève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</si>
</sst>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47382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20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0" xfId="0" applyNumberFormat="1"/>
    <xf numFmtId="0" fontId="0" fillId="0" borderId="9" xfId="0" applyNumberFormat="1" applyBorder="1"/>
    <xf numFmtId="0" fontId="0" fillId="0" borderId="10" xfId="0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2" xfId="0" applyNumberFormat="1" applyBorder="1"/>
  </cellXfs>
  <cellStyles count="1">
    <cellStyle name="Normal" xfId="0" builtinId="0"/>
  </cellStyles>
  <dxfs count="1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SUJETS-style" pivot="0" count="4" xr9:uid="{00000000-0011-0000-FFFF-FFFF00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JURES-style" pivot="0" count="4" xr9:uid="{00000000-0011-0000-FFFF-FFFF01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Tableau croisé dynamique 1-style" pivot="0" count="2" xr9:uid="{00000000-0011-0000-FFFF-FFFF02000000}">
      <tableStyleElement type="firstRowStripe" dxfId="5"/>
      <tableStyleElement type="secondRowStripe" dxfId="4"/>
    </tableStyle>
    <tableStyle name="NOTES-style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astien Capel" refreshedDate="46172.292578356479" refreshedVersion="8" recordCount="57" xr:uid="{00000000-000A-0000-FFFF-FFFF00000000}">
  <cacheSource type="worksheet">
    <worksheetSource ref="A1:M58" sheet="SUJETS"/>
  </cacheSource>
  <cacheFields count="13">
    <cacheField name="Elève" numFmtId="0">
      <sharedItems/>
    </cacheField>
    <cacheField name="Classe" numFmtId="0">
      <sharedItems/>
    </cacheField>
    <cacheField name="Parcours" numFmtId="0">
      <sharedItems/>
    </cacheField>
    <cacheField name="Problématique" numFmtId="0">
      <sharedItems/>
    </cacheField>
    <cacheField name="Discipline_1" numFmtId="0">
      <sharedItems count="8">
        <s v="SVT"/>
        <s v="Français"/>
        <s v="EPS"/>
        <s v="HGEMC"/>
        <s v="Arts Plastiques"/>
        <s v="Technologie"/>
        <s v="Orientation"/>
        <s v="Éducation musicale"/>
      </sharedItems>
    </cacheField>
    <cacheField name="Discipline_2" numFmtId="0">
      <sharedItems count="9">
        <s v="Anglais"/>
        <s v="Aucune"/>
        <s v="EPS"/>
        <s v="HGEMC"/>
        <s v="Français"/>
        <s v="Espagnol"/>
        <s v="Mathématiques"/>
        <s v="Orientation"/>
        <s v="Physique-chimie"/>
      </sharedItems>
    </cacheField>
    <cacheField name="Confirmé PP" numFmtId="0">
      <sharedItems/>
    </cacheField>
    <cacheField name="Groupe" numFmtId="0">
      <sharedItems/>
    </cacheField>
    <cacheField name="Anglais" numFmtId="0">
      <sharedItems/>
    </cacheField>
    <cacheField name="Espagnol" numFmtId="0">
      <sharedItems/>
    </cacheField>
    <cacheField name="Juré_1" numFmtId="0">
      <sharedItems/>
    </cacheField>
    <cacheField name="Juré_2" numFmtId="0">
      <sharedItems/>
    </cacheField>
    <cacheField name="Heure de convocation" numFmtId="20">
      <sharedItems containsSemiMixedTypes="0" containsNonDate="0" containsDate="1" containsString="0" minDate="1899-12-30T11:00:00" maxDate="1899-12-30T16:3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AUBRY Albert Akoi Agamemnon"/>
    <s v="3EME1"/>
    <s v="Parcours santé"/>
    <s v="En quoi les jeux vidéos influencent-ils le développement scolaire des adolescents ?"/>
    <x v="0"/>
    <x v="0"/>
    <b v="1"/>
    <b v="0"/>
    <b v="1"/>
    <b v="0"/>
    <s v="Vincent David"/>
    <s v="François Faye"/>
    <d v="1899-12-30T11:00:00"/>
  </r>
  <r>
    <s v="BA Abygaëlle Bilel"/>
    <s v="3EME2"/>
    <s v="Parcours citoyen"/>
    <s v="Comment les auteurs africains ont-ils utilisé l'écriture pour afirmeer leur identité?"/>
    <x v="1"/>
    <x v="0"/>
    <b v="1"/>
    <b v="0"/>
    <b v="1"/>
    <b v="0"/>
    <s v="Olivier Baritou"/>
    <s v="Layla Jaït"/>
    <d v="1899-12-30T11:00:00"/>
  </r>
  <r>
    <s v="BERGOT Mathieu Yohan"/>
    <s v="3EME2"/>
    <s v="Parcours citoyen"/>
    <s v="Comment le basket est-il devenu bien plus qu'un sport et s'est-il imposé comme une culture à part entière ?"/>
    <x v="2"/>
    <x v="1"/>
    <b v="1"/>
    <b v="0"/>
    <b v="0"/>
    <b v="0"/>
    <s v="Alassane Ndiaye"/>
    <s v="Claire Drame"/>
    <d v="1899-12-30T11:00:00"/>
  </r>
  <r>
    <s v="BODELOT Julien Achille"/>
    <s v="3EME2"/>
    <s v="Parcours santé"/>
    <s v="Quels sont les bienfaits de l'activité physique sur la santé ?"/>
    <x v="0"/>
    <x v="2"/>
    <b v="1"/>
    <b v="0"/>
    <b v="0"/>
    <b v="0"/>
    <s v="Nathalie Mboup"/>
    <s v="Claire Drame"/>
    <d v="1899-12-30T11:00:00"/>
  </r>
  <r>
    <s v="BOUYER Louis Marie"/>
    <s v="3EME1"/>
    <s v="Parcours santé"/>
    <s v="En quoi une mauvaise alimentation  influence négativement l'organisme et que faire pour y remédier ?"/>
    <x v="0"/>
    <x v="2"/>
    <b v="1"/>
    <b v="0"/>
    <b v="0"/>
    <b v="0"/>
    <s v="Vincent David"/>
    <s v="Alassane Ndiaye"/>
    <d v="1899-12-30T11:00:00"/>
  </r>
  <r>
    <s v="CHARAT Joséphine Awa Michele"/>
    <s v="3EME2"/>
    <s v="Parcours santé"/>
    <s v="Qu'est-ce que  la maladie de l'Alzheimer et en quoi mon expérience personnelle m'a-t-elle donné envie de devenir médecin?"/>
    <x v="0"/>
    <x v="3"/>
    <b v="1"/>
    <b v="0"/>
    <b v="0"/>
    <b v="0"/>
    <s v="Nathalie Mboup"/>
    <s v="Mathilde Michon Guillaume"/>
    <d v="1899-12-30T11:30:00"/>
  </r>
  <r>
    <s v="D'ALMEIDA Asha"/>
    <s v="3EME2"/>
    <s v="Parcours citoyen"/>
    <s v="En quoi Petit Pays de Gaël FAYE montre que la guerre vole bien plus que des vies mais qu'elle vole aussi l'enfance ?"/>
    <x v="1"/>
    <x v="0"/>
    <b v="1"/>
    <b v="0"/>
    <b v="1"/>
    <b v="0"/>
    <s v="Nafissatou Fall"/>
    <s v="Elizabeth Porter"/>
    <d v="1899-12-30T11:30:00"/>
  </r>
  <r>
    <s v="DE GAIGNERON JOLLIMON DEMAROLLES Pétronille Agnès Louis Marie"/>
    <s v="3EME1"/>
    <s v="Parcours santé"/>
    <s v="En quoi le stress influence-t-il nos résultats scolaires et notre santé ? "/>
    <x v="0"/>
    <x v="1"/>
    <b v="1"/>
    <b v="0"/>
    <b v="0"/>
    <b v="0"/>
    <s v="Vincent David"/>
    <s v="Roselyne D’Aquino"/>
    <d v="1899-12-30T11:30:00"/>
  </r>
  <r>
    <s v="DEMANGE Laura Sokhna"/>
    <s v="3EME2"/>
    <s v="Parcours citoyen"/>
    <s v="Nelson Mandela est-il devenu un symbole mondial de la lutte contre l'injustice et le racisme ?"/>
    <x v="3"/>
    <x v="4"/>
    <b v="1"/>
    <b v="0"/>
    <b v="0"/>
    <b v="0"/>
    <s v="Claire Bossu"/>
    <s v="Fanelly Mourain Diop"/>
    <d v="1899-12-30T11:30:00"/>
  </r>
  <r>
    <s v="DIAGNE Ndeye Awa"/>
    <s v="3EME2"/>
    <s v="Parcours citoyen"/>
    <s v="En quoi la traite négrière à durablement marquée l'histoire des populations noires et le monde actuel ?"/>
    <x v="3"/>
    <x v="1"/>
    <b v="1"/>
    <b v="0"/>
    <b v="0"/>
    <b v="0"/>
    <s v="Yvon Thomas"/>
    <s v="Alain Gomis"/>
    <d v="1899-12-30T11:30:00"/>
  </r>
  <r>
    <s v="DIALLO Djibril"/>
    <s v="3EME2"/>
    <s v="Parcours avenir"/>
    <s v="Comment bien comprendre à quoi sert la gestion du patrimoine?"/>
    <x v="3"/>
    <x v="0"/>
    <b v="1"/>
    <b v="0"/>
    <b v="1"/>
    <b v="0"/>
    <s v="Mathilde Michon Guillaume"/>
    <s v="François Faye"/>
    <d v="1899-12-30T12:00:00"/>
  </r>
  <r>
    <s v="DIALLO Ibrahima Sory"/>
    <s v="3EME2"/>
    <s v="Parcours citoyen"/>
    <s v="Comment le sport peut-il favoriser l'intégration sociale et lutter contre les inégalités ?"/>
    <x v="2"/>
    <x v="3"/>
    <b v="1"/>
    <b v="0"/>
    <b v="0"/>
    <b v="0"/>
    <s v="Claire Drame"/>
    <s v="Claire Bossu"/>
    <d v="1899-12-30T12:00:00"/>
  </r>
  <r>
    <s v="DIENG Aïssatou"/>
    <s v="3EME1"/>
    <s v="Parcours citoyen"/>
    <s v="En quoi le témoignage d'Anne Frank permet-il de comprendre l'horreur de la Shoah et de la seconde guerre mondiale ?"/>
    <x v="3"/>
    <x v="5"/>
    <b v="1"/>
    <b v="0"/>
    <b v="0"/>
    <b v="1"/>
    <s v="Yvon Thomas"/>
    <s v="Fernando Piaggio"/>
    <d v="1899-12-30T12:00:00"/>
  </r>
  <r>
    <s v="DIEYE Awa Cheikh"/>
    <s v="3EME1"/>
    <s v="Histoire des arts"/>
    <s v="Comment l'oeuvre d'Otto Dix montre -t-elle les horreurs de la première guerre mondiale?"/>
    <x v="3"/>
    <x v="0"/>
    <b v="1"/>
    <b v="0"/>
    <b v="1"/>
    <b v="0"/>
    <s v="Claire Bossu"/>
    <s v="Layla Jaït"/>
    <d v="1899-12-30T12:00:00"/>
  </r>
  <r>
    <s v="DIOP Oumou"/>
    <s v="3EME1"/>
    <s v="Histoire des arts"/>
    <s v="Pourquoi les artistes font-ils le choix de se représenter eux-mêmes dans leurs propres oeuvres? "/>
    <x v="4"/>
    <x v="3"/>
    <b v="1"/>
    <b v="0"/>
    <b v="0"/>
    <b v="0"/>
    <s v="Eve Capel"/>
    <s v="Yvon Thomas"/>
    <d v="1899-12-30T12:00:00"/>
  </r>
  <r>
    <s v="DIOUF Moussa"/>
    <s v="3EME1"/>
    <s v="Parcours avenir"/>
    <s v="En quoi mon stage d'immersion chez BAAMTU TECHNOLOGIES m'a-t-il ouvert les yeux sur les nouvelles manières de concevoir l'informatique ?"/>
    <x v="5"/>
    <x v="0"/>
    <b v="1"/>
    <b v="0"/>
    <b v="1"/>
    <b v="0"/>
    <s v="Antoine Frayon"/>
    <s v="Elizabeth Porter"/>
    <d v="1899-12-30T12:30:00"/>
  </r>
  <r>
    <s v="FALL Adji Magatte"/>
    <s v="3EME2"/>
    <s v="Parcours citoyen"/>
    <s v="L'IA peut-elle améliorer l'apprentissage sans remplacer les efforts des élèves ?"/>
    <x v="5"/>
    <x v="0"/>
    <b v="1"/>
    <b v="0"/>
    <b v="1"/>
    <b v="0"/>
    <s v="Antoine Frayon"/>
    <s v="François Faye"/>
    <d v="1899-12-30T12:30:00"/>
  </r>
  <r>
    <s v="FROUART Mia Tiara"/>
    <s v="3EME1"/>
    <s v="Parcours citoyen"/>
    <s v="Comment le musée MAHICAO participe-t-il à la conservation, à la transmission et à la valorisation des cultures africaines ?"/>
    <x v="4"/>
    <x v="0"/>
    <b v="1"/>
    <b v="0"/>
    <b v="1"/>
    <b v="0"/>
    <s v="Eve Capel"/>
    <s v="Layla Jaït"/>
    <d v="1899-12-30T12:30:00"/>
  </r>
  <r>
    <s v="GAFFARI Sofia"/>
    <s v="3EME2"/>
    <s v="Parcours avenir"/>
    <s v="Pourquoi mon stage chez un vétérinaire m'a-t-il amené à reconsidérer mon choix de métier ?"/>
    <x v="6"/>
    <x v="0"/>
    <b v="1"/>
    <b v="0"/>
    <b v="1"/>
    <b v="0"/>
    <s v="Roselyne D’Aquino"/>
    <s v="Elizabeth Porter"/>
    <d v="1899-12-30T12:30:00"/>
  </r>
  <r>
    <s v="GALAND Margaux Suzette T"/>
    <s v="3EME1"/>
    <s v="Parcours santé"/>
    <s v="En quoi la reprise de la pratique sportive peut-elle améliroer la récupération physique et mentale après une leucémie ?"/>
    <x v="0"/>
    <x v="2"/>
    <b v="1"/>
    <b v="0"/>
    <b v="0"/>
    <b v="0"/>
    <s v="Vincent David"/>
    <s v="Alassane Ndiaye"/>
    <d v="1899-12-30T12:30:00"/>
  </r>
  <r>
    <s v="GILLEN Mathieu Louis Pierre"/>
    <s v="3EME2"/>
    <s v="Parcours avenir"/>
    <s v="En quoi le tourisme pourrait-il être un levier pour une carrière internationale afin de découvrir lee monde et les gens?"/>
    <x v="3"/>
    <x v="1"/>
    <b v="1"/>
    <b v="0"/>
    <b v="0"/>
    <b v="0"/>
    <s v="Mathilde Michon Guillaume"/>
    <s v="Alain Gomis"/>
    <d v="1899-12-30T13:00:00"/>
  </r>
  <r>
    <s v="GLAUDE Manon"/>
    <s v="3EME1"/>
    <s v="Parcours santé"/>
    <s v="En quoi le sommeil est-il important dans la vie des adolescents ?"/>
    <x v="0"/>
    <x v="3"/>
    <b v="1"/>
    <b v="0"/>
    <b v="0"/>
    <b v="0"/>
    <s v="Nathalie Mboup"/>
    <s v="Yvon Thomas"/>
    <d v="1899-12-30T13:00:00"/>
  </r>
  <r>
    <s v="GRASSAGLIATA Milena"/>
    <s v="3EME1"/>
    <s v="Parcours santé"/>
    <s v="En quoi une mauvaise nutrition impacte-t-elle la santé physique et mentale chez les jeunes ?"/>
    <x v="0"/>
    <x v="4"/>
    <b v="1"/>
    <b v="0"/>
    <b v="0"/>
    <b v="0"/>
    <s v="Vincent David"/>
    <s v="Fanelly Mourain Diop"/>
    <d v="1899-12-30T13:00:00"/>
  </r>
  <r>
    <s v="GROS-DUBOIS Daniella Fatoumata"/>
    <s v="3EME1"/>
    <s v="Parcours santé"/>
    <s v="En quoi la compréhension du cancer du sein et les différentes stratégies mises en oeuvre pour lutter contre cette maladie améliorent-elles l'espérance de vie ?"/>
    <x v="0"/>
    <x v="5"/>
    <b v="1"/>
    <b v="0"/>
    <b v="0"/>
    <b v="1"/>
    <s v="Nathalie Mboup"/>
    <s v="Amandine Gibus"/>
    <d v="1899-12-30T13:00:00"/>
  </r>
  <r>
    <s v="HOUGNON Alexandre Georges"/>
    <s v="3EME2"/>
    <s v="Parcours avenir"/>
    <s v="Comment vais-je faire pour réussir mon rêve d'architecte ?"/>
    <x v="4"/>
    <x v="0"/>
    <b v="1"/>
    <b v="0"/>
    <b v="1"/>
    <b v="0"/>
    <s v="Eve Capel"/>
    <s v="François Faye"/>
    <d v="1899-12-30T13:00:00"/>
  </r>
  <r>
    <s v="JABER Ali"/>
    <s v="3EME1"/>
    <s v="Parcours avenir"/>
    <s v="Comment mon stage à l'hôtel Royam m'a-t-il aider à mieux comprendre le monde du travail et mon futur métier ?"/>
    <x v="1"/>
    <x v="1"/>
    <b v="1"/>
    <b v="0"/>
    <b v="0"/>
    <b v="0"/>
    <s v="Olivier Baritou"/>
    <s v="Alain Gomis"/>
    <d v="1899-12-30T13:30:00"/>
  </r>
  <r>
    <s v="KANE Souleymane"/>
    <s v="3EME2"/>
    <s v="Parcours santé"/>
    <s v="En quoi le canal carpien peut-il affecter la vie scolaire d'un élève ?"/>
    <x v="0"/>
    <x v="1"/>
    <b v="1"/>
    <b v="0"/>
    <b v="0"/>
    <b v="0"/>
    <s v="Nathalie Mboup"/>
    <s v="Roselyne D’Aquino"/>
    <d v="1899-12-30T13:30:00"/>
  </r>
  <r>
    <s v="KOUROUMA Marguerite"/>
    <s v="3EME2"/>
    <s v="Parcours santé"/>
    <s v="Quels sont les risques d'une grossesse précoce pour un élève ?"/>
    <x v="0"/>
    <x v="1"/>
    <b v="1"/>
    <b v="0"/>
    <b v="0"/>
    <b v="0"/>
    <s v="Vincent David"/>
    <s v="Claire Drame"/>
    <d v="1899-12-30T13:30:00"/>
  </r>
  <r>
    <s v="LE COM Solen"/>
    <s v="3EME2"/>
    <s v="Parcours santé"/>
    <s v="Comment se passe la vie d'un élève trisomique à l'école et à la maison ?"/>
    <x v="0"/>
    <x v="1"/>
    <b v="1"/>
    <b v="0"/>
    <b v="0"/>
    <b v="0"/>
    <s v="Nathalie Mboup"/>
    <s v="Alain Gomis"/>
    <d v="1899-12-30T13:30:00"/>
  </r>
  <r>
    <s v="LESAINT Samy Amet"/>
    <s v="3EME2"/>
    <s v="Parcours santé"/>
    <s v="Quelles sont les conséquences de la drépanocitose et comment affecte-t-elle la vie des patients?"/>
    <x v="0"/>
    <x v="3"/>
    <b v="1"/>
    <b v="0"/>
    <b v="1"/>
    <b v="0"/>
    <s v="Vincent David"/>
    <s v="Roselyne D’Aquino"/>
    <d v="1899-12-30T13:30:00"/>
  </r>
  <r>
    <s v="LOZES Raphaël André Dominique"/>
    <s v="3EME2"/>
    <s v="Parcours avenir"/>
    <s v="Comment devenir agriculteur aujourd'hui et pourquoi choisir ce métier?"/>
    <x v="0"/>
    <x v="1"/>
    <b v="1"/>
    <b v="1"/>
    <b v="1"/>
    <b v="0"/>
    <s v="Nathalie Mboup"/>
    <s v="Claire Drame"/>
    <d v="1899-12-30T14:00:00"/>
  </r>
  <r>
    <s v="MARCHESE Howard Giovanni Sédar"/>
    <s v="3EME1"/>
    <s v="Parcours avenir"/>
    <s v="Pourquoi le métier de pilote fait-il encore réver aujourd'hui?"/>
    <x v="6"/>
    <x v="6"/>
    <b v="1"/>
    <b v="0"/>
    <b v="0"/>
    <b v="0"/>
    <s v="Roselyne D’Aquino"/>
    <s v="Karine Chabert"/>
    <d v="1899-12-30T14:00:00"/>
  </r>
  <r>
    <s v="MARTINEZ Gabriel-Omar Régis"/>
    <s v="3EME1"/>
    <s v="Parcours santé"/>
    <s v="Selon vous, pourquoi les drogues ont-elles un effet néfaste sur la santé et le comportement des adolescents?"/>
    <x v="0"/>
    <x v="4"/>
    <b v="1"/>
    <b v="0"/>
    <b v="0"/>
    <b v="0"/>
    <s v="Vincent David"/>
    <s v="Nafissatou Fall"/>
    <d v="1899-12-30T14:00:00"/>
  </r>
  <r>
    <s v="MBOUP Adam Fallou"/>
    <s v="3EME1"/>
    <s v="Parcours santé"/>
    <s v="En quoi les progrès scientifiques et technologiques aident-ils les sportifs ?"/>
    <x v="5"/>
    <x v="2"/>
    <b v="1"/>
    <b v="0"/>
    <b v="0"/>
    <b v="0"/>
    <s v="Antoine Frayon"/>
    <s v="Alassane Ndiaye"/>
    <d v="1899-12-30T14:00:00"/>
  </r>
  <r>
    <s v="MBOW Aïssatou"/>
    <s v="3EME2"/>
    <s v="Parcours avenir"/>
    <s v="En quoi l'environnement des jeunes d'aujourd'hui influence-t-il leur orientation pour la médecine ?"/>
    <x v="1"/>
    <x v="0"/>
    <b v="1"/>
    <b v="0"/>
    <b v="1"/>
    <b v="0"/>
    <s v="Fanelly Mourain Diop"/>
    <s v="Elizabeth Porter"/>
    <d v="1899-12-30T14:00:00"/>
  </r>
  <r>
    <s v="MENCIERE Théophane Sedar"/>
    <s v="3EME2"/>
    <s v="Parcours avenir"/>
    <s v="Comment le parcours avenir peut-il nous aider à réfléchir à notre orientation ?"/>
    <x v="1"/>
    <x v="1"/>
    <b v="1"/>
    <b v="0"/>
    <b v="0"/>
    <b v="0"/>
    <s v="Olivier Baritou"/>
    <s v="Alain Gomis"/>
    <d v="1899-12-30T14:30:00"/>
  </r>
  <r>
    <s v="MENDY BOSSU Mia Caroline Michele"/>
    <s v="3EME1"/>
    <s v="Parcours citoyen"/>
    <s v="En quoi le journal d'Anne Frank  est-il un acte de résistance et un symbole du devoir de mémoire?"/>
    <x v="3"/>
    <x v="4"/>
    <b v="1"/>
    <b v="0"/>
    <b v="0"/>
    <b v="0"/>
    <s v="Mathilde Michon Guillaume"/>
    <s v="Nafissatou Fall"/>
    <d v="1899-12-30T14:30:00"/>
  </r>
  <r>
    <s v="MLIK Omar"/>
    <s v="3EME1"/>
    <s v="Parcours avenir"/>
    <s v="En quoi le parcours scolaire influence-t-il notre futur et quelle est son importance ?"/>
    <x v="1"/>
    <x v="0"/>
    <b v="1"/>
    <b v="0"/>
    <b v="1"/>
    <b v="0"/>
    <s v="Fanelly Mourain Diop"/>
    <s v="François Faye"/>
    <d v="1899-12-30T14:30:00"/>
  </r>
  <r>
    <s v="MOCNIK Léa Absa"/>
    <s v="3EME2"/>
    <s v="Parcours citoyen"/>
    <s v="Et si le harcèlemeent scolaire n'était pas seulement l'histoire d'un bourreau et d'une victime mais le symptôme d'une société qui ferme les yeux?"/>
    <x v="3"/>
    <x v="0"/>
    <b v="1"/>
    <b v="0"/>
    <b v="1"/>
    <b v="0"/>
    <s v="Claire Bossu"/>
    <s v="Elizabeth Porter"/>
    <d v="1899-12-30T14:30:00"/>
  </r>
  <r>
    <s v="MONTALBANO Nathalie Marie Olga"/>
    <s v="3EME1"/>
    <s v="Parcours avenir"/>
    <s v="Comment mon stage m'a t-il orienté pour mon projet futur ?"/>
    <x v="6"/>
    <x v="5"/>
    <b v="1"/>
    <b v="0"/>
    <b v="0"/>
    <b v="1"/>
    <s v="Roselyne D’Aquino"/>
    <s v="Amandine Gibus"/>
    <d v="1899-12-30T14:30:00"/>
  </r>
  <r>
    <s v="NDIAYE Anna Florence"/>
    <s v="3EME1"/>
    <s v="Parcours citoyen"/>
    <s v="En quoi l'esclavage a-t-il marqué l'histoire ?"/>
    <x v="3"/>
    <x v="0"/>
    <b v="1"/>
    <b v="0"/>
    <b v="1"/>
    <b v="0"/>
    <s v="Yvon Thomas"/>
    <s v="Layla Jaït"/>
    <d v="1899-12-30T15:00:00"/>
  </r>
  <r>
    <s v="NDIAYE Soukaïna  Dibor"/>
    <s v="3EME2"/>
    <s v="Parcours avenir"/>
    <s v="En quoi la médecine de permet de prévenir les risques et d'améliorer les performances des sportifs ?"/>
    <x v="0"/>
    <x v="2"/>
    <b v="1"/>
    <b v="0"/>
    <b v="0"/>
    <b v="0"/>
    <s v="Nathalie Mboup"/>
    <s v="Claire Drame"/>
    <d v="1899-12-30T15:00:00"/>
  </r>
  <r>
    <s v="NGOM Khady Meissa"/>
    <s v="3EME1"/>
    <s v="Parcours citoyen"/>
    <s v="En quoi les réseaux sociaux influencent-ils le quotidien des adolescents? "/>
    <x v="3"/>
    <x v="0"/>
    <b v="1"/>
    <b v="0"/>
    <b v="1"/>
    <b v="0"/>
    <s v="Mathilde Michon Guillaume"/>
    <s v="François Faye"/>
    <d v="1899-12-30T15:00:00"/>
  </r>
  <r>
    <s v="NOUHANDO ROD Ezechiel Gildas"/>
    <s v="3EME1"/>
    <s v="Parcours avenir"/>
    <s v="Comment le montage vidéo peut-il devenir un moyen de gagner de l'argent grâce aux réseaux sociaux et à internet ? "/>
    <x v="5"/>
    <x v="4"/>
    <b v="1"/>
    <b v="0"/>
    <b v="0"/>
    <b v="0"/>
    <s v="Antoine Frayon"/>
    <s v="Olivier Baritou"/>
    <d v="1899-12-30T15:00:00"/>
  </r>
  <r>
    <s v="NUSS Paulette Thiaba"/>
    <s v="3EME1"/>
    <s v="Parcours citoyen"/>
    <s v="Pourquoi les femmes continuent-elles de subir les inégalités malgré l'existence de lois qui protègent leurs droits ?"/>
    <x v="3"/>
    <x v="4"/>
    <b v="1"/>
    <b v="0"/>
    <b v="0"/>
    <b v="0"/>
    <s v="Claire Bossu"/>
    <s v="Fanelly Mourain Diop"/>
    <d v="1899-12-30T15:00:00"/>
  </r>
  <r>
    <s v="PEREZ NGOLI Micah Bruno Jean-Jacques"/>
    <s v="3EME1"/>
    <s v="Parcours avenir"/>
    <s v="Comment le stage m'a aidé à trouver mon futur métier et comment pourrais-je répondre aux besoins des consommateurs ?"/>
    <x v="1"/>
    <x v="7"/>
    <b v="1"/>
    <b v="0"/>
    <b v="0"/>
    <b v="0"/>
    <s v="Nafissatou Fall"/>
    <s v="Roselyne D’Aquino"/>
    <d v="1899-12-30T15:30:00"/>
  </r>
  <r>
    <s v="PHILIPPE Paloma Clémence"/>
    <s v="3EME2"/>
    <s v="Histoire des arts / Citoyen"/>
    <s v="Avoir un style vestimentaire particulier, affecte-t-il la vision que la société porte envers nous ?"/>
    <x v="4"/>
    <x v="0"/>
    <b v="1"/>
    <b v="0"/>
    <b v="1"/>
    <b v="0"/>
    <s v="Eve Capel"/>
    <s v="Elizabeth Porter"/>
    <d v="1899-12-30T15:30:00"/>
  </r>
  <r>
    <s v="PORQUET Yaniss"/>
    <s v="3EME1"/>
    <s v="Parcours avenir"/>
    <s v="En quoi mon stage m'a-t-il permis de mieux comprendre les métiers de l'énergie ?"/>
    <x v="6"/>
    <x v="8"/>
    <b v="1"/>
    <b v="0"/>
    <b v="0"/>
    <b v="0"/>
    <s v="Roselyne D’Aquino"/>
    <s v="Adama Ndaw"/>
    <d v="1899-12-30T15:30:00"/>
  </r>
  <r>
    <s v="REZGANI Yasmine"/>
    <s v="3EME2"/>
    <s v="Parcours santé"/>
    <s v="Comment le manque de sommeil influence-t-il sur nos capacités d'apprentissage et notre santé mentale ?"/>
    <x v="0"/>
    <x v="1"/>
    <b v="1"/>
    <b v="0"/>
    <b v="0"/>
    <b v="0"/>
    <s v="Vincent David"/>
    <s v="Alain Gomis"/>
    <d v="1899-12-30T15:30:00"/>
  </r>
  <r>
    <s v="SALL Arona Ababacar Alpha"/>
    <s v="3EME2"/>
    <s v="Parcours santé"/>
    <s v="En quoi la pratique régulière d'une activité physique régulière est-elle essentielle à la santé globale du collégien ?"/>
    <x v="2"/>
    <x v="0"/>
    <b v="1"/>
    <b v="0"/>
    <b v="1"/>
    <b v="0"/>
    <s v="Alassane Ndiaye"/>
    <s v="François Faye"/>
    <d v="1899-12-30T15:30:00"/>
  </r>
  <r>
    <s v="SAMB Abdou Aziz"/>
    <s v="3EME1"/>
    <s v="Parcours avenir"/>
    <s v="Comment mon stage de 3ème et le parcours avenir m'ont permis d'amorcer une réflexion autour du métier de psychologue? "/>
    <x v="1"/>
    <x v="7"/>
    <b v="1"/>
    <b v="0"/>
    <b v="0"/>
    <b v="0"/>
    <s v="Olivier Baritou"/>
    <s v="Roselyne D’Aquino"/>
    <d v="1899-12-30T16:00:00"/>
  </r>
  <r>
    <s v="SARR Fatou Bintou"/>
    <s v="3EME2"/>
    <s v="Histoire des arts"/>
    <s v="Comment la chanson stand up rend-elle hommage à la lutee de Harriet Tubman et comment nous incite-t-elle à nous défendre contre les injustices d'aujourd'hui?"/>
    <x v="7"/>
    <x v="0"/>
    <b v="1"/>
    <b v="0"/>
    <b v="1"/>
    <b v="0"/>
    <s v="Antoine Diandy"/>
    <s v="Layla Jaït"/>
    <d v="1899-12-30T16:00:00"/>
  </r>
  <r>
    <s v="TEBER Nehir"/>
    <s v="3EME1"/>
    <s v="Parcours citoyen"/>
    <s v="En quoi les réseaux sociaux ont-ils un impact sur le quotidien des jeunes aujourd'hui ? "/>
    <x v="5"/>
    <x v="3"/>
    <b v="1"/>
    <b v="0"/>
    <b v="0"/>
    <b v="0"/>
    <s v="Antoine Frayon"/>
    <s v="Yvon Thomas"/>
    <d v="1899-12-30T16:00:00"/>
  </r>
  <r>
    <s v="TUNA Melisa"/>
    <s v="3EME2"/>
    <s v="PEAC"/>
    <s v="En quoi la mythologie grecque reste-t-elle influente sur le monde moderne ?"/>
    <x v="1"/>
    <x v="3"/>
    <b v="1"/>
    <b v="0"/>
    <b v="0"/>
    <b v="0"/>
    <s v="Fanelly Mourain Diop"/>
    <s v="Claire Bossu"/>
    <d v="1899-12-30T16:00:00"/>
  </r>
  <r>
    <s v="VILLAIN Candice Noa"/>
    <s v="3EME2"/>
    <s v="Parcours santé"/>
    <s v="Quels sont les troubles DYS, quelles sont leurs difficultés et quelles sont les aides mises en place à  l'école afin dee palier à ces difficultés?"/>
    <x v="0"/>
    <x v="0"/>
    <b v="1"/>
    <b v="0"/>
    <b v="1"/>
    <b v="0"/>
    <s v="Nathalie Mboup"/>
    <s v="Elizabeth Porter"/>
    <d v="1899-12-30T16:00:00"/>
  </r>
  <r>
    <s v="WONE Aissatou Rahmatoulahi"/>
    <s v="3EME2"/>
    <s v="Parcours santé"/>
    <s v="En quoi mon stage au district sanitaire de Mbour m'a-t-il permis de comprendre le système de santé Sénégalais et de confirmer mon projet professionnel dans le domaine médical ?"/>
    <x v="6"/>
    <x v="0"/>
    <b v="1"/>
    <b v="0"/>
    <b v="1"/>
    <b v="0"/>
    <s v="Roselyne D’Aquino"/>
    <s v="François Faye"/>
    <d v="1899-12-30T16:30:00"/>
  </r>
  <r>
    <s v="YEROCHEWSKI Yelen Sophie Marie"/>
    <s v="3EME1"/>
    <s v="Parcours citoyen"/>
    <s v="Comment la propagande de Adolf Hitler a-t-elle influencé la population Allemande ?"/>
    <x v="3"/>
    <x v="5"/>
    <b v="1"/>
    <b v="0"/>
    <b v="0"/>
    <b v="1"/>
    <s v="Yvon Thomas"/>
    <s v="Fernando Piaggio"/>
    <d v="1899-12-30T16:3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eau croisé dynamique 1" cacheId="6" applyNumberFormats="0" applyBorderFormats="0" applyFontFormats="0" applyPatternFormats="0" applyAlignmentFormats="0" applyWidthHeightFormats="0" dataCaption="" updatedVersion="8" compact="0" compactData="0">
  <location ref="A1:K11" firstHeaderRow="1" firstDataRow="2" firstDataCol="1"/>
  <pivotFields count="13">
    <pivotField name="Elève" dataField="1" compact="0" outline="0" multipleItemSelectionAllowed="1" showAll="0"/>
    <pivotField name="Classe" compact="0" outline="0" multipleItemSelectionAllowed="1" showAll="0"/>
    <pivotField name="Parcours" compact="0" outline="0" multipleItemSelectionAllowed="1" showAll="0"/>
    <pivotField name="Problématique" compact="0" outline="0" multipleItemSelectionAllowed="1" showAll="0"/>
    <pivotField name="Discipline_1" axis="axisRow" compact="0" outline="0" multipleItemSelectionAllowed="1" showAll="0" sortType="ascending">
      <items count="9">
        <item x="4"/>
        <item x="7"/>
        <item x="2"/>
        <item x="1"/>
        <item x="3"/>
        <item x="6"/>
        <item x="0"/>
        <item x="5"/>
        <item t="default"/>
      </items>
    </pivotField>
    <pivotField name="Discipline_2" axis="axisCol" compact="0" outline="0" multipleItemSelectionAllowed="1" showAll="0" sortType="ascending">
      <items count="10">
        <item x="0"/>
        <item x="1"/>
        <item x="2"/>
        <item x="5"/>
        <item x="4"/>
        <item x="3"/>
        <item x="6"/>
        <item x="7"/>
        <item x="8"/>
        <item t="default"/>
      </items>
    </pivotField>
    <pivotField name="Confirmé PP" compact="0" outline="0" multipleItemSelectionAllowed="1" showAll="0"/>
    <pivotField name="Groupe" compact="0" outline="0" multipleItemSelectionAllowed="1" showAll="0"/>
    <pivotField name="Anglais" compact="0" outline="0" multipleItemSelectionAllowed="1" showAll="0"/>
    <pivotField name="Espagnol" compact="0" outline="0" multipleItemSelectionAllowed="1" showAll="0"/>
    <pivotField name="Juré_1" compact="0" outline="0" multipleItemSelectionAllowed="1" showAll="0"/>
    <pivotField name="Juré_2" compact="0" outline="0" multipleItemSelectionAllowed="1" showAll="0"/>
    <pivotField name="Heure de convocation" compact="0" numFmtId="20" outline="0" multipleItemSelectionAllowed="1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A of Elève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jets" displayName="Sujets" ref="A1:O58">
  <autoFilter ref="A1:O58" xr:uid="{00000000-0009-0000-0100-000001000000}"/>
  <tableColumns count="15">
    <tableColumn id="1" xr3:uid="{00000000-0010-0000-0000-000001000000}" name="Elève"/>
    <tableColumn id="2" xr3:uid="{00000000-0010-0000-0000-000002000000}" name="Classe"/>
    <tableColumn id="3" xr3:uid="{00000000-0010-0000-0000-000003000000}" name="Parcours"/>
    <tableColumn id="4" xr3:uid="{00000000-0010-0000-0000-000004000000}" name="Problématique"/>
    <tableColumn id="5" xr3:uid="{00000000-0010-0000-0000-000005000000}" name="Discipline_1"/>
    <tableColumn id="6" xr3:uid="{00000000-0010-0000-0000-000006000000}" name="Discipline_2"/>
    <tableColumn id="7" xr3:uid="{00000000-0010-0000-0000-000007000000}" name="Confirmé PP"/>
    <tableColumn id="8" xr3:uid="{00000000-0010-0000-0000-000008000000}" name="Groupe"/>
    <tableColumn id="9" xr3:uid="{00000000-0010-0000-0000-000009000000}" name="Anglais"/>
    <tableColumn id="10" xr3:uid="{00000000-0010-0000-0000-00000A000000}" name="Espagnol"/>
    <tableColumn id="11" xr3:uid="{00000000-0010-0000-0000-00000B000000}" name="Juré_1"/>
    <tableColumn id="12" xr3:uid="{00000000-0010-0000-0000-00000C000000}" name="Juré_2"/>
    <tableColumn id="13" xr3:uid="{00000000-0010-0000-0000-00000D000000}" name="Heure de convocation"/>
    <tableColumn id="14" xr3:uid="{00000000-0010-0000-0000-00000E000000}" name="Salle"/>
    <tableColumn id="15" xr3:uid="{00000000-0010-0000-0000-00000F000000}" name="Note"/>
  </tableColumns>
  <tableStyleInfo name="SUJE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urés" displayName="Jurés" ref="A1:E28">
  <tableColumns count="5">
    <tableColumn id="1" xr3:uid="{00000000-0010-0000-0100-000001000000}" name="Civilité"/>
    <tableColumn id="2" xr3:uid="{00000000-0010-0000-0100-000002000000}" name="Nom"/>
    <tableColumn id="3" xr3:uid="{00000000-0010-0000-0100-000003000000}" name="Prénom"/>
    <tableColumn id="4" xr3:uid="{00000000-0010-0000-0100-000004000000}" name="Discipline"/>
    <tableColumn id="5" xr3:uid="{00000000-0010-0000-0100-000005000000}" name="Adresse E-mail"/>
  </tableColumns>
  <tableStyleInfo name="JUR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2" displayName="Tableau2" ref="A1:E58">
  <tableColumns count="5">
    <tableColumn id="1" xr3:uid="{00000000-0010-0000-0300-000001000000}" name="Eleve"/>
    <tableColumn id="2" xr3:uid="{00000000-0010-0000-0300-000002000000}" name="Classe"/>
    <tableColumn id="3" xr3:uid="{00000000-0010-0000-0300-000003000000}" name="Colonne 4"/>
    <tableColumn id="4" xr3:uid="{00000000-0010-0000-0300-000004000000}" name="Colonne 5"/>
    <tableColumn id="5" xr3:uid="{00000000-0010-0000-0300-000005000000}" name="Note Oral DNB"/>
  </tableColumns>
  <tableStyleInfo name="NOT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outlinePr summaryBelow="0" summaryRight="0"/>
  </sheetPr>
  <dimension ref="A1:AM1000"/>
  <sheetViews>
    <sheetView tabSelected="1" workbookViewId="0"/>
  </sheetViews>
  <sheetFormatPr baseColWidth="10" defaultColWidth="12.6640625" defaultRowHeight="15.75" customHeight="1" x14ac:dyDescent="0.15"/>
  <sheetData>
    <row r="1" spans="1:39" ht="15.75" customHeight="1" x14ac:dyDescent="0.15">
      <c r="A1" s="1" t="str">
        <f ca="1">IFERROR(__xludf.DUMMYFUNCTION("importrange(""https://docs.google.com/spreadsheets/d/1eo-EGIGL2ZuDJLGtOqMpijjPglTyJJR_lkYk4Gthvhs/edit?gid=684256595#gid=684256595"",""ELEVES COMPLETE!A:ZZ"")"),"Nom complet")</f>
        <v>Nom complet</v>
      </c>
      <c r="B1" s="1" t="str">
        <f ca="1">IFERROR(__xludf.DUMMYFUNCTION("""COMPUTED_VALUE"""),"Nom")</f>
        <v>Nom</v>
      </c>
      <c r="C1" s="1" t="str">
        <f ca="1">IFERROR(__xludf.DUMMYFUNCTION("""COMPUTED_VALUE"""),"Prénom")</f>
        <v>Prénom</v>
      </c>
      <c r="D1" s="1" t="str">
        <f ca="1">IFERROR(__xludf.DUMMYFUNCTION("""COMPUTED_VALUE"""),"Code identifiant")</f>
        <v>Code identifiant</v>
      </c>
      <c r="E1" s="1" t="str">
        <f ca="1">IFERROR(__xludf.DUMMYFUNCTION("""COMPUTED_VALUE"""),"Date de naissance")</f>
        <v>Date de naissance</v>
      </c>
      <c r="F1" s="1" t="str">
        <f ca="1">IFERROR(__xludf.DUMMYFUNCTION("""COMPUTED_VALUE"""),"Classe")</f>
        <v>Classe</v>
      </c>
      <c r="G1" s="1" t="str">
        <f ca="1">IFERROR(__xludf.DUMMYFUNCTION("""COMPUTED_VALUE"""),"Niveau")</f>
        <v>Niveau</v>
      </c>
      <c r="H1" s="1" t="str">
        <f ca="1">IFERROR(__xludf.DUMMYFUNCTION("""COMPUTED_VALUE"""),"Branche scolaire")</f>
        <v>Branche scolaire</v>
      </c>
      <c r="I1" s="1" t="str">
        <f ca="1">IFERROR(__xludf.DUMMYFUNCTION("""COMPUTED_VALUE"""),"LVA")</f>
        <v>LVA</v>
      </c>
      <c r="J1" s="1" t="str">
        <f ca="1">IFERROR(__xludf.DUMMYFUNCTION("""COMPUTED_VALUE"""),"LVB")</f>
        <v>LVB</v>
      </c>
      <c r="K1" s="1" t="str">
        <f ca="1">IFERROR(__xludf.DUMMYFUNCTION("""COMPUTED_VALUE"""),"Enseignements optionnels")</f>
        <v>Enseignements optionnels</v>
      </c>
      <c r="L1" s="1" t="str">
        <f ca="1">IFERROR(__xludf.DUMMYFUNCTION("""COMPUTED_VALUE"""),"Option Facultative")</f>
        <v>Option Facultative</v>
      </c>
      <c r="M1" s="1" t="str">
        <f ca="1">IFERROR(__xludf.DUMMYFUNCTION("""COMPUTED_VALUE"""),"Code Enseignements de spécialité")</f>
        <v>Code Enseignements de spécialité</v>
      </c>
      <c r="N1" s="1" t="str">
        <f ca="1">IFERROR(__xludf.DUMMYFUNCTION("""COMPUTED_VALUE"""),"Sexe")</f>
        <v>Sexe</v>
      </c>
      <c r="O1" s="1" t="str">
        <f ca="1">IFERROR(__xludf.DUMMYFUNCTION("""COMPUTED_VALUE"""),"Commune de naissance")</f>
        <v>Commune de naissance</v>
      </c>
      <c r="P1" s="1" t="str">
        <f ca="1">IFERROR(__xludf.DUMMYFUNCTION("""COMPUTED_VALUE"""),"Nationalité 1")</f>
        <v>Nationalité 1</v>
      </c>
      <c r="Q1" s="1" t="str">
        <f ca="1">IFERROR(__xludf.DUMMYFUNCTION("""COMPUTED_VALUE"""),"Nationalité 2")</f>
        <v>Nationalité 2</v>
      </c>
      <c r="R1" s="1" t="str">
        <f ca="1">IFERROR(__xludf.DUMMYFUNCTION("""COMPUTED_VALUE"""),"Adresse e-mail")</f>
        <v>Adresse e-mail</v>
      </c>
      <c r="S1" s="1" t="str">
        <f ca="1">IFERROR(__xludf.DUMMYFUNCTION("""COMPUTED_VALUE"""),"Téléphone mobile")</f>
        <v>Téléphone mobile</v>
      </c>
      <c r="T1" s="1" t="str">
        <f ca="1">IFERROR(__xludf.DUMMYFUNCTION("""COMPUTED_VALUE"""),"Nom complet R1")</f>
        <v>Nom complet R1</v>
      </c>
      <c r="U1" s="1" t="str">
        <f ca="1">IFERROR(__xludf.DUMMYFUNCTION("""COMPUTED_VALUE"""),"Nom complet R2")</f>
        <v>Nom complet R2</v>
      </c>
      <c r="V1" s="1" t="str">
        <f ca="1">IFERROR(__xludf.DUMMYFUNCTION("""COMPUTED_VALUE"""),"Adresse e-mail R1")</f>
        <v>Adresse e-mail R1</v>
      </c>
      <c r="W1" s="1" t="str">
        <f ca="1">IFERROR(__xludf.DUMMYFUNCTION("""COMPUTED_VALUE"""),"Adresse e-mail R2")</f>
        <v>Adresse e-mail R2</v>
      </c>
      <c r="X1" s="1" t="str">
        <f ca="1">IFERROR(__xludf.DUMMYFUNCTION("""COMPUTED_VALUE"""),"Téléphone mobile R1")</f>
        <v>Téléphone mobile R1</v>
      </c>
      <c r="Y1" s="1" t="str">
        <f ca="1">IFERROR(__xludf.DUMMYFUNCTION("""COMPUTED_VALUE"""),"Téléphone mobile R2")</f>
        <v>Téléphone mobile R2</v>
      </c>
      <c r="Z1" s="1" t="str">
        <f ca="1">IFERROR(__xludf.DUMMYFUNCTION("""COMPUTED_VALUE"""),"Téléphone Whatsapp R1")</f>
        <v>Téléphone Whatsapp R1</v>
      </c>
      <c r="AA1" s="1" t="str">
        <f ca="1">IFERROR(__xludf.DUMMYFUNCTION("""COMPUTED_VALUE"""),"Téléphone Whatsapp R2")</f>
        <v>Téléphone Whatsapp R2</v>
      </c>
      <c r="AB1" s="1" t="str">
        <f ca="1">IFERROR(__xludf.DUMMYFUNCTION("""COMPUTED_VALUE"""),"Date de naissance R1")</f>
        <v>Date de naissance R1</v>
      </c>
      <c r="AC1" s="1" t="str">
        <f ca="1">IFERROR(__xludf.DUMMYFUNCTION("""COMPUTED_VALUE"""),"Date de naissance R2")</f>
        <v>Date de naissance R2</v>
      </c>
      <c r="AD1" s="1" t="str">
        <f ca="1">IFERROR(__xludf.DUMMYFUNCTION("""COMPUTED_VALUE"""),"Relation avec l'enfant R1")</f>
        <v>Relation avec l'enfant R1</v>
      </c>
      <c r="AE1" s="1" t="str">
        <f ca="1">IFERROR(__xludf.DUMMYFUNCTION("""COMPUTED_VALUE"""),"Relation avec l'enfant R2")</f>
        <v>Relation avec l'enfant R2</v>
      </c>
      <c r="AF1" s="1" t="str">
        <f ca="1">IFERROR(__xludf.DUMMYFUNCTION("""COMPUTED_VALUE"""),"Nationalité 1 R1")</f>
        <v>Nationalité 1 R1</v>
      </c>
      <c r="AG1" s="1" t="str">
        <f ca="1">IFERROR(__xludf.DUMMYFUNCTION("""COMPUTED_VALUE"""),"Nationalité 1 R2")</f>
        <v>Nationalité 1 R2</v>
      </c>
      <c r="AH1" s="1" t="str">
        <f ca="1">IFERROR(__xludf.DUMMYFUNCTION("""COMPUTED_VALUE"""),"Nationalité 2 R1")</f>
        <v>Nationalité 2 R1</v>
      </c>
      <c r="AI1" s="1" t="str">
        <f ca="1">IFERROR(__xludf.DUMMYFUNCTION("""COMPUTED_VALUE"""),"Nationalité 2 R2")</f>
        <v>Nationalité 2 R2</v>
      </c>
      <c r="AJ1" s="1" t="str">
        <f ca="1">IFERROR(__xludf.DUMMYFUNCTION("""COMPUTED_VALUE"""),"Code compte")</f>
        <v>Code compte</v>
      </c>
      <c r="AK1" s="1" t="str">
        <f ca="1">IFERROR(__xludf.DUMMYFUNCTION("""COMPUTED_VALUE"""),"Situation familiale R1")</f>
        <v>Situation familiale R1</v>
      </c>
      <c r="AL1" s="1" t="str">
        <f ca="1">IFERROR(__xludf.DUMMYFUNCTION("""COMPUTED_VALUE"""),"Situation familiale R2")</f>
        <v>Situation familiale R2</v>
      </c>
      <c r="AM1" s="1" t="str">
        <f ca="1">IFERROR(__xludf.DUMMYFUNCTION("""COMPUTED_VALUE"""),"Code compte")</f>
        <v>Code compte</v>
      </c>
    </row>
    <row r="2" spans="1:39" ht="15.75" customHeight="1" x14ac:dyDescent="0.15">
      <c r="A2" s="1" t="str">
        <f ca="1">IFERROR(__xludf.DUMMYFUNCTION("""COMPUTED_VALUE"""),"ABOUDOU AMOUSSA Inès")</f>
        <v>ABOUDOU AMOUSSA Inès</v>
      </c>
      <c r="B2" s="1" t="str">
        <f ca="1">IFERROR(__xludf.DUMMYFUNCTION("""COMPUTED_VALUE"""),"ABOUDOU AMOUSSA")</f>
        <v>ABOUDOU AMOUSSA</v>
      </c>
      <c r="C2" s="1" t="str">
        <f ca="1">IFERROR(__xludf.DUMMYFUNCTION("""COMPUTED_VALUE"""),"Inès")</f>
        <v>Inès</v>
      </c>
      <c r="D2" s="1" t="str">
        <f ca="1">IFERROR(__xludf.DUMMYFUNCTION("""COMPUTED_VALUE"""),"1112E1")</f>
        <v>1112E1</v>
      </c>
      <c r="E2" s="2">
        <f ca="1">IFERROR(__xludf.DUMMYFUNCTION("""COMPUTED_VALUE"""),39707)</f>
        <v>39707</v>
      </c>
      <c r="F2" s="1" t="str">
        <f ca="1">IFERROR(__xludf.DUMMYFUNCTION("""COMPUTED_VALUE"""),"TERMINALE2")</f>
        <v>TERMINALE2</v>
      </c>
      <c r="G2" s="1" t="str">
        <f ca="1">IFERROR(__xludf.DUMMYFUNCTION("""COMPUTED_VALUE"""),"Terminale")</f>
        <v>Terminale</v>
      </c>
      <c r="H2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2" s="1" t="str">
        <f ca="1">IFERROR(__xludf.DUMMYFUNCTION("""COMPUTED_VALUE"""),"LVA Anglais")</f>
        <v>LVA Anglais</v>
      </c>
      <c r="J2" s="1" t="str">
        <f ca="1">IFERROR(__xludf.DUMMYFUNCTION("""COMPUTED_VALUE"""),"LVB Espagnol")</f>
        <v>LVB Espagnol</v>
      </c>
      <c r="K2" s="1"/>
      <c r="L2" s="1"/>
      <c r="M2" s="1" t="str">
        <f ca="1">IFERROR(__xludf.DUMMYFUNCTION("""COMPUTED_VALUE"""),"SPE HGGSP, SPE SES")</f>
        <v>SPE HGGSP, SPE SES</v>
      </c>
      <c r="N2" s="1" t="str">
        <f ca="1">IFERROR(__xludf.DUMMYFUNCTION("""COMPUTED_VALUE"""),"Fille")</f>
        <v>Fille</v>
      </c>
      <c r="O2" s="1"/>
      <c r="P2" s="1" t="str">
        <f ca="1">IFERROR(__xludf.DUMMYFUNCTION("""COMPUTED_VALUE"""),"FRANCE")</f>
        <v>FRANCE</v>
      </c>
      <c r="Q2" s="1"/>
      <c r="R2" s="1" t="str">
        <f ca="1">IFERROR(__xludf.DUMMYFUNCTION("""COMPUTED_VALUE"""),"ines.aboudouamoussa@lfjpsaly.org")</f>
        <v>ines.aboudouamoussa@lfjpsaly.org</v>
      </c>
      <c r="S2" s="1"/>
      <c r="T2" s="1" t="str">
        <f ca="1">IFERROR(__xludf.DUMMYFUNCTION("""COMPUTED_VALUE"""),"ABOUDOU AMOUSSA Hakim Ichola")</f>
        <v>ABOUDOU AMOUSSA Hakim Ichola</v>
      </c>
      <c r="U2" s="1" t="str">
        <f ca="1">IFERROR(__xludf.DUMMYFUNCTION("""COMPUTED_VALUE"""),"ABOUDOU AMOUSSA Mame Sellé")</f>
        <v>ABOUDOU AMOUSSA Mame Sellé</v>
      </c>
      <c r="V2" s="1" t="str">
        <f ca="1">IFERROR(__xludf.DUMMYFUNCTION("""COMPUTED_VALUE"""),"hiaboudou@yahoo.fr")</f>
        <v>hiaboudou@yahoo.fr</v>
      </c>
      <c r="W2" s="1" t="str">
        <f ca="1">IFERROR(__xludf.DUMMYFUNCTION("""COMPUTED_VALUE"""),"msmbodj@yahoo.fr")</f>
        <v>msmbodj@yahoo.fr</v>
      </c>
      <c r="X2" s="1" t="str">
        <f ca="1">IFERROR(__xludf.DUMMYFUNCTION("""COMPUTED_VALUE"""),"+221 78 120 62 11")</f>
        <v>+221 78 120 62 11</v>
      </c>
      <c r="Y2" s="1" t="str">
        <f ca="1">IFERROR(__xludf.DUMMYFUNCTION("""COMPUTED_VALUE"""),"+221 77 662 25 23")</f>
        <v>+221 77 662 25 23</v>
      </c>
      <c r="Z2" s="1" t="str">
        <f ca="1">IFERROR(__xludf.DUMMYFUNCTION("""COMPUTED_VALUE"""),"+33 7 78 15 64 72")</f>
        <v>+33 7 78 15 64 72</v>
      </c>
      <c r="AA2" s="1" t="str">
        <f ca="1">IFERROR(__xludf.DUMMYFUNCTION("""COMPUTED_VALUE"""),"+33 7 50 30 20 32")</f>
        <v>+33 7 50 30 20 32</v>
      </c>
      <c r="AB2" s="2">
        <f ca="1">IFERROR(__xludf.DUMMYFUNCTION("""COMPUTED_VALUE"""),25938)</f>
        <v>25938</v>
      </c>
      <c r="AC2" s="2">
        <f ca="1">IFERROR(__xludf.DUMMYFUNCTION("""COMPUTED_VALUE"""),31470)</f>
        <v>31470</v>
      </c>
      <c r="AD2" s="1" t="str">
        <f ca="1">IFERROR(__xludf.DUMMYFUNCTION("""COMPUTED_VALUE"""),"PERE")</f>
        <v>PERE</v>
      </c>
      <c r="AE2" s="1" t="str">
        <f ca="1">IFERROR(__xludf.DUMMYFUNCTION("""COMPUTED_VALUE"""),"MERE")</f>
        <v>MERE</v>
      </c>
      <c r="AF2" s="1" t="str">
        <f ca="1">IFERROR(__xludf.DUMMYFUNCTION("""COMPUTED_VALUE"""),"FRANCE")</f>
        <v>FRANCE</v>
      </c>
      <c r="AG2" s="1" t="str">
        <f ca="1">IFERROR(__xludf.DUMMYFUNCTION("""COMPUTED_VALUE"""),"FRANCE")</f>
        <v>FRANCE</v>
      </c>
      <c r="AH2" s="1"/>
      <c r="AI2" s="1" t="str">
        <f ca="1">IFERROR(__xludf.DUMMYFUNCTION("""COMPUTED_VALUE"""),"SENEGAL")</f>
        <v>SENEGAL</v>
      </c>
      <c r="AJ2" s="1" t="str">
        <f ca="1">IFERROR(__xludf.DUMMYFUNCTION("""COMPUTED_VALUE"""),"F1112")</f>
        <v>F1112</v>
      </c>
      <c r="AK2" s="1" t="str">
        <f ca="1">IFERROR(__xludf.DUMMYFUNCTION("""COMPUTED_VALUE"""),"Marié(e)")</f>
        <v>Marié(e)</v>
      </c>
      <c r="AL2" s="1" t="str">
        <f ca="1">IFERROR(__xludf.DUMMYFUNCTION("""COMPUTED_VALUE"""),"Marié(e)")</f>
        <v>Marié(e)</v>
      </c>
      <c r="AM2" s="1" t="str">
        <f ca="1">IFERROR(__xludf.DUMMYFUNCTION("""COMPUTED_VALUE"""),"F1112")</f>
        <v>F1112</v>
      </c>
    </row>
    <row r="3" spans="1:39" ht="15.75" customHeight="1" x14ac:dyDescent="0.15">
      <c r="A3" s="1" t="str">
        <f ca="1">IFERROR(__xludf.DUMMYFUNCTION("""COMPUTED_VALUE"""),"ABOUDOU-SARR Eiden")</f>
        <v>ABOUDOU-SARR Eiden</v>
      </c>
      <c r="B3" s="1" t="str">
        <f ca="1">IFERROR(__xludf.DUMMYFUNCTION("""COMPUTED_VALUE"""),"ABOUDOU-SARR")</f>
        <v>ABOUDOU-SARR</v>
      </c>
      <c r="C3" s="1" t="str">
        <f ca="1">IFERROR(__xludf.DUMMYFUNCTION("""COMPUTED_VALUE"""),"Eiden")</f>
        <v>Eiden</v>
      </c>
      <c r="D3" s="1" t="str">
        <f ca="1">IFERROR(__xludf.DUMMYFUNCTION("""COMPUTED_VALUE"""),"1626E1")</f>
        <v>1626E1</v>
      </c>
      <c r="E3" s="2">
        <f ca="1">IFERROR(__xludf.DUMMYFUNCTION("""COMPUTED_VALUE"""),41270)</f>
        <v>41270</v>
      </c>
      <c r="F3" s="1" t="str">
        <f ca="1">IFERROR(__xludf.DUMMYFUNCTION("""COMPUTED_VALUE"""),"4EME1")</f>
        <v>4EME1</v>
      </c>
      <c r="G3" s="1" t="str">
        <f ca="1">IFERROR(__xludf.DUMMYFUNCTION("""COMPUTED_VALUE"""),"4ème")</f>
        <v>4ème</v>
      </c>
      <c r="H3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3" s="1" t="str">
        <f ca="1">IFERROR(__xludf.DUMMYFUNCTION("""COMPUTED_VALUE"""),"LVA Anglais")</f>
        <v>LVA Anglais</v>
      </c>
      <c r="J3" s="1" t="str">
        <f ca="1">IFERROR(__xludf.DUMMYFUNCTION("""COMPUTED_VALUE"""),"LVB Espagnol")</f>
        <v>LVB Espagnol</v>
      </c>
      <c r="K3" s="1"/>
      <c r="L3" s="1"/>
      <c r="M3" s="1"/>
      <c r="N3" s="1" t="str">
        <f ca="1">IFERROR(__xludf.DUMMYFUNCTION("""COMPUTED_VALUE"""),"Fille")</f>
        <v>Fille</v>
      </c>
      <c r="O3" s="1"/>
      <c r="P3" s="1" t="str">
        <f ca="1">IFERROR(__xludf.DUMMYFUNCTION("""COMPUTED_VALUE"""),"FRANCE")</f>
        <v>FRANCE</v>
      </c>
      <c r="Q3" s="1"/>
      <c r="R3" s="1" t="str">
        <f ca="1">IFERROR(__xludf.DUMMYFUNCTION("""COMPUTED_VALUE"""),"eiden.aboudou-sarr@lfjpsaly.org")</f>
        <v>eiden.aboudou-sarr@lfjpsaly.org</v>
      </c>
      <c r="S3" s="1" t="str">
        <f ca="1">IFERROR(__xludf.DUMMYFUNCTION("""COMPUTED_VALUE"""),"+221")</f>
        <v>+221</v>
      </c>
      <c r="T3" s="1" t="str">
        <f ca="1">IFERROR(__xludf.DUMMYFUNCTION("""COMPUTED_VALUE"""),"SARR-MESSAOUDI Licka")</f>
        <v>SARR-MESSAOUDI Licka</v>
      </c>
      <c r="U3" s="1" t="str">
        <f ca="1">IFERROR(__xludf.DUMMYFUNCTION("""COMPUTED_VALUE"""),"ABOUDOU Karim")</f>
        <v>ABOUDOU Karim</v>
      </c>
      <c r="V3" s="1" t="str">
        <f ca="1">IFERROR(__xludf.DUMMYFUNCTION("""COMPUTED_VALUE"""),"yacine.licka@gmail.com")</f>
        <v>yacine.licka@gmail.com</v>
      </c>
      <c r="W3" s="1" t="str">
        <f ca="1">IFERROR(__xludf.DUMMYFUNCTION("""COMPUTED_VALUE"""),"kaboudou@gmail.com")</f>
        <v>kaboudou@gmail.com</v>
      </c>
      <c r="X3" s="1" t="str">
        <f ca="1">IFERROR(__xludf.DUMMYFUNCTION("""COMPUTED_VALUE"""),"+221 78 912 91 27")</f>
        <v>+221 78 912 91 27</v>
      </c>
      <c r="Y3" s="1" t="str">
        <f ca="1">IFERROR(__xludf.DUMMYFUNCTION("""COMPUTED_VALUE"""),"+33 6 83 79 93 69")</f>
        <v>+33 6 83 79 93 69</v>
      </c>
      <c r="Z3" s="1" t="str">
        <f ca="1">IFERROR(__xludf.DUMMYFUNCTION("""COMPUTED_VALUE"""),"+221 77 593 91 07")</f>
        <v>+221 77 593 91 07</v>
      </c>
      <c r="AA3" s="1"/>
      <c r="AB3" s="2">
        <f ca="1">IFERROR(__xludf.DUMMYFUNCTION("""COMPUTED_VALUE"""),30479)</f>
        <v>30479</v>
      </c>
      <c r="AC3" s="2">
        <f ca="1">IFERROR(__xludf.DUMMYFUNCTION("""COMPUTED_VALUE"""),29782)</f>
        <v>29782</v>
      </c>
      <c r="AD3" s="1" t="str">
        <f ca="1">IFERROR(__xludf.DUMMYFUNCTION("""COMPUTED_VALUE"""),"MERE")</f>
        <v>MERE</v>
      </c>
      <c r="AE3" s="1" t="str">
        <f ca="1">IFERROR(__xludf.DUMMYFUNCTION("""COMPUTED_VALUE"""),"PERE")</f>
        <v>PERE</v>
      </c>
      <c r="AF3" s="1" t="str">
        <f ca="1">IFERROR(__xludf.DUMMYFUNCTION("""COMPUTED_VALUE"""),"FRANCE")</f>
        <v>FRANCE</v>
      </c>
      <c r="AG3" s="1" t="str">
        <f ca="1">IFERROR(__xludf.DUMMYFUNCTION("""COMPUTED_VALUE"""),"FRANCE")</f>
        <v>FRANCE</v>
      </c>
      <c r="AH3" s="1"/>
      <c r="AI3" s="1"/>
      <c r="AJ3" s="1" t="str">
        <f ca="1">IFERROR(__xludf.DUMMYFUNCTION("""COMPUTED_VALUE"""),"F1626")</f>
        <v>F1626</v>
      </c>
      <c r="AK3" s="1" t="str">
        <f ca="1">IFERROR(__xludf.DUMMYFUNCTION("""COMPUTED_VALUE"""),"Marié(e)")</f>
        <v>Marié(e)</v>
      </c>
      <c r="AL3" s="1" t="str">
        <f ca="1">IFERROR(__xludf.DUMMYFUNCTION("""COMPUTED_VALUE"""),"Célibataire")</f>
        <v>Célibataire</v>
      </c>
      <c r="AM3" s="1" t="str">
        <f ca="1">IFERROR(__xludf.DUMMYFUNCTION("""COMPUTED_VALUE"""),"F1626")</f>
        <v>F1626</v>
      </c>
    </row>
    <row r="4" spans="1:39" ht="15.75" customHeight="1" x14ac:dyDescent="0.15">
      <c r="A4" s="1" t="str">
        <f ca="1">IFERROR(__xludf.DUMMYFUNCTION("""COMPUTED_VALUE"""),"ACETO Awa")</f>
        <v>ACETO Awa</v>
      </c>
      <c r="B4" s="1" t="str">
        <f ca="1">IFERROR(__xludf.DUMMYFUNCTION("""COMPUTED_VALUE"""),"ACETO")</f>
        <v>ACETO</v>
      </c>
      <c r="C4" s="1" t="str">
        <f ca="1">IFERROR(__xludf.DUMMYFUNCTION("""COMPUTED_VALUE"""),"Awa")</f>
        <v>Awa</v>
      </c>
      <c r="D4" s="1" t="str">
        <f ca="1">IFERROR(__xludf.DUMMYFUNCTION("""COMPUTED_VALUE"""),"11654S2208")</f>
        <v>11654S2208</v>
      </c>
      <c r="E4" s="2">
        <f ca="1">IFERROR(__xludf.DUMMYFUNCTION("""COMPUTED_VALUE"""),39797)</f>
        <v>39797</v>
      </c>
      <c r="F4" s="1" t="str">
        <f ca="1">IFERROR(__xludf.DUMMYFUNCTION("""COMPUTED_VALUE"""),"TERMINALE2")</f>
        <v>TERMINALE2</v>
      </c>
      <c r="G4" s="1" t="str">
        <f ca="1">IFERROR(__xludf.DUMMYFUNCTION("""COMPUTED_VALUE"""),"Terminale")</f>
        <v>Terminale</v>
      </c>
      <c r="H4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4" s="1" t="str">
        <f ca="1">IFERROR(__xludf.DUMMYFUNCTION("""COMPUTED_VALUE"""),"LVA Anglais")</f>
        <v>LVA Anglais</v>
      </c>
      <c r="J4" s="1" t="str">
        <f ca="1">IFERROR(__xludf.DUMMYFUNCTION("""COMPUTED_VALUE"""),"LVB Espagnol")</f>
        <v>LVB Espagnol</v>
      </c>
      <c r="K4" s="1"/>
      <c r="L4" s="1"/>
      <c r="M4" s="1" t="str">
        <f ca="1">IFERROR(__xludf.DUMMYFUNCTION("""COMPUTED_VALUE"""),"SPE HGGSP, SPE SES")</f>
        <v>SPE HGGSP, SPE SES</v>
      </c>
      <c r="N4" s="1" t="str">
        <f ca="1">IFERROR(__xludf.DUMMYFUNCTION("""COMPUTED_VALUE"""),"Fille")</f>
        <v>Fille</v>
      </c>
      <c r="O4" s="1"/>
      <c r="P4" s="1" t="str">
        <f ca="1">IFERROR(__xludf.DUMMYFUNCTION("""COMPUTED_VALUE"""),"FRANCE")</f>
        <v>FRANCE</v>
      </c>
      <c r="Q4" s="1" t="str">
        <f ca="1">IFERROR(__xludf.DUMMYFUNCTION("""COMPUTED_VALUE"""),"SENEGAL")</f>
        <v>SENEGAL</v>
      </c>
      <c r="R4" s="1" t="str">
        <f ca="1">IFERROR(__xludf.DUMMYFUNCTION("""COMPUTED_VALUE"""),"awa.aceto@lfjpsaly.org")</f>
        <v>awa.aceto@lfjpsaly.org</v>
      </c>
      <c r="S4" s="1"/>
      <c r="T4" s="1" t="str">
        <f ca="1">IFERROR(__xludf.DUMMYFUNCTION("""COMPUTED_VALUE"""),"ACETO Héléne")</f>
        <v>ACETO Héléne</v>
      </c>
      <c r="U4" s="1" t="str">
        <f ca="1">IFERROR(__xludf.DUMMYFUNCTION("""COMPUTED_VALUE"""),"ACETO Pascal")</f>
        <v>ACETO Pascal</v>
      </c>
      <c r="V4" s="1" t="str">
        <f ca="1">IFERROR(__xludf.DUMMYFUNCTION("""COMPUTED_VALUE"""),"h.aceto@yahoo.fr")</f>
        <v>h.aceto@yahoo.fr</v>
      </c>
      <c r="W4" s="1" t="str">
        <f ca="1">IFERROR(__xludf.DUMMYFUNCTION("""COMPUTED_VALUE"""),"h.aceto@yahoo.fr")</f>
        <v>h.aceto@yahoo.fr</v>
      </c>
      <c r="X4" s="1" t="str">
        <f ca="1">IFERROR(__xludf.DUMMYFUNCTION("""COMPUTED_VALUE"""),"+33 6 09 88 38 56")</f>
        <v>+33 6 09 88 38 56</v>
      </c>
      <c r="Y4" s="1" t="str">
        <f ca="1">IFERROR(__xludf.DUMMYFUNCTION("""COMPUTED_VALUE"""),"+33 6 09 88 38 56")</f>
        <v>+33 6 09 88 38 56</v>
      </c>
      <c r="Z4" s="1" t="str">
        <f ca="1">IFERROR(__xludf.DUMMYFUNCTION("""COMPUTED_VALUE"""),"+33 6 09 88 38 56")</f>
        <v>+33 6 09 88 38 56</v>
      </c>
      <c r="AA4" s="1" t="str">
        <f ca="1">IFERROR(__xludf.DUMMYFUNCTION("""COMPUTED_VALUE"""),"+33 6 09 88 38 56")</f>
        <v>+33 6 09 88 38 56</v>
      </c>
      <c r="AB4" s="2">
        <f ca="1">IFERROR(__xludf.DUMMYFUNCTION("""COMPUTED_VALUE"""),16677)</f>
        <v>16677</v>
      </c>
      <c r="AC4" s="2">
        <f ca="1">IFERROR(__xludf.DUMMYFUNCTION("""COMPUTED_VALUE"""),20505)</f>
        <v>20505</v>
      </c>
      <c r="AD4" s="1" t="str">
        <f ca="1">IFERROR(__xludf.DUMMYFUNCTION("""COMPUTED_VALUE"""),"Non spécifiée")</f>
        <v>Non spécifiée</v>
      </c>
      <c r="AE4" s="1" t="str">
        <f ca="1">IFERROR(__xludf.DUMMYFUNCTION("""COMPUTED_VALUE"""),"Non spécifiée")</f>
        <v>Non spécifiée</v>
      </c>
      <c r="AF4" s="1" t="str">
        <f ca="1">IFERROR(__xludf.DUMMYFUNCTION("""COMPUTED_VALUE"""),"FRANCE")</f>
        <v>FRANCE</v>
      </c>
      <c r="AG4" s="1" t="str">
        <f ca="1">IFERROR(__xludf.DUMMYFUNCTION("""COMPUTED_VALUE"""),"FRANCE")</f>
        <v>FRANCE</v>
      </c>
      <c r="AH4" s="1"/>
      <c r="AI4" s="1"/>
      <c r="AJ4" s="1" t="str">
        <f ca="1">IFERROR(__xludf.DUMMYFUNCTION("""COMPUTED_VALUE"""),"U11654")</f>
        <v>U11654</v>
      </c>
      <c r="AK4" s="1" t="str">
        <f ca="1">IFERROR(__xludf.DUMMYFUNCTION("""COMPUTED_VALUE"""),"Marié(e)")</f>
        <v>Marié(e)</v>
      </c>
      <c r="AL4" s="1" t="str">
        <f ca="1">IFERROR(__xludf.DUMMYFUNCTION("""COMPUTED_VALUE"""),"Marié(e)")</f>
        <v>Marié(e)</v>
      </c>
      <c r="AM4" s="1" t="str">
        <f ca="1">IFERROR(__xludf.DUMMYFUNCTION("""COMPUTED_VALUE"""),"U11654")</f>
        <v>U11654</v>
      </c>
    </row>
    <row r="5" spans="1:39" ht="15.75" customHeight="1" x14ac:dyDescent="0.15">
      <c r="A5" s="1" t="str">
        <f ca="1">IFERROR(__xludf.DUMMYFUNCTION("""COMPUTED_VALUE"""),"ACHCAR Gérard")</f>
        <v>ACHCAR Gérard</v>
      </c>
      <c r="B5" s="1" t="str">
        <f ca="1">IFERROR(__xludf.DUMMYFUNCTION("""COMPUTED_VALUE"""),"ACHCAR")</f>
        <v>ACHCAR</v>
      </c>
      <c r="C5" s="1" t="str">
        <f ca="1">IFERROR(__xludf.DUMMYFUNCTION("""COMPUTED_VALUE"""),"Gérard")</f>
        <v>Gérard</v>
      </c>
      <c r="D5" s="1" t="str">
        <f ca="1">IFERROR(__xludf.DUMMYFUNCTION("""COMPUTED_VALUE"""),"11742S2436")</f>
        <v>11742S2436</v>
      </c>
      <c r="E5" s="2">
        <f ca="1">IFERROR(__xludf.DUMMYFUNCTION("""COMPUTED_VALUE"""),43808)</f>
        <v>43808</v>
      </c>
      <c r="F5" s="1" t="str">
        <f ca="1">IFERROR(__xludf.DUMMYFUNCTION("""COMPUTED_VALUE"""),"CP")</f>
        <v>CP</v>
      </c>
      <c r="G5" s="1" t="str">
        <f ca="1">IFERROR(__xludf.DUMMYFUNCTION("""COMPUTED_VALUE"""),"CP")</f>
        <v>CP</v>
      </c>
      <c r="H5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5" s="1"/>
      <c r="J5" s="1"/>
      <c r="K5" s="1"/>
      <c r="L5" s="1"/>
      <c r="M5" s="1"/>
      <c r="N5" s="1" t="str">
        <f ca="1">IFERROR(__xludf.DUMMYFUNCTION("""COMPUTED_VALUE"""),"Garçon")</f>
        <v>Garçon</v>
      </c>
      <c r="O5" s="1"/>
      <c r="P5" s="1" t="str">
        <f ca="1">IFERROR(__xludf.DUMMYFUNCTION("""COMPUTED_VALUE"""),"FRANCE")</f>
        <v>FRANCE</v>
      </c>
      <c r="Q5" s="1"/>
      <c r="R5" s="1"/>
      <c r="S5" s="1" t="str">
        <f ca="1">IFERROR(__xludf.DUMMYFUNCTION("""COMPUTED_VALUE"""),"+221")</f>
        <v>+221</v>
      </c>
      <c r="T5" s="1" t="str">
        <f ca="1">IFERROR(__xludf.DUMMYFUNCTION("""COMPUTED_VALUE"""),"ACHCAR Elsa")</f>
        <v>ACHCAR Elsa</v>
      </c>
      <c r="U5" s="1" t="str">
        <f ca="1">IFERROR(__xludf.DUMMYFUNCTION("""COMPUTED_VALUE"""),"ACHCAR Fabrice")</f>
        <v>ACHCAR Fabrice</v>
      </c>
      <c r="V5" s="1" t="str">
        <f ca="1">IFERROR(__xludf.DUMMYFUNCTION("""COMPUTED_VALUE"""),"elsakamouh@gmail.com")</f>
        <v>elsakamouh@gmail.com</v>
      </c>
      <c r="W5" s="1" t="str">
        <f ca="1">IFERROR(__xludf.DUMMYFUNCTION("""COMPUTED_VALUE"""),"achcarfabrice@hotmail.com")</f>
        <v>achcarfabrice@hotmail.com</v>
      </c>
      <c r="X5" s="1" t="str">
        <f ca="1">IFERROR(__xludf.DUMMYFUNCTION("""COMPUTED_VALUE"""),"+221 71 009 85 39")</f>
        <v>+221 71 009 85 39</v>
      </c>
      <c r="Y5" s="1" t="str">
        <f ca="1">IFERROR(__xludf.DUMMYFUNCTION("""COMPUTED_VALUE"""),"+221 78 918 80 60")</f>
        <v>+221 78 918 80 60</v>
      </c>
      <c r="Z5" s="1" t="str">
        <f ca="1">IFERROR(__xludf.DUMMYFUNCTION("""COMPUTED_VALUE"""),"+33 6 23 29 02 74")</f>
        <v>+33 6 23 29 02 74</v>
      </c>
      <c r="AA5" s="1" t="str">
        <f ca="1">IFERROR(__xludf.DUMMYFUNCTION("""COMPUTED_VALUE"""),"+223 66 75 38 68")</f>
        <v>+223 66 75 38 68</v>
      </c>
      <c r="AB5" s="2">
        <f ca="1">IFERROR(__xludf.DUMMYFUNCTION("""COMPUTED_VALUE"""),33024)</f>
        <v>33024</v>
      </c>
      <c r="AC5" s="2">
        <f ca="1">IFERROR(__xludf.DUMMYFUNCTION("""COMPUTED_VALUE"""),33022)</f>
        <v>33022</v>
      </c>
      <c r="AD5" s="1" t="str">
        <f ca="1">IFERROR(__xludf.DUMMYFUNCTION("""COMPUTED_VALUE"""),"MERE")</f>
        <v>MERE</v>
      </c>
      <c r="AE5" s="1" t="str">
        <f ca="1">IFERROR(__xludf.DUMMYFUNCTION("""COMPUTED_VALUE"""),"PERE")</f>
        <v>PERE</v>
      </c>
      <c r="AF5" s="1" t="str">
        <f ca="1">IFERROR(__xludf.DUMMYFUNCTION("""COMPUTED_VALUE"""),"FRANCE")</f>
        <v>FRANCE</v>
      </c>
      <c r="AG5" s="1" t="str">
        <f ca="1">IFERROR(__xludf.DUMMYFUNCTION("""COMPUTED_VALUE"""),"FRANCE")</f>
        <v>FRANCE</v>
      </c>
      <c r="AH5" s="1"/>
      <c r="AI5" s="1"/>
      <c r="AJ5" s="1" t="str">
        <f ca="1">IFERROR(__xludf.DUMMYFUNCTION("""COMPUTED_VALUE"""),"U11742")</f>
        <v>U11742</v>
      </c>
      <c r="AK5" s="1" t="str">
        <f ca="1">IFERROR(__xludf.DUMMYFUNCTION("""COMPUTED_VALUE"""),"Marié(e)")</f>
        <v>Marié(e)</v>
      </c>
      <c r="AL5" s="1" t="str">
        <f ca="1">IFERROR(__xludf.DUMMYFUNCTION("""COMPUTED_VALUE"""),"Marié(e)")</f>
        <v>Marié(e)</v>
      </c>
      <c r="AM5" s="1" t="str">
        <f ca="1">IFERROR(__xludf.DUMMYFUNCTION("""COMPUTED_VALUE"""),"U11742")</f>
        <v>U11742</v>
      </c>
    </row>
    <row r="6" spans="1:39" ht="15.75" customHeight="1" x14ac:dyDescent="0.15">
      <c r="A6" s="1" t="str">
        <f ca="1">IFERROR(__xludf.DUMMYFUNCTION("""COMPUTED_VALUE"""),"AGEE Luka")</f>
        <v>AGEE Luka</v>
      </c>
      <c r="B6" s="1" t="str">
        <f ca="1">IFERROR(__xludf.DUMMYFUNCTION("""COMPUTED_VALUE"""),"AGEE")</f>
        <v>AGEE</v>
      </c>
      <c r="C6" s="1" t="str">
        <f ca="1">IFERROR(__xludf.DUMMYFUNCTION("""COMPUTED_VALUE"""),"Luka")</f>
        <v>Luka</v>
      </c>
      <c r="D6" s="1" t="str">
        <f ca="1">IFERROR(__xludf.DUMMYFUNCTION("""COMPUTED_VALUE"""),"1116E1")</f>
        <v>1116E1</v>
      </c>
      <c r="E6" s="2">
        <f ca="1">IFERROR(__xludf.DUMMYFUNCTION("""COMPUTED_VALUE"""),43819)</f>
        <v>43819</v>
      </c>
      <c r="F6" s="1" t="str">
        <f ca="1">IFERROR(__xludf.DUMMYFUNCTION("""COMPUTED_VALUE"""),"CP")</f>
        <v>CP</v>
      </c>
      <c r="G6" s="1" t="str">
        <f ca="1">IFERROR(__xludf.DUMMYFUNCTION("""COMPUTED_VALUE"""),"CP")</f>
        <v>CP</v>
      </c>
      <c r="H6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6" s="1"/>
      <c r="J6" s="1"/>
      <c r="K6" s="1"/>
      <c r="L6" s="1"/>
      <c r="M6" s="1"/>
      <c r="N6" s="1" t="str">
        <f ca="1">IFERROR(__xludf.DUMMYFUNCTION("""COMPUTED_VALUE"""),"Garçon")</f>
        <v>Garçon</v>
      </c>
      <c r="O6" s="1"/>
      <c r="P6" s="1" t="str">
        <f ca="1">IFERROR(__xludf.DUMMYFUNCTION("""COMPUTED_VALUE"""),"FRANCE")</f>
        <v>FRANCE</v>
      </c>
      <c r="Q6" s="1" t="str">
        <f ca="1">IFERROR(__xludf.DUMMYFUNCTION("""COMPUTED_VALUE"""),"ETATS-UNIS")</f>
        <v>ETATS-UNIS</v>
      </c>
      <c r="R6" s="1"/>
      <c r="S6" s="1"/>
      <c r="T6" s="1" t="str">
        <f ca="1">IFERROR(__xludf.DUMMYFUNCTION("""COMPUTED_VALUE"""),"AGEE Céline")</f>
        <v>AGEE Céline</v>
      </c>
      <c r="U6" s="1" t="str">
        <f ca="1">IFERROR(__xludf.DUMMYFUNCTION("""COMPUTED_VALUE"""),"AGEE John")</f>
        <v>AGEE John</v>
      </c>
      <c r="V6" s="1" t="str">
        <f ca="1">IFERROR(__xludf.DUMMYFUNCTION("""COMPUTED_VALUE"""),"voyagee.fr@gmail.com")</f>
        <v>voyagee.fr@gmail.com</v>
      </c>
      <c r="W6" s="1" t="str">
        <f ca="1">IFERROR(__xludf.DUMMYFUNCTION("""COMPUTED_VALUE"""),"john@agee.us")</f>
        <v>john@agee.us</v>
      </c>
      <c r="X6" s="1" t="str">
        <f ca="1">IFERROR(__xludf.DUMMYFUNCTION("""COMPUTED_VALUE"""),"+221 77 690 01 41")</f>
        <v>+221 77 690 01 41</v>
      </c>
      <c r="Y6" s="1" t="str">
        <f ca="1">IFERROR(__xludf.DUMMYFUNCTION("""COMPUTED_VALUE"""),"77 114 76 25")</f>
        <v>77 114 76 25</v>
      </c>
      <c r="Z6" s="1" t="str">
        <f ca="1">IFERROR(__xludf.DUMMYFUNCTION("""COMPUTED_VALUE"""),"+221")</f>
        <v>+221</v>
      </c>
      <c r="AA6" s="1"/>
      <c r="AB6" s="2">
        <f ca="1">IFERROR(__xludf.DUMMYFUNCTION("""COMPUTED_VALUE"""),33754)</f>
        <v>33754</v>
      </c>
      <c r="AC6" s="2">
        <f ca="1">IFERROR(__xludf.DUMMYFUNCTION("""COMPUTED_VALUE"""),30463)</f>
        <v>30463</v>
      </c>
      <c r="AD6" s="1" t="str">
        <f ca="1">IFERROR(__xludf.DUMMYFUNCTION("""COMPUTED_VALUE"""),"MERE")</f>
        <v>MERE</v>
      </c>
      <c r="AE6" s="1" t="str">
        <f ca="1">IFERROR(__xludf.DUMMYFUNCTION("""COMPUTED_VALUE"""),"PERE")</f>
        <v>PERE</v>
      </c>
      <c r="AF6" s="1" t="str">
        <f ca="1">IFERROR(__xludf.DUMMYFUNCTION("""COMPUTED_VALUE"""),"FRANCE")</f>
        <v>FRANCE</v>
      </c>
      <c r="AG6" s="1" t="str">
        <f ca="1">IFERROR(__xludf.DUMMYFUNCTION("""COMPUTED_VALUE"""),"ETATS-UNIS")</f>
        <v>ETATS-UNIS</v>
      </c>
      <c r="AH6" s="1" t="str">
        <f ca="1">IFERROR(__xludf.DUMMYFUNCTION("""COMPUTED_VALUE"""),"ETATS-UNIS")</f>
        <v>ETATS-UNIS</v>
      </c>
      <c r="AI6" s="1"/>
      <c r="AJ6" s="1" t="str">
        <f ca="1">IFERROR(__xludf.DUMMYFUNCTION("""COMPUTED_VALUE"""),"F1116")</f>
        <v>F1116</v>
      </c>
      <c r="AK6" s="1" t="str">
        <f ca="1">IFERROR(__xludf.DUMMYFUNCTION("""COMPUTED_VALUE"""),"Marié(e)")</f>
        <v>Marié(e)</v>
      </c>
      <c r="AL6" s="1" t="str">
        <f ca="1">IFERROR(__xludf.DUMMYFUNCTION("""COMPUTED_VALUE"""),"Marié(e)")</f>
        <v>Marié(e)</v>
      </c>
      <c r="AM6" s="1" t="str">
        <f ca="1">IFERROR(__xludf.DUMMYFUNCTION("""COMPUTED_VALUE"""),"F1116")</f>
        <v>F1116</v>
      </c>
    </row>
    <row r="7" spans="1:39" ht="15.75" customHeight="1" x14ac:dyDescent="0.15">
      <c r="A7" s="1" t="str">
        <f ca="1">IFERROR(__xludf.DUMMYFUNCTION("""COMPUTED_VALUE"""),"AGUESSE Hugo")</f>
        <v>AGUESSE Hugo</v>
      </c>
      <c r="B7" s="1" t="str">
        <f ca="1">IFERROR(__xludf.DUMMYFUNCTION("""COMPUTED_VALUE"""),"AGUESSE")</f>
        <v>AGUESSE</v>
      </c>
      <c r="C7" s="1" t="str">
        <f ca="1">IFERROR(__xludf.DUMMYFUNCTION("""COMPUTED_VALUE"""),"Hugo")</f>
        <v>Hugo</v>
      </c>
      <c r="D7" s="1" t="str">
        <f ca="1">IFERROR(__xludf.DUMMYFUNCTION("""COMPUTED_VALUE"""),"11899S2784")</f>
        <v>11899S2784</v>
      </c>
      <c r="E7" s="2">
        <f ca="1">IFERROR(__xludf.DUMMYFUNCTION("""COMPUTED_VALUE"""),41526)</f>
        <v>41526</v>
      </c>
      <c r="F7" s="1" t="str">
        <f ca="1">IFERROR(__xludf.DUMMYFUNCTION("""COMPUTED_VALUE"""),"5EME2")</f>
        <v>5EME2</v>
      </c>
      <c r="G7" s="1" t="str">
        <f ca="1">IFERROR(__xludf.DUMMYFUNCTION("""COMPUTED_VALUE"""),"5ème")</f>
        <v>5ème</v>
      </c>
      <c r="H7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7" s="1" t="str">
        <f ca="1">IFERROR(__xludf.DUMMYFUNCTION("""COMPUTED_VALUE"""),"LVA Anglais")</f>
        <v>LVA Anglais</v>
      </c>
      <c r="J7" s="1" t="str">
        <f ca="1">IFERROR(__xludf.DUMMYFUNCTION("""COMPUTED_VALUE"""),"LVB Espagnol")</f>
        <v>LVB Espagnol</v>
      </c>
      <c r="K7" s="1"/>
      <c r="L7" s="1"/>
      <c r="M7" s="1"/>
      <c r="N7" s="1" t="str">
        <f ca="1">IFERROR(__xludf.DUMMYFUNCTION("""COMPUTED_VALUE"""),"Garçon")</f>
        <v>Garçon</v>
      </c>
      <c r="O7" s="1"/>
      <c r="P7" s="1" t="str">
        <f ca="1">IFERROR(__xludf.DUMMYFUNCTION("""COMPUTED_VALUE"""),"FRANCE")</f>
        <v>FRANCE</v>
      </c>
      <c r="Q7" s="1"/>
      <c r="R7" s="1" t="str">
        <f ca="1">IFERROR(__xludf.DUMMYFUNCTION("""COMPUTED_VALUE"""),"hugo.aguesse@lfjpsaly.org")</f>
        <v>hugo.aguesse@lfjpsaly.org</v>
      </c>
      <c r="S7" s="1" t="str">
        <f ca="1">IFERROR(__xludf.DUMMYFUNCTION("""COMPUTED_VALUE"""),"+221")</f>
        <v>+221</v>
      </c>
      <c r="T7" s="1" t="str">
        <f ca="1">IFERROR(__xludf.DUMMYFUNCTION("""COMPUTED_VALUE"""),"AGUESSE Ariane")</f>
        <v>AGUESSE Ariane</v>
      </c>
      <c r="U7" s="1" t="str">
        <f ca="1">IFERROR(__xludf.DUMMYFUNCTION("""COMPUTED_VALUE"""),"AGUESSE Nicolas")</f>
        <v>AGUESSE Nicolas</v>
      </c>
      <c r="V7" s="1" t="str">
        <f ca="1">IFERROR(__xludf.DUMMYFUNCTION("""COMPUTED_VALUE"""),"arianeve@hotmail.fr")</f>
        <v>arianeve@hotmail.fr</v>
      </c>
      <c r="W7" s="1" t="str">
        <f ca="1">IFERROR(__xludf.DUMMYFUNCTION("""COMPUTED_VALUE"""),"naguesse@hotmail.fr")</f>
        <v>naguesse@hotmail.fr</v>
      </c>
      <c r="X7" s="1" t="str">
        <f ca="1">IFERROR(__xludf.DUMMYFUNCTION("""COMPUTED_VALUE"""),"+221 78 384 53 22")</f>
        <v>+221 78 384 53 22</v>
      </c>
      <c r="Y7" s="1" t="str">
        <f ca="1">IFERROR(__xludf.DUMMYFUNCTION("""COMPUTED_VALUE"""),"+594 694 35 10 33")</f>
        <v>+594 694 35 10 33</v>
      </c>
      <c r="Z7" s="1" t="str">
        <f ca="1">IFERROR(__xludf.DUMMYFUNCTION("""COMPUTED_VALUE"""),"+221")</f>
        <v>+221</v>
      </c>
      <c r="AA7" s="1" t="str">
        <f ca="1">IFERROR(__xludf.DUMMYFUNCTION("""COMPUTED_VALUE"""),"+221")</f>
        <v>+221</v>
      </c>
      <c r="AB7" s="2">
        <f ca="1">IFERROR(__xludf.DUMMYFUNCTION("""COMPUTED_VALUE"""),27946)</f>
        <v>27946</v>
      </c>
      <c r="AC7" s="2">
        <f ca="1">IFERROR(__xludf.DUMMYFUNCTION("""COMPUTED_VALUE"""),29079)</f>
        <v>29079</v>
      </c>
      <c r="AD7" s="1" t="str">
        <f ca="1">IFERROR(__xludf.DUMMYFUNCTION("""COMPUTED_VALUE"""),"MERE")</f>
        <v>MERE</v>
      </c>
      <c r="AE7" s="1" t="str">
        <f ca="1">IFERROR(__xludf.DUMMYFUNCTION("""COMPUTED_VALUE"""),"PERE")</f>
        <v>PERE</v>
      </c>
      <c r="AF7" s="1" t="str">
        <f ca="1">IFERROR(__xludf.DUMMYFUNCTION("""COMPUTED_VALUE"""),"FRANCE")</f>
        <v>FRANCE</v>
      </c>
      <c r="AG7" s="1" t="str">
        <f ca="1">IFERROR(__xludf.DUMMYFUNCTION("""COMPUTED_VALUE"""),"FRANCE")</f>
        <v>FRANCE</v>
      </c>
      <c r="AH7" s="1"/>
      <c r="AI7" s="1"/>
      <c r="AJ7" s="1" t="str">
        <f ca="1">IFERROR(__xludf.DUMMYFUNCTION("""COMPUTED_VALUE"""),"U11899")</f>
        <v>U11899</v>
      </c>
      <c r="AK7" s="1" t="str">
        <f ca="1">IFERROR(__xludf.DUMMYFUNCTION("""COMPUTED_VALUE"""),"Marié(e)")</f>
        <v>Marié(e)</v>
      </c>
      <c r="AL7" s="1" t="str">
        <f ca="1">IFERROR(__xludf.DUMMYFUNCTION("""COMPUTED_VALUE"""),"Marié(e)")</f>
        <v>Marié(e)</v>
      </c>
      <c r="AM7" s="1" t="str">
        <f ca="1">IFERROR(__xludf.DUMMYFUNCTION("""COMPUTED_VALUE"""),"U11899")</f>
        <v>U11899</v>
      </c>
    </row>
    <row r="8" spans="1:39" ht="15.75" customHeight="1" x14ac:dyDescent="0.15">
      <c r="A8" s="1" t="str">
        <f ca="1">IFERROR(__xludf.DUMMYFUNCTION("""COMPUTED_VALUE"""),"AGUESSE Julie")</f>
        <v>AGUESSE Julie</v>
      </c>
      <c r="B8" s="1" t="str">
        <f ca="1">IFERROR(__xludf.DUMMYFUNCTION("""COMPUTED_VALUE"""),"AGUESSE")</f>
        <v>AGUESSE</v>
      </c>
      <c r="C8" s="1" t="str">
        <f ca="1">IFERROR(__xludf.DUMMYFUNCTION("""COMPUTED_VALUE"""),"Julie")</f>
        <v>Julie</v>
      </c>
      <c r="D8" s="1" t="str">
        <f ca="1">IFERROR(__xludf.DUMMYFUNCTION("""COMPUTED_VALUE"""),"11899S2783")</f>
        <v>11899S2783</v>
      </c>
      <c r="E8" s="2">
        <f ca="1">IFERROR(__xludf.DUMMYFUNCTION("""COMPUTED_VALUE"""),40128)</f>
        <v>40128</v>
      </c>
      <c r="F8" s="1" t="str">
        <f ca="1">IFERROR(__xludf.DUMMYFUNCTION("""COMPUTED_VALUE"""),"1ERE2")</f>
        <v>1ERE2</v>
      </c>
      <c r="G8" s="1" t="str">
        <f ca="1">IFERROR(__xludf.DUMMYFUNCTION("""COMPUTED_VALUE"""),"1ère")</f>
        <v>1ère</v>
      </c>
      <c r="H8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8" s="1" t="str">
        <f ca="1">IFERROR(__xludf.DUMMYFUNCTION("""COMPUTED_VALUE"""),"LVA Anglais")</f>
        <v>LVA Anglais</v>
      </c>
      <c r="J8" s="1" t="str">
        <f ca="1">IFERROR(__xludf.DUMMYFUNCTION("""COMPUTED_VALUE"""),"LVB Espagnol")</f>
        <v>LVB Espagnol</v>
      </c>
      <c r="K8" s="1"/>
      <c r="L8" s="1"/>
      <c r="M8" s="1" t="str">
        <f ca="1">IFERROR(__xludf.DUMMYFUNCTION("""COMPUTED_VALUE"""),"SPE MATHS, SPE SVT, SPE SPC")</f>
        <v>SPE MATHS, SPE SVT, SPE SPC</v>
      </c>
      <c r="N8" s="1" t="str">
        <f ca="1">IFERROR(__xludf.DUMMYFUNCTION("""COMPUTED_VALUE"""),"Fille")</f>
        <v>Fille</v>
      </c>
      <c r="O8" s="1"/>
      <c r="P8" s="1" t="str">
        <f ca="1">IFERROR(__xludf.DUMMYFUNCTION("""COMPUTED_VALUE"""),"FRANCE")</f>
        <v>FRANCE</v>
      </c>
      <c r="Q8" s="1"/>
      <c r="R8" s="1" t="str">
        <f ca="1">IFERROR(__xludf.DUMMYFUNCTION("""COMPUTED_VALUE"""),"julie.aguesse@lfjpsaly.org")</f>
        <v>julie.aguesse@lfjpsaly.org</v>
      </c>
      <c r="S8" s="1" t="str">
        <f ca="1">IFERROR(__xludf.DUMMYFUNCTION("""COMPUTED_VALUE"""),"+221")</f>
        <v>+221</v>
      </c>
      <c r="T8" s="1" t="str">
        <f ca="1">IFERROR(__xludf.DUMMYFUNCTION("""COMPUTED_VALUE"""),"AGUESSE Ariane")</f>
        <v>AGUESSE Ariane</v>
      </c>
      <c r="U8" s="1" t="str">
        <f ca="1">IFERROR(__xludf.DUMMYFUNCTION("""COMPUTED_VALUE"""),"AGUESSE Nicolas")</f>
        <v>AGUESSE Nicolas</v>
      </c>
      <c r="V8" s="1" t="str">
        <f ca="1">IFERROR(__xludf.DUMMYFUNCTION("""COMPUTED_VALUE"""),"arianeve@hotmail.fr")</f>
        <v>arianeve@hotmail.fr</v>
      </c>
      <c r="W8" s="1" t="str">
        <f ca="1">IFERROR(__xludf.DUMMYFUNCTION("""COMPUTED_VALUE"""),"naguesse@hotmail.fr")</f>
        <v>naguesse@hotmail.fr</v>
      </c>
      <c r="X8" s="1" t="str">
        <f ca="1">IFERROR(__xludf.DUMMYFUNCTION("""COMPUTED_VALUE"""),"+221 78 384 53 22")</f>
        <v>+221 78 384 53 22</v>
      </c>
      <c r="Y8" s="1" t="str">
        <f ca="1">IFERROR(__xludf.DUMMYFUNCTION("""COMPUTED_VALUE"""),"+594 694 35 10 33")</f>
        <v>+594 694 35 10 33</v>
      </c>
      <c r="Z8" s="1" t="str">
        <f ca="1">IFERROR(__xludf.DUMMYFUNCTION("""COMPUTED_VALUE"""),"+221")</f>
        <v>+221</v>
      </c>
      <c r="AA8" s="1" t="str">
        <f ca="1">IFERROR(__xludf.DUMMYFUNCTION("""COMPUTED_VALUE"""),"+221")</f>
        <v>+221</v>
      </c>
      <c r="AB8" s="2">
        <f ca="1">IFERROR(__xludf.DUMMYFUNCTION("""COMPUTED_VALUE"""),27946)</f>
        <v>27946</v>
      </c>
      <c r="AC8" s="2">
        <f ca="1">IFERROR(__xludf.DUMMYFUNCTION("""COMPUTED_VALUE"""),29079)</f>
        <v>29079</v>
      </c>
      <c r="AD8" s="1" t="str">
        <f ca="1">IFERROR(__xludf.DUMMYFUNCTION("""COMPUTED_VALUE"""),"MERE")</f>
        <v>MERE</v>
      </c>
      <c r="AE8" s="1" t="str">
        <f ca="1">IFERROR(__xludf.DUMMYFUNCTION("""COMPUTED_VALUE"""),"PERE")</f>
        <v>PERE</v>
      </c>
      <c r="AF8" s="1" t="str">
        <f ca="1">IFERROR(__xludf.DUMMYFUNCTION("""COMPUTED_VALUE"""),"FRANCE")</f>
        <v>FRANCE</v>
      </c>
      <c r="AG8" s="1" t="str">
        <f ca="1">IFERROR(__xludf.DUMMYFUNCTION("""COMPUTED_VALUE"""),"FRANCE")</f>
        <v>FRANCE</v>
      </c>
      <c r="AH8" s="1"/>
      <c r="AI8" s="1"/>
      <c r="AJ8" s="1" t="str">
        <f ca="1">IFERROR(__xludf.DUMMYFUNCTION("""COMPUTED_VALUE"""),"U11899")</f>
        <v>U11899</v>
      </c>
      <c r="AK8" s="1" t="str">
        <f ca="1">IFERROR(__xludf.DUMMYFUNCTION("""COMPUTED_VALUE"""),"Marié(e)")</f>
        <v>Marié(e)</v>
      </c>
      <c r="AL8" s="1" t="str">
        <f ca="1">IFERROR(__xludf.DUMMYFUNCTION("""COMPUTED_VALUE"""),"Marié(e)")</f>
        <v>Marié(e)</v>
      </c>
      <c r="AM8" s="1" t="str">
        <f ca="1">IFERROR(__xludf.DUMMYFUNCTION("""COMPUTED_VALUE"""),"U11899")</f>
        <v>U11899</v>
      </c>
    </row>
    <row r="9" spans="1:39" ht="15.75" customHeight="1" x14ac:dyDescent="0.15">
      <c r="A9" s="1" t="str">
        <f ca="1">IFERROR(__xludf.DUMMYFUNCTION("""COMPUTED_VALUE"""),"ALLIER Faustine")</f>
        <v>ALLIER Faustine</v>
      </c>
      <c r="B9" s="1" t="str">
        <f ca="1">IFERROR(__xludf.DUMMYFUNCTION("""COMPUTED_VALUE"""),"ALLIER")</f>
        <v>ALLIER</v>
      </c>
      <c r="C9" s="1" t="str">
        <f ca="1">IFERROR(__xludf.DUMMYFUNCTION("""COMPUTED_VALUE"""),"Faustine")</f>
        <v>Faustine</v>
      </c>
      <c r="D9" s="1" t="str">
        <f ca="1">IFERROR(__xludf.DUMMYFUNCTION("""COMPUTED_VALUE"""),"1119E1")</f>
        <v>1119E1</v>
      </c>
      <c r="E9" s="2">
        <f ca="1">IFERROR(__xludf.DUMMYFUNCTION("""COMPUTED_VALUE"""),39948)</f>
        <v>39948</v>
      </c>
      <c r="F9" s="1" t="str">
        <f ca="1">IFERROR(__xludf.DUMMYFUNCTION("""COMPUTED_VALUE"""),"1ERE1")</f>
        <v>1ERE1</v>
      </c>
      <c r="G9" s="1" t="str">
        <f ca="1">IFERROR(__xludf.DUMMYFUNCTION("""COMPUTED_VALUE"""),"1ère")</f>
        <v>1ère</v>
      </c>
      <c r="H9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9" s="1" t="str">
        <f ca="1">IFERROR(__xludf.DUMMYFUNCTION("""COMPUTED_VALUE"""),"LVA Anglais")</f>
        <v>LVA Anglais</v>
      </c>
      <c r="J9" s="1" t="str">
        <f ca="1">IFERROR(__xludf.DUMMYFUNCTION("""COMPUTED_VALUE"""),"LVB Espagnol")</f>
        <v>LVB Espagnol</v>
      </c>
      <c r="K9" s="1"/>
      <c r="L9" s="1"/>
      <c r="M9" s="1" t="str">
        <f ca="1">IFERROR(__xludf.DUMMYFUNCTION("""COMPUTED_VALUE"""),"SPE HGGSP, SPE MATHS, SPE SES")</f>
        <v>SPE HGGSP, SPE MATHS, SPE SES</v>
      </c>
      <c r="N9" s="1" t="str">
        <f ca="1">IFERROR(__xludf.DUMMYFUNCTION("""COMPUTED_VALUE"""),"Fille")</f>
        <v>Fille</v>
      </c>
      <c r="O9" s="1"/>
      <c r="P9" s="1" t="str">
        <f ca="1">IFERROR(__xludf.DUMMYFUNCTION("""COMPUTED_VALUE"""),"FRANCE")</f>
        <v>FRANCE</v>
      </c>
      <c r="Q9" s="1"/>
      <c r="R9" s="1" t="str">
        <f ca="1">IFERROR(__xludf.DUMMYFUNCTION("""COMPUTED_VALUE"""),"faustine.allier@lfjpsaly.org")</f>
        <v>faustine.allier@lfjpsaly.org</v>
      </c>
      <c r="S9" s="1" t="str">
        <f ca="1">IFERROR(__xludf.DUMMYFUNCTION("""COMPUTED_VALUE"""),"+221 78 185 36 17")</f>
        <v>+221 78 185 36 17</v>
      </c>
      <c r="T9" s="1" t="str">
        <f ca="1">IFERROR(__xludf.DUMMYFUNCTION("""COMPUTED_VALUE"""),"VALLET Margaret")</f>
        <v>VALLET Margaret</v>
      </c>
      <c r="U9" s="1" t="str">
        <f ca="1">IFERROR(__xludf.DUMMYFUNCTION("""COMPUTED_VALUE"""),"ALLIER Pascal")</f>
        <v>ALLIER Pascal</v>
      </c>
      <c r="V9" s="1" t="str">
        <f ca="1">IFERROR(__xludf.DUMMYFUNCTION("""COMPUTED_VALUE"""),"margaux@adjanaresort.com")</f>
        <v>margaux@adjanaresort.com</v>
      </c>
      <c r="W9" s="1" t="str">
        <f ca="1">IFERROR(__xludf.DUMMYFUNCTION("""COMPUTED_VALUE"""),"pascal.allier@free.fr")</f>
        <v>pascal.allier@free.fr</v>
      </c>
      <c r="X9" s="1" t="str">
        <f ca="1">IFERROR(__xludf.DUMMYFUNCTION("""COMPUTED_VALUE"""),"+221 78 185 36 17")</f>
        <v>+221 78 185 36 17</v>
      </c>
      <c r="Y9" s="1" t="str">
        <f ca="1">IFERROR(__xludf.DUMMYFUNCTION("""COMPUTED_VALUE"""),"+33 6 17 92 68 90")</f>
        <v>+33 6 17 92 68 90</v>
      </c>
      <c r="Z9" s="1" t="str">
        <f ca="1">IFERROR(__xludf.DUMMYFUNCTION("""COMPUTED_VALUE"""),"+221 78 185 36 17")</f>
        <v>+221 78 185 36 17</v>
      </c>
      <c r="AA9" s="1" t="str">
        <f ca="1">IFERROR(__xludf.DUMMYFUNCTION("""COMPUTED_VALUE"""),"+221")</f>
        <v>+221</v>
      </c>
      <c r="AB9" s="2">
        <f ca="1">IFERROR(__xludf.DUMMYFUNCTION("""COMPUTED_VALUE"""),27515)</f>
        <v>27515</v>
      </c>
      <c r="AC9" s="2">
        <f ca="1">IFERROR(__xludf.DUMMYFUNCTION("""COMPUTED_VALUE"""),46267)</f>
        <v>46267</v>
      </c>
      <c r="AD9" s="1" t="str">
        <f ca="1">IFERROR(__xludf.DUMMYFUNCTION("""COMPUTED_VALUE"""),"MERE")</f>
        <v>MERE</v>
      </c>
      <c r="AE9" s="1" t="str">
        <f ca="1">IFERROR(__xludf.DUMMYFUNCTION("""COMPUTED_VALUE"""),"PERE")</f>
        <v>PERE</v>
      </c>
      <c r="AF9" s="1" t="str">
        <f ca="1">IFERROR(__xludf.DUMMYFUNCTION("""COMPUTED_VALUE"""),"FRANCE")</f>
        <v>FRANCE</v>
      </c>
      <c r="AG9" s="1" t="str">
        <f ca="1">IFERROR(__xludf.DUMMYFUNCTION("""COMPUTED_VALUE"""),"FRANCE")</f>
        <v>FRANCE</v>
      </c>
      <c r="AH9" s="1"/>
      <c r="AI9" s="1"/>
      <c r="AJ9" s="1" t="str">
        <f ca="1">IFERROR(__xludf.DUMMYFUNCTION("""COMPUTED_VALUE"""),"F1119")</f>
        <v>F1119</v>
      </c>
      <c r="AK9" s="1" t="str">
        <f ca="1">IFERROR(__xludf.DUMMYFUNCTION("""COMPUTED_VALUE"""),"Célibataire")</f>
        <v>Célibataire</v>
      </c>
      <c r="AL9" s="1" t="str">
        <f ca="1">IFERROR(__xludf.DUMMYFUNCTION("""COMPUTED_VALUE"""),"Célibataire")</f>
        <v>Célibataire</v>
      </c>
      <c r="AM9" s="1" t="str">
        <f ca="1">IFERROR(__xludf.DUMMYFUNCTION("""COMPUTED_VALUE"""),"F1119")</f>
        <v>F1119</v>
      </c>
    </row>
    <row r="10" spans="1:39" ht="15.75" customHeight="1" x14ac:dyDescent="0.15">
      <c r="A10" s="1" t="str">
        <f ca="1">IFERROR(__xludf.DUMMYFUNCTION("""COMPUTED_VALUE"""),"AMADOU SALL Daha-Ibrahim")</f>
        <v>AMADOU SALL Daha-Ibrahim</v>
      </c>
      <c r="B10" s="1" t="str">
        <f ca="1">IFERROR(__xludf.DUMMYFUNCTION("""COMPUTED_VALUE"""),"AMADOU SALL")</f>
        <v>AMADOU SALL</v>
      </c>
      <c r="C10" s="1" t="str">
        <f ca="1">IFERROR(__xludf.DUMMYFUNCTION("""COMPUTED_VALUE"""),"Daha-Ibrahim")</f>
        <v>Daha-Ibrahim</v>
      </c>
      <c r="D10" s="1" t="str">
        <f ca="1">IFERROR(__xludf.DUMMYFUNCTION("""COMPUTED_VALUE"""),"1120E4")</f>
        <v>1120E4</v>
      </c>
      <c r="E10" s="2">
        <f ca="1">IFERROR(__xludf.DUMMYFUNCTION("""COMPUTED_VALUE"""),44647)</f>
        <v>44647</v>
      </c>
      <c r="F10" s="1" t="str">
        <f ca="1">IFERROR(__xludf.DUMMYFUNCTION("""COMPUTED_VALUE"""),"Mat 1")</f>
        <v>Mat 1</v>
      </c>
      <c r="G10" s="1" t="str">
        <f ca="1">IFERROR(__xludf.DUMMYFUNCTION("""COMPUTED_VALUE"""),"PS")</f>
        <v>PS</v>
      </c>
      <c r="H10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10" s="1"/>
      <c r="J10" s="1"/>
      <c r="K10" s="1"/>
      <c r="L10" s="1"/>
      <c r="M10" s="1"/>
      <c r="N10" s="1" t="str">
        <f ca="1">IFERROR(__xludf.DUMMYFUNCTION("""COMPUTED_VALUE"""),"Garçon")</f>
        <v>Garçon</v>
      </c>
      <c r="O10" s="1"/>
      <c r="P10" s="1" t="str">
        <f ca="1">IFERROR(__xludf.DUMMYFUNCTION("""COMPUTED_VALUE"""),"FRANCE")</f>
        <v>FRANCE</v>
      </c>
      <c r="Q10" s="1"/>
      <c r="R10" s="1"/>
      <c r="S10" s="1" t="str">
        <f ca="1">IFERROR(__xludf.DUMMYFUNCTION("""COMPUTED_VALUE"""),"+221")</f>
        <v>+221</v>
      </c>
      <c r="T10" s="1" t="str">
        <f ca="1">IFERROR(__xludf.DUMMYFUNCTION("""COMPUTED_VALUE"""),"SALL Coudy")</f>
        <v>SALL Coudy</v>
      </c>
      <c r="U10" s="1" t="str">
        <f ca="1">IFERROR(__xludf.DUMMYFUNCTION("""COMPUTED_VALUE"""),"AMADOU Arouna")</f>
        <v>AMADOU Arouna</v>
      </c>
      <c r="V10" s="1" t="str">
        <f ca="1">IFERROR(__xludf.DUMMYFUNCTION("""COMPUTED_VALUE"""),"csall27@outlook.fr")</f>
        <v>csall27@outlook.fr</v>
      </c>
      <c r="W10" s="1" t="str">
        <f ca="1">IFERROR(__xludf.DUMMYFUNCTION("""COMPUTED_VALUE"""),"arounadaha78@gmail.com")</f>
        <v>arounadaha78@gmail.com</v>
      </c>
      <c r="X10" s="1" t="str">
        <f ca="1">IFERROR(__xludf.DUMMYFUNCTION("""COMPUTED_VALUE"""),"+33 1 30 94 18 70")</f>
        <v>+33 1 30 94 18 70</v>
      </c>
      <c r="Y10" s="1" t="str">
        <f ca="1">IFERROR(__xludf.DUMMYFUNCTION("""COMPUTED_VALUE"""),"+33 6 60 25 55 96")</f>
        <v>+33 6 60 25 55 96</v>
      </c>
      <c r="Z10" s="1" t="str">
        <f ca="1">IFERROR(__xludf.DUMMYFUNCTION("""COMPUTED_VALUE"""),"+221 78 125 11 41")</f>
        <v>+221 78 125 11 41</v>
      </c>
      <c r="AA10" s="1" t="str">
        <f ca="1">IFERROR(__xludf.DUMMYFUNCTION("""COMPUTED_VALUE"""),"+221 78 125 11 41")</f>
        <v>+221 78 125 11 41</v>
      </c>
      <c r="AB10" s="2">
        <f ca="1">IFERROR(__xludf.DUMMYFUNCTION("""COMPUTED_VALUE"""),32321)</f>
        <v>32321</v>
      </c>
      <c r="AC10" s="2">
        <f ca="1">IFERROR(__xludf.DUMMYFUNCTION("""COMPUTED_VALUE"""),31815)</f>
        <v>31815</v>
      </c>
      <c r="AD10" s="1" t="str">
        <f ca="1">IFERROR(__xludf.DUMMYFUNCTION("""COMPUTED_VALUE"""),"MERE")</f>
        <v>MERE</v>
      </c>
      <c r="AE10" s="1" t="str">
        <f ca="1">IFERROR(__xludf.DUMMYFUNCTION("""COMPUTED_VALUE"""),"PERE")</f>
        <v>PERE</v>
      </c>
      <c r="AF10" s="1" t="str">
        <f ca="1">IFERROR(__xludf.DUMMYFUNCTION("""COMPUTED_VALUE"""),"FRANCE")</f>
        <v>FRANCE</v>
      </c>
      <c r="AG10" s="1" t="str">
        <f ca="1">IFERROR(__xludf.DUMMYFUNCTION("""COMPUTED_VALUE"""),"FRANCE")</f>
        <v>FRANCE</v>
      </c>
      <c r="AH10" s="1" t="str">
        <f ca="1">IFERROR(__xludf.DUMMYFUNCTION("""COMPUTED_VALUE"""),"SENEGAL")</f>
        <v>SENEGAL</v>
      </c>
      <c r="AI10" s="1" t="str">
        <f ca="1">IFERROR(__xludf.DUMMYFUNCTION("""COMPUTED_VALUE"""),"SENEGAL")</f>
        <v>SENEGAL</v>
      </c>
      <c r="AJ10" s="1" t="str">
        <f ca="1">IFERROR(__xludf.DUMMYFUNCTION("""COMPUTED_VALUE"""),"F1120")</f>
        <v>F1120</v>
      </c>
      <c r="AK10" s="1" t="str">
        <f ca="1">IFERROR(__xludf.DUMMYFUNCTION("""COMPUTED_VALUE"""),"CONCUBINAGE")</f>
        <v>CONCUBINAGE</v>
      </c>
      <c r="AL10" s="1" t="str">
        <f ca="1">IFERROR(__xludf.DUMMYFUNCTION("""COMPUTED_VALUE"""),"CONCUBINAGE")</f>
        <v>CONCUBINAGE</v>
      </c>
      <c r="AM10" s="1" t="str">
        <f ca="1">IFERROR(__xludf.DUMMYFUNCTION("""COMPUTED_VALUE"""),"F1120")</f>
        <v>F1120</v>
      </c>
    </row>
    <row r="11" spans="1:39" ht="15.75" customHeight="1" x14ac:dyDescent="0.15">
      <c r="A11" s="1" t="str">
        <f ca="1">IFERROR(__xludf.DUMMYFUNCTION("""COMPUTED_VALUE"""),"AMADOU-SALL Fatyma")</f>
        <v>AMADOU-SALL Fatyma</v>
      </c>
      <c r="B11" s="1" t="str">
        <f ca="1">IFERROR(__xludf.DUMMYFUNCTION("""COMPUTED_VALUE"""),"AMADOU-SALL")</f>
        <v>AMADOU-SALL</v>
      </c>
      <c r="C11" s="1" t="str">
        <f ca="1">IFERROR(__xludf.DUMMYFUNCTION("""COMPUTED_VALUE"""),"Fatyma")</f>
        <v>Fatyma</v>
      </c>
      <c r="D11" s="1" t="str">
        <f ca="1">IFERROR(__xludf.DUMMYFUNCTION("""COMPUTED_VALUE"""),"1120E1")</f>
        <v>1120E1</v>
      </c>
      <c r="E11" s="2">
        <f ca="1">IFERROR(__xludf.DUMMYFUNCTION("""COMPUTED_VALUE"""),41716)</f>
        <v>41716</v>
      </c>
      <c r="F11" s="1" t="str">
        <f ca="1">IFERROR(__xludf.DUMMYFUNCTION("""COMPUTED_VALUE"""),"6EME1")</f>
        <v>6EME1</v>
      </c>
      <c r="G11" s="1" t="str">
        <f ca="1">IFERROR(__xludf.DUMMYFUNCTION("""COMPUTED_VALUE"""),"6ème")</f>
        <v>6ème</v>
      </c>
      <c r="H11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11" s="1" t="str">
        <f ca="1">IFERROR(__xludf.DUMMYFUNCTION("""COMPUTED_VALUE"""),"LVA Anglais")</f>
        <v>LVA Anglais</v>
      </c>
      <c r="J11" s="1" t="str">
        <f ca="1">IFERROR(__xludf.DUMMYFUNCTION("""COMPUTED_VALUE"""),"LVB Espagnol")</f>
        <v>LVB Espagnol</v>
      </c>
      <c r="K11" s="1"/>
      <c r="L11" s="1"/>
      <c r="M11" s="1"/>
      <c r="N11" s="1" t="str">
        <f ca="1">IFERROR(__xludf.DUMMYFUNCTION("""COMPUTED_VALUE"""),"Fille")</f>
        <v>Fille</v>
      </c>
      <c r="O11" s="1"/>
      <c r="P11" s="1" t="str">
        <f ca="1">IFERROR(__xludf.DUMMYFUNCTION("""COMPUTED_VALUE"""),"FRANCE")</f>
        <v>FRANCE</v>
      </c>
      <c r="Q11" s="1"/>
      <c r="R11" s="1" t="str">
        <f ca="1">IFERROR(__xludf.DUMMYFUNCTION("""COMPUTED_VALUE"""),"fatyma.amadou-sall@lfjpsaly.org")</f>
        <v>fatyma.amadou-sall@lfjpsaly.org</v>
      </c>
      <c r="S11" s="1"/>
      <c r="T11" s="1" t="str">
        <f ca="1">IFERROR(__xludf.DUMMYFUNCTION("""COMPUTED_VALUE"""),"SALL Coudy")</f>
        <v>SALL Coudy</v>
      </c>
      <c r="U11" s="1" t="str">
        <f ca="1">IFERROR(__xludf.DUMMYFUNCTION("""COMPUTED_VALUE"""),"AMADOU Arouna")</f>
        <v>AMADOU Arouna</v>
      </c>
      <c r="V11" s="1" t="str">
        <f ca="1">IFERROR(__xludf.DUMMYFUNCTION("""COMPUTED_VALUE"""),"csall27@outlook.fr")</f>
        <v>csall27@outlook.fr</v>
      </c>
      <c r="W11" s="1" t="str">
        <f ca="1">IFERROR(__xludf.DUMMYFUNCTION("""COMPUTED_VALUE"""),"arounadaha78@gmail.com")</f>
        <v>arounadaha78@gmail.com</v>
      </c>
      <c r="X11" s="1" t="str">
        <f ca="1">IFERROR(__xludf.DUMMYFUNCTION("""COMPUTED_VALUE"""),"+33 1 30 94 18 70")</f>
        <v>+33 1 30 94 18 70</v>
      </c>
      <c r="Y11" s="1" t="str">
        <f ca="1">IFERROR(__xludf.DUMMYFUNCTION("""COMPUTED_VALUE"""),"+33 6 60 25 55 96")</f>
        <v>+33 6 60 25 55 96</v>
      </c>
      <c r="Z11" s="1" t="str">
        <f ca="1">IFERROR(__xludf.DUMMYFUNCTION("""COMPUTED_VALUE"""),"+221 78 125 11 41")</f>
        <v>+221 78 125 11 41</v>
      </c>
      <c r="AA11" s="1" t="str">
        <f ca="1">IFERROR(__xludf.DUMMYFUNCTION("""COMPUTED_VALUE"""),"+221 78 125 11 41")</f>
        <v>+221 78 125 11 41</v>
      </c>
      <c r="AB11" s="2">
        <f ca="1">IFERROR(__xludf.DUMMYFUNCTION("""COMPUTED_VALUE"""),32321)</f>
        <v>32321</v>
      </c>
      <c r="AC11" s="2">
        <f ca="1">IFERROR(__xludf.DUMMYFUNCTION("""COMPUTED_VALUE"""),31815)</f>
        <v>31815</v>
      </c>
      <c r="AD11" s="1" t="str">
        <f ca="1">IFERROR(__xludf.DUMMYFUNCTION("""COMPUTED_VALUE"""),"MERE")</f>
        <v>MERE</v>
      </c>
      <c r="AE11" s="1" t="str">
        <f ca="1">IFERROR(__xludf.DUMMYFUNCTION("""COMPUTED_VALUE"""),"PERE")</f>
        <v>PERE</v>
      </c>
      <c r="AF11" s="1" t="str">
        <f ca="1">IFERROR(__xludf.DUMMYFUNCTION("""COMPUTED_VALUE"""),"FRANCE")</f>
        <v>FRANCE</v>
      </c>
      <c r="AG11" s="1" t="str">
        <f ca="1">IFERROR(__xludf.DUMMYFUNCTION("""COMPUTED_VALUE"""),"FRANCE")</f>
        <v>FRANCE</v>
      </c>
      <c r="AH11" s="1" t="str">
        <f ca="1">IFERROR(__xludf.DUMMYFUNCTION("""COMPUTED_VALUE"""),"SENEGAL")</f>
        <v>SENEGAL</v>
      </c>
      <c r="AI11" s="1" t="str">
        <f ca="1">IFERROR(__xludf.DUMMYFUNCTION("""COMPUTED_VALUE"""),"SENEGAL")</f>
        <v>SENEGAL</v>
      </c>
      <c r="AJ11" s="1" t="str">
        <f ca="1">IFERROR(__xludf.DUMMYFUNCTION("""COMPUTED_VALUE"""),"F1120")</f>
        <v>F1120</v>
      </c>
      <c r="AK11" s="1" t="str">
        <f ca="1">IFERROR(__xludf.DUMMYFUNCTION("""COMPUTED_VALUE"""),"CONCUBINAGE")</f>
        <v>CONCUBINAGE</v>
      </c>
      <c r="AL11" s="1" t="str">
        <f ca="1">IFERROR(__xludf.DUMMYFUNCTION("""COMPUTED_VALUE"""),"CONCUBINAGE")</f>
        <v>CONCUBINAGE</v>
      </c>
      <c r="AM11" s="1" t="str">
        <f ca="1">IFERROR(__xludf.DUMMYFUNCTION("""COMPUTED_VALUE"""),"F1120")</f>
        <v>F1120</v>
      </c>
    </row>
    <row r="12" spans="1:39" ht="15.75" customHeight="1" x14ac:dyDescent="0.15">
      <c r="A12" s="1" t="str">
        <f ca="1">IFERROR(__xludf.DUMMYFUNCTION("""COMPUTED_VALUE"""),"AMADOU-SALL Moussa")</f>
        <v>AMADOU-SALL Moussa</v>
      </c>
      <c r="B12" s="1" t="str">
        <f ca="1">IFERROR(__xludf.DUMMYFUNCTION("""COMPUTED_VALUE"""),"AMADOU-SALL")</f>
        <v>AMADOU-SALL</v>
      </c>
      <c r="C12" s="1" t="str">
        <f ca="1">IFERROR(__xludf.DUMMYFUNCTION("""COMPUTED_VALUE"""),"Moussa")</f>
        <v>Moussa</v>
      </c>
      <c r="D12" s="1" t="str">
        <f ca="1">IFERROR(__xludf.DUMMYFUNCTION("""COMPUTED_VALUE"""),"1120E2")</f>
        <v>1120E2</v>
      </c>
      <c r="E12" s="2">
        <f ca="1">IFERROR(__xludf.DUMMYFUNCTION("""COMPUTED_VALUE"""),41021)</f>
        <v>41021</v>
      </c>
      <c r="F12" s="1" t="str">
        <f ca="1">IFERROR(__xludf.DUMMYFUNCTION("""COMPUTED_VALUE"""),"4EME1")</f>
        <v>4EME1</v>
      </c>
      <c r="G12" s="1" t="str">
        <f ca="1">IFERROR(__xludf.DUMMYFUNCTION("""COMPUTED_VALUE"""),"4ème")</f>
        <v>4ème</v>
      </c>
      <c r="H12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12" s="1" t="str">
        <f ca="1">IFERROR(__xludf.DUMMYFUNCTION("""COMPUTED_VALUE"""),"LVA Anglais")</f>
        <v>LVA Anglais</v>
      </c>
      <c r="J12" s="1" t="str">
        <f ca="1">IFERROR(__xludf.DUMMYFUNCTION("""COMPUTED_VALUE"""),"LVB Espagnol")</f>
        <v>LVB Espagnol</v>
      </c>
      <c r="K12" s="1"/>
      <c r="L12" s="1"/>
      <c r="M12" s="1"/>
      <c r="N12" s="1" t="str">
        <f ca="1">IFERROR(__xludf.DUMMYFUNCTION("""COMPUTED_VALUE"""),"Garçon")</f>
        <v>Garçon</v>
      </c>
      <c r="O12" s="1"/>
      <c r="P12" s="1" t="str">
        <f ca="1">IFERROR(__xludf.DUMMYFUNCTION("""COMPUTED_VALUE"""),"FRANCE")</f>
        <v>FRANCE</v>
      </c>
      <c r="Q12" s="1"/>
      <c r="R12" s="1" t="str">
        <f ca="1">IFERROR(__xludf.DUMMYFUNCTION("""COMPUTED_VALUE"""),"moussa.amadou-sall@lfjpsaly.org")</f>
        <v>moussa.amadou-sall@lfjpsaly.org</v>
      </c>
      <c r="S12" s="1"/>
      <c r="T12" s="1" t="str">
        <f ca="1">IFERROR(__xludf.DUMMYFUNCTION("""COMPUTED_VALUE"""),"AMADOU Arouna")</f>
        <v>AMADOU Arouna</v>
      </c>
      <c r="U12" s="1" t="str">
        <f ca="1">IFERROR(__xludf.DUMMYFUNCTION("""COMPUTED_VALUE"""),"SALL Coudy")</f>
        <v>SALL Coudy</v>
      </c>
      <c r="V12" s="1" t="str">
        <f ca="1">IFERROR(__xludf.DUMMYFUNCTION("""COMPUTED_VALUE"""),"arounadaha78@gmail.com")</f>
        <v>arounadaha78@gmail.com</v>
      </c>
      <c r="W12" s="1" t="str">
        <f ca="1">IFERROR(__xludf.DUMMYFUNCTION("""COMPUTED_VALUE"""),"csall27@outlook.fr")</f>
        <v>csall27@outlook.fr</v>
      </c>
      <c r="X12" s="1" t="str">
        <f ca="1">IFERROR(__xludf.DUMMYFUNCTION("""COMPUTED_VALUE"""),"+33 6 60 25 55 96")</f>
        <v>+33 6 60 25 55 96</v>
      </c>
      <c r="Y12" s="1" t="str">
        <f ca="1">IFERROR(__xludf.DUMMYFUNCTION("""COMPUTED_VALUE"""),"+33 1 30 94 18 70")</f>
        <v>+33 1 30 94 18 70</v>
      </c>
      <c r="Z12" s="1" t="str">
        <f ca="1">IFERROR(__xludf.DUMMYFUNCTION("""COMPUTED_VALUE"""),"+221 78 125 11 41")</f>
        <v>+221 78 125 11 41</v>
      </c>
      <c r="AA12" s="1" t="str">
        <f ca="1">IFERROR(__xludf.DUMMYFUNCTION("""COMPUTED_VALUE"""),"+221 78 125 11 41")</f>
        <v>+221 78 125 11 41</v>
      </c>
      <c r="AB12" s="2">
        <f ca="1">IFERROR(__xludf.DUMMYFUNCTION("""COMPUTED_VALUE"""),31815)</f>
        <v>31815</v>
      </c>
      <c r="AC12" s="2">
        <f ca="1">IFERROR(__xludf.DUMMYFUNCTION("""COMPUTED_VALUE"""),32321)</f>
        <v>32321</v>
      </c>
      <c r="AD12" s="1" t="str">
        <f ca="1">IFERROR(__xludf.DUMMYFUNCTION("""COMPUTED_VALUE"""),"PERE")</f>
        <v>PERE</v>
      </c>
      <c r="AE12" s="1" t="str">
        <f ca="1">IFERROR(__xludf.DUMMYFUNCTION("""COMPUTED_VALUE"""),"MERE")</f>
        <v>MERE</v>
      </c>
      <c r="AF12" s="1" t="str">
        <f ca="1">IFERROR(__xludf.DUMMYFUNCTION("""COMPUTED_VALUE"""),"FRANCE")</f>
        <v>FRANCE</v>
      </c>
      <c r="AG12" s="1" t="str">
        <f ca="1">IFERROR(__xludf.DUMMYFUNCTION("""COMPUTED_VALUE"""),"FRANCE")</f>
        <v>FRANCE</v>
      </c>
      <c r="AH12" s="1" t="str">
        <f ca="1">IFERROR(__xludf.DUMMYFUNCTION("""COMPUTED_VALUE"""),"SENEGAL")</f>
        <v>SENEGAL</v>
      </c>
      <c r="AI12" s="1" t="str">
        <f ca="1">IFERROR(__xludf.DUMMYFUNCTION("""COMPUTED_VALUE"""),"SENEGAL")</f>
        <v>SENEGAL</v>
      </c>
      <c r="AJ12" s="1" t="str">
        <f ca="1">IFERROR(__xludf.DUMMYFUNCTION("""COMPUTED_VALUE"""),"F1120")</f>
        <v>F1120</v>
      </c>
      <c r="AK12" s="1" t="str">
        <f ca="1">IFERROR(__xludf.DUMMYFUNCTION("""COMPUTED_VALUE"""),"CONCUBINAGE")</f>
        <v>CONCUBINAGE</v>
      </c>
      <c r="AL12" s="1" t="str">
        <f ca="1">IFERROR(__xludf.DUMMYFUNCTION("""COMPUTED_VALUE"""),"CONCUBINAGE")</f>
        <v>CONCUBINAGE</v>
      </c>
      <c r="AM12" s="1" t="str">
        <f ca="1">IFERROR(__xludf.DUMMYFUNCTION("""COMPUTED_VALUE"""),"F1120")</f>
        <v>F1120</v>
      </c>
    </row>
    <row r="13" spans="1:39" ht="15.75" customHeight="1" x14ac:dyDescent="0.15">
      <c r="A13" s="1" t="str">
        <f ca="1">IFERROR(__xludf.DUMMYFUNCTION("""COMPUTED_VALUE"""),"AMADOU-SALL Soumaya-Thila")</f>
        <v>AMADOU-SALL Soumaya-Thila</v>
      </c>
      <c r="B13" s="1" t="str">
        <f ca="1">IFERROR(__xludf.DUMMYFUNCTION("""COMPUTED_VALUE"""),"AMADOU-SALL")</f>
        <v>AMADOU-SALL</v>
      </c>
      <c r="C13" s="1" t="str">
        <f ca="1">IFERROR(__xludf.DUMMYFUNCTION("""COMPUTED_VALUE"""),"Soumaya-Thila")</f>
        <v>Soumaya-Thila</v>
      </c>
      <c r="D13" s="1" t="str">
        <f ca="1">IFERROR(__xludf.DUMMYFUNCTION("""COMPUTED_VALUE"""),"1120E3")</f>
        <v>1120E3</v>
      </c>
      <c r="E13" s="2">
        <f ca="1">IFERROR(__xludf.DUMMYFUNCTION("""COMPUTED_VALUE"""),43542)</f>
        <v>43542</v>
      </c>
      <c r="F13" s="1" t="str">
        <f ca="1">IFERROR(__xludf.DUMMYFUNCTION("""COMPUTED_VALUE"""),"CP")</f>
        <v>CP</v>
      </c>
      <c r="G13" s="1" t="str">
        <f ca="1">IFERROR(__xludf.DUMMYFUNCTION("""COMPUTED_VALUE"""),"CP")</f>
        <v>CP</v>
      </c>
      <c r="H13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13" s="1"/>
      <c r="J13" s="1"/>
      <c r="K13" s="1"/>
      <c r="L13" s="1"/>
      <c r="M13" s="1"/>
      <c r="N13" s="1" t="str">
        <f ca="1">IFERROR(__xludf.DUMMYFUNCTION("""COMPUTED_VALUE"""),"Fille")</f>
        <v>Fille</v>
      </c>
      <c r="O13" s="1"/>
      <c r="P13" s="1" t="str">
        <f ca="1">IFERROR(__xludf.DUMMYFUNCTION("""COMPUTED_VALUE"""),"FRANCE")</f>
        <v>FRANCE</v>
      </c>
      <c r="Q13" s="1"/>
      <c r="R13" s="1"/>
      <c r="S13" s="1"/>
      <c r="T13" s="1" t="str">
        <f ca="1">IFERROR(__xludf.DUMMYFUNCTION("""COMPUTED_VALUE"""),"SALL Coudy")</f>
        <v>SALL Coudy</v>
      </c>
      <c r="U13" s="1" t="str">
        <f ca="1">IFERROR(__xludf.DUMMYFUNCTION("""COMPUTED_VALUE"""),"AMADOU Arouna")</f>
        <v>AMADOU Arouna</v>
      </c>
      <c r="V13" s="1" t="str">
        <f ca="1">IFERROR(__xludf.DUMMYFUNCTION("""COMPUTED_VALUE"""),"csall27@outlook.fr")</f>
        <v>csall27@outlook.fr</v>
      </c>
      <c r="W13" s="1" t="str">
        <f ca="1">IFERROR(__xludf.DUMMYFUNCTION("""COMPUTED_VALUE"""),"arounadaha78@gmail.com")</f>
        <v>arounadaha78@gmail.com</v>
      </c>
      <c r="X13" s="1" t="str">
        <f ca="1">IFERROR(__xludf.DUMMYFUNCTION("""COMPUTED_VALUE"""),"+33 1 30 94 18 70")</f>
        <v>+33 1 30 94 18 70</v>
      </c>
      <c r="Y13" s="1" t="str">
        <f ca="1">IFERROR(__xludf.DUMMYFUNCTION("""COMPUTED_VALUE"""),"+33 6 60 25 55 96")</f>
        <v>+33 6 60 25 55 96</v>
      </c>
      <c r="Z13" s="1" t="str">
        <f ca="1">IFERROR(__xludf.DUMMYFUNCTION("""COMPUTED_VALUE"""),"+221 78 125 11 41")</f>
        <v>+221 78 125 11 41</v>
      </c>
      <c r="AA13" s="1" t="str">
        <f ca="1">IFERROR(__xludf.DUMMYFUNCTION("""COMPUTED_VALUE"""),"+221 78 125 11 41")</f>
        <v>+221 78 125 11 41</v>
      </c>
      <c r="AB13" s="2">
        <f ca="1">IFERROR(__xludf.DUMMYFUNCTION("""COMPUTED_VALUE"""),32321)</f>
        <v>32321</v>
      </c>
      <c r="AC13" s="2">
        <f ca="1">IFERROR(__xludf.DUMMYFUNCTION("""COMPUTED_VALUE"""),31815)</f>
        <v>31815</v>
      </c>
      <c r="AD13" s="1" t="str">
        <f ca="1">IFERROR(__xludf.DUMMYFUNCTION("""COMPUTED_VALUE"""),"MERE")</f>
        <v>MERE</v>
      </c>
      <c r="AE13" s="1" t="str">
        <f ca="1">IFERROR(__xludf.DUMMYFUNCTION("""COMPUTED_VALUE"""),"PERE")</f>
        <v>PERE</v>
      </c>
      <c r="AF13" s="1" t="str">
        <f ca="1">IFERROR(__xludf.DUMMYFUNCTION("""COMPUTED_VALUE"""),"FRANCE")</f>
        <v>FRANCE</v>
      </c>
      <c r="AG13" s="1" t="str">
        <f ca="1">IFERROR(__xludf.DUMMYFUNCTION("""COMPUTED_VALUE"""),"FRANCE")</f>
        <v>FRANCE</v>
      </c>
      <c r="AH13" s="1" t="str">
        <f ca="1">IFERROR(__xludf.DUMMYFUNCTION("""COMPUTED_VALUE"""),"SENEGAL")</f>
        <v>SENEGAL</v>
      </c>
      <c r="AI13" s="1" t="str">
        <f ca="1">IFERROR(__xludf.DUMMYFUNCTION("""COMPUTED_VALUE"""),"SENEGAL")</f>
        <v>SENEGAL</v>
      </c>
      <c r="AJ13" s="1" t="str">
        <f ca="1">IFERROR(__xludf.DUMMYFUNCTION("""COMPUTED_VALUE"""),"F1120")</f>
        <v>F1120</v>
      </c>
      <c r="AK13" s="1" t="str">
        <f ca="1">IFERROR(__xludf.DUMMYFUNCTION("""COMPUTED_VALUE"""),"CONCUBINAGE")</f>
        <v>CONCUBINAGE</v>
      </c>
      <c r="AL13" s="1" t="str">
        <f ca="1">IFERROR(__xludf.DUMMYFUNCTION("""COMPUTED_VALUE"""),"CONCUBINAGE")</f>
        <v>CONCUBINAGE</v>
      </c>
      <c r="AM13" s="1" t="str">
        <f ca="1">IFERROR(__xludf.DUMMYFUNCTION("""COMPUTED_VALUE"""),"F1120")</f>
        <v>F1120</v>
      </c>
    </row>
    <row r="14" spans="1:39" ht="15.75" customHeight="1" x14ac:dyDescent="0.15">
      <c r="A14" s="1" t="str">
        <f ca="1">IFERROR(__xludf.DUMMYFUNCTION("""COMPUTED_VALUE"""),"ANATO Noa Elianah Mondukpe")</f>
        <v>ANATO Noa Elianah Mondukpe</v>
      </c>
      <c r="B14" s="1" t="str">
        <f ca="1">IFERROR(__xludf.DUMMYFUNCTION("""COMPUTED_VALUE"""),"ANATO")</f>
        <v>ANATO</v>
      </c>
      <c r="C14" s="1" t="str">
        <f ca="1">IFERROR(__xludf.DUMMYFUNCTION("""COMPUTED_VALUE"""),"Noa Elianah Mondukpe")</f>
        <v>Noa Elianah Mondukpe</v>
      </c>
      <c r="D14" s="1" t="str">
        <f ca="1">IFERROR(__xludf.DUMMYFUNCTION("""COMPUTED_VALUE"""),"1123E3")</f>
        <v>1123E3</v>
      </c>
      <c r="E14" s="2">
        <f ca="1">IFERROR(__xludf.DUMMYFUNCTION("""COMPUTED_VALUE"""),43872)</f>
        <v>43872</v>
      </c>
      <c r="F14" s="1" t="str">
        <f ca="1">IFERROR(__xludf.DUMMYFUNCTION("""COMPUTED_VALUE"""),"Mat 3")</f>
        <v>Mat 3</v>
      </c>
      <c r="G14" s="1" t="str">
        <f ca="1">IFERROR(__xludf.DUMMYFUNCTION("""COMPUTED_VALUE"""),"GS")</f>
        <v>GS</v>
      </c>
      <c r="H14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14" s="1"/>
      <c r="J14" s="1"/>
      <c r="K14" s="1"/>
      <c r="L14" s="1"/>
      <c r="M14" s="1"/>
      <c r="N14" s="1" t="str">
        <f ca="1">IFERROR(__xludf.DUMMYFUNCTION("""COMPUTED_VALUE"""),"Fille")</f>
        <v>Fille</v>
      </c>
      <c r="O14" s="1"/>
      <c r="P14" s="1" t="str">
        <f ca="1">IFERROR(__xludf.DUMMYFUNCTION("""COMPUTED_VALUE"""),"BENIN")</f>
        <v>BENIN</v>
      </c>
      <c r="Q14" s="1"/>
      <c r="R14" s="1"/>
      <c r="S14" s="1"/>
      <c r="T14" s="1" t="str">
        <f ca="1">IFERROR(__xludf.DUMMYFUNCTION("""COMPUTED_VALUE"""),"ANATO Sevinin Yannick")</f>
        <v>ANATO Sevinin Yannick</v>
      </c>
      <c r="U14" s="1" t="str">
        <f ca="1">IFERROR(__xludf.DUMMYFUNCTION("""COMPUTED_VALUE"""),"ANATO Rachel Carole Grace")</f>
        <v>ANATO Rachel Carole Grace</v>
      </c>
      <c r="V14" s="1" t="str">
        <f ca="1">IFERROR(__xludf.DUMMYFUNCTION("""COMPUTED_VALUE"""),"yannickanato@gmail.com")</f>
        <v>yannickanato@gmail.com</v>
      </c>
      <c r="W14" s="1" t="str">
        <f ca="1">IFERROR(__xludf.DUMMYFUNCTION("""COMPUTED_VALUE"""),"rachelboucarianato@gmail.com")</f>
        <v>rachelboucarianato@gmail.com</v>
      </c>
      <c r="X14" s="1" t="str">
        <f ca="1">IFERROR(__xludf.DUMMYFUNCTION("""COMPUTED_VALUE"""),"+221 78 470 01 01")</f>
        <v>+221 78 470 01 01</v>
      </c>
      <c r="Y14" s="1" t="str">
        <f ca="1">IFERROR(__xludf.DUMMYFUNCTION("""COMPUTED_VALUE"""),"+221 78 470 03 03")</f>
        <v>+221 78 470 03 03</v>
      </c>
      <c r="Z14" s="1" t="str">
        <f ca="1">IFERROR(__xludf.DUMMYFUNCTION("""COMPUTED_VALUE"""),"+221 78 470 01 01")</f>
        <v>+221 78 470 01 01</v>
      </c>
      <c r="AA14" s="1" t="str">
        <f ca="1">IFERROR(__xludf.DUMMYFUNCTION("""COMPUTED_VALUE"""),"+221 78 470 03 03")</f>
        <v>+221 78 470 03 03</v>
      </c>
      <c r="AB14" s="2">
        <f ca="1">IFERROR(__xludf.DUMMYFUNCTION("""COMPUTED_VALUE"""),32461)</f>
        <v>32461</v>
      </c>
      <c r="AC14" s="2">
        <f ca="1">IFERROR(__xludf.DUMMYFUNCTION("""COMPUTED_VALUE"""),33857)</f>
        <v>33857</v>
      </c>
      <c r="AD14" s="1" t="str">
        <f ca="1">IFERROR(__xludf.DUMMYFUNCTION("""COMPUTED_VALUE"""),"PERE")</f>
        <v>PERE</v>
      </c>
      <c r="AE14" s="1" t="str">
        <f ca="1">IFERROR(__xludf.DUMMYFUNCTION("""COMPUTED_VALUE"""),"MERE")</f>
        <v>MERE</v>
      </c>
      <c r="AF14" s="1" t="str">
        <f ca="1">IFERROR(__xludf.DUMMYFUNCTION("""COMPUTED_VALUE"""),"BENIN")</f>
        <v>BENIN</v>
      </c>
      <c r="AG14" s="1" t="str">
        <f ca="1">IFERROR(__xludf.DUMMYFUNCTION("""COMPUTED_VALUE"""),"BENIN")</f>
        <v>BENIN</v>
      </c>
      <c r="AH14" s="1" t="str">
        <f ca="1">IFERROR(__xludf.DUMMYFUNCTION("""COMPUTED_VALUE"""),"BENIN")</f>
        <v>BENIN</v>
      </c>
      <c r="AI14" s="1"/>
      <c r="AJ14" s="1" t="str">
        <f ca="1">IFERROR(__xludf.DUMMYFUNCTION("""COMPUTED_VALUE"""),"F1123")</f>
        <v>F1123</v>
      </c>
      <c r="AK14" s="1" t="str">
        <f ca="1">IFERROR(__xludf.DUMMYFUNCTION("""COMPUTED_VALUE"""),"Marié(e)")</f>
        <v>Marié(e)</v>
      </c>
      <c r="AL14" s="1" t="str">
        <f ca="1">IFERROR(__xludf.DUMMYFUNCTION("""COMPUTED_VALUE"""),"Marié(e)")</f>
        <v>Marié(e)</v>
      </c>
      <c r="AM14" s="1" t="str">
        <f ca="1">IFERROR(__xludf.DUMMYFUNCTION("""COMPUTED_VALUE"""),"F1123")</f>
        <v>F1123</v>
      </c>
    </row>
    <row r="15" spans="1:39" ht="15.75" customHeight="1" x14ac:dyDescent="0.15">
      <c r="A15" s="1" t="str">
        <f ca="1">IFERROR(__xludf.DUMMYFUNCTION("""COMPUTED_VALUE"""),"ANATO Yoann Stachys Dagbemin")</f>
        <v>ANATO Yoann Stachys Dagbemin</v>
      </c>
      <c r="B15" s="1" t="str">
        <f ca="1">IFERROR(__xludf.DUMMYFUNCTION("""COMPUTED_VALUE"""),"ANATO")</f>
        <v>ANATO</v>
      </c>
      <c r="C15" s="1" t="str">
        <f ca="1">IFERROR(__xludf.DUMMYFUNCTION("""COMPUTED_VALUE"""),"Yoann Stachys Dagbemin")</f>
        <v>Yoann Stachys Dagbemin</v>
      </c>
      <c r="D15" s="1" t="str">
        <f ca="1">IFERROR(__xludf.DUMMYFUNCTION("""COMPUTED_VALUE"""),"1123E4")</f>
        <v>1123E4</v>
      </c>
      <c r="E15" s="2">
        <f ca="1">IFERROR(__xludf.DUMMYFUNCTION("""COMPUTED_VALUE"""),43025)</f>
        <v>43025</v>
      </c>
      <c r="F15" s="1" t="str">
        <f ca="1">IFERROR(__xludf.DUMMYFUNCTION("""COMPUTED_VALUE"""),"CE2")</f>
        <v>CE2</v>
      </c>
      <c r="G15" s="1" t="str">
        <f ca="1">IFERROR(__xludf.DUMMYFUNCTION("""COMPUTED_VALUE"""),"CE2")</f>
        <v>CE2</v>
      </c>
      <c r="H15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15" s="1"/>
      <c r="J15" s="1"/>
      <c r="K15" s="1"/>
      <c r="L15" s="1"/>
      <c r="M15" s="1"/>
      <c r="N15" s="1" t="str">
        <f ca="1">IFERROR(__xludf.DUMMYFUNCTION("""COMPUTED_VALUE"""),"Garçon")</f>
        <v>Garçon</v>
      </c>
      <c r="O15" s="1"/>
      <c r="P15" s="1" t="str">
        <f ca="1">IFERROR(__xludf.DUMMYFUNCTION("""COMPUTED_VALUE"""),"BENIN")</f>
        <v>BENIN</v>
      </c>
      <c r="Q15" s="1"/>
      <c r="R15" s="1"/>
      <c r="S15" s="1"/>
      <c r="T15" s="1" t="str">
        <f ca="1">IFERROR(__xludf.DUMMYFUNCTION("""COMPUTED_VALUE"""),"ANATO Sevinin Yannick")</f>
        <v>ANATO Sevinin Yannick</v>
      </c>
      <c r="U15" s="1" t="str">
        <f ca="1">IFERROR(__xludf.DUMMYFUNCTION("""COMPUTED_VALUE"""),"ANATO Rachel Carole Grace")</f>
        <v>ANATO Rachel Carole Grace</v>
      </c>
      <c r="V15" s="1" t="str">
        <f ca="1">IFERROR(__xludf.DUMMYFUNCTION("""COMPUTED_VALUE"""),"yannickanato@gmail.com")</f>
        <v>yannickanato@gmail.com</v>
      </c>
      <c r="W15" s="1" t="str">
        <f ca="1">IFERROR(__xludf.DUMMYFUNCTION("""COMPUTED_VALUE"""),"rachelboucarianato@gmail.com")</f>
        <v>rachelboucarianato@gmail.com</v>
      </c>
      <c r="X15" s="1" t="str">
        <f ca="1">IFERROR(__xludf.DUMMYFUNCTION("""COMPUTED_VALUE"""),"+221 78 470 01 01")</f>
        <v>+221 78 470 01 01</v>
      </c>
      <c r="Y15" s="1" t="str">
        <f ca="1">IFERROR(__xludf.DUMMYFUNCTION("""COMPUTED_VALUE"""),"+221 78 470 03 03")</f>
        <v>+221 78 470 03 03</v>
      </c>
      <c r="Z15" s="1" t="str">
        <f ca="1">IFERROR(__xludf.DUMMYFUNCTION("""COMPUTED_VALUE"""),"+221 78 470 01 01")</f>
        <v>+221 78 470 01 01</v>
      </c>
      <c r="AA15" s="1" t="str">
        <f ca="1">IFERROR(__xludf.DUMMYFUNCTION("""COMPUTED_VALUE"""),"+221 78 470 03 03")</f>
        <v>+221 78 470 03 03</v>
      </c>
      <c r="AB15" s="2">
        <f ca="1">IFERROR(__xludf.DUMMYFUNCTION("""COMPUTED_VALUE"""),32461)</f>
        <v>32461</v>
      </c>
      <c r="AC15" s="2">
        <f ca="1">IFERROR(__xludf.DUMMYFUNCTION("""COMPUTED_VALUE"""),33857)</f>
        <v>33857</v>
      </c>
      <c r="AD15" s="1" t="str">
        <f ca="1">IFERROR(__xludf.DUMMYFUNCTION("""COMPUTED_VALUE"""),"PERE")</f>
        <v>PERE</v>
      </c>
      <c r="AE15" s="1" t="str">
        <f ca="1">IFERROR(__xludf.DUMMYFUNCTION("""COMPUTED_VALUE"""),"MERE")</f>
        <v>MERE</v>
      </c>
      <c r="AF15" s="1" t="str">
        <f ca="1">IFERROR(__xludf.DUMMYFUNCTION("""COMPUTED_VALUE"""),"BENIN")</f>
        <v>BENIN</v>
      </c>
      <c r="AG15" s="1" t="str">
        <f ca="1">IFERROR(__xludf.DUMMYFUNCTION("""COMPUTED_VALUE"""),"BENIN")</f>
        <v>BENIN</v>
      </c>
      <c r="AH15" s="1" t="str">
        <f ca="1">IFERROR(__xludf.DUMMYFUNCTION("""COMPUTED_VALUE"""),"BENIN")</f>
        <v>BENIN</v>
      </c>
      <c r="AI15" s="1"/>
      <c r="AJ15" s="1" t="str">
        <f ca="1">IFERROR(__xludf.DUMMYFUNCTION("""COMPUTED_VALUE"""),"F1123")</f>
        <v>F1123</v>
      </c>
      <c r="AK15" s="1" t="str">
        <f ca="1">IFERROR(__xludf.DUMMYFUNCTION("""COMPUTED_VALUE"""),"Marié(e)")</f>
        <v>Marié(e)</v>
      </c>
      <c r="AL15" s="1" t="str">
        <f ca="1">IFERROR(__xludf.DUMMYFUNCTION("""COMPUTED_VALUE"""),"Marié(e)")</f>
        <v>Marié(e)</v>
      </c>
      <c r="AM15" s="1" t="str">
        <f ca="1">IFERROR(__xludf.DUMMYFUNCTION("""COMPUTED_VALUE"""),"F1123")</f>
        <v>F1123</v>
      </c>
    </row>
    <row r="16" spans="1:39" ht="15.75" customHeight="1" x14ac:dyDescent="0.15">
      <c r="A16" s="1" t="str">
        <f ca="1">IFERROR(__xludf.DUMMYFUNCTION("""COMPUTED_VALUE"""),"ANIZI Mohamed")</f>
        <v>ANIZI Mohamed</v>
      </c>
      <c r="B16" s="1" t="str">
        <f ca="1">IFERROR(__xludf.DUMMYFUNCTION("""COMPUTED_VALUE"""),"ANIZI")</f>
        <v>ANIZI</v>
      </c>
      <c r="C16" s="1" t="str">
        <f ca="1">IFERROR(__xludf.DUMMYFUNCTION("""COMPUTED_VALUE"""),"Mohamed")</f>
        <v>Mohamed</v>
      </c>
      <c r="D16" s="1" t="str">
        <f ca="1">IFERROR(__xludf.DUMMYFUNCTION("""COMPUTED_VALUE"""),"1124E1")</f>
        <v>1124E1</v>
      </c>
      <c r="E16" s="2">
        <f ca="1">IFERROR(__xludf.DUMMYFUNCTION("""COMPUTED_VALUE"""),42434)</f>
        <v>42434</v>
      </c>
      <c r="F16" s="1" t="str">
        <f ca="1">IFERROR(__xludf.DUMMYFUNCTION("""COMPUTED_VALUE"""),"CM1B")</f>
        <v>CM1B</v>
      </c>
      <c r="G16" s="1" t="str">
        <f ca="1">IFERROR(__xludf.DUMMYFUNCTION("""COMPUTED_VALUE"""),"CM1")</f>
        <v>CM1</v>
      </c>
      <c r="H16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16" s="1"/>
      <c r="J16" s="1"/>
      <c r="K16" s="1"/>
      <c r="L16" s="1"/>
      <c r="M16" s="1"/>
      <c r="N16" s="1" t="str">
        <f ca="1">IFERROR(__xludf.DUMMYFUNCTION("""COMPUTED_VALUE"""),"Garçon")</f>
        <v>Garçon</v>
      </c>
      <c r="O16" s="1"/>
      <c r="P16" s="1" t="str">
        <f ca="1">IFERROR(__xludf.DUMMYFUNCTION("""COMPUTED_VALUE"""),"TUNISIE")</f>
        <v>TUNISIE</v>
      </c>
      <c r="Q16" s="1"/>
      <c r="R16" s="1"/>
      <c r="S16" s="1"/>
      <c r="T16" s="1" t="str">
        <f ca="1">IFERROR(__xludf.DUMMYFUNCTION("""COMPUTED_VALUE"""),"HAMROUNI Riheme")</f>
        <v>HAMROUNI Riheme</v>
      </c>
      <c r="U16" s="1" t="str">
        <f ca="1">IFERROR(__xludf.DUMMYFUNCTION("""COMPUTED_VALUE"""),"ANIZI Aymen")</f>
        <v>ANIZI Aymen</v>
      </c>
      <c r="V16" s="1" t="str">
        <f ca="1">IFERROR(__xludf.DUMMYFUNCTION("""COMPUTED_VALUE"""),"rihemehamrouni@outlook.com")</f>
        <v>rihemehamrouni@outlook.com</v>
      </c>
      <c r="W16" s="1" t="str">
        <f ca="1">IFERROR(__xludf.DUMMYFUNCTION("""COMPUTED_VALUE"""),"aymenanizi.aa@gmail.com")</f>
        <v>aymenanizi.aa@gmail.com</v>
      </c>
      <c r="X16" s="1" t="str">
        <f ca="1">IFERROR(__xludf.DUMMYFUNCTION("""COMPUTED_VALUE"""),"+221 77 566 00 36")</f>
        <v>+221 77 566 00 36</v>
      </c>
      <c r="Y16" s="1" t="str">
        <f ca="1">IFERROR(__xludf.DUMMYFUNCTION("""COMPUTED_VALUE"""),"+216 21 997 232")</f>
        <v>+216 21 997 232</v>
      </c>
      <c r="Z16" s="1" t="str">
        <f ca="1">IFERROR(__xludf.DUMMYFUNCTION("""COMPUTED_VALUE"""),"+216 29 133 870")</f>
        <v>+216 29 133 870</v>
      </c>
      <c r="AA16" s="1"/>
      <c r="AB16" s="2">
        <f ca="1">IFERROR(__xludf.DUMMYFUNCTION("""COMPUTED_VALUE"""),30975)</f>
        <v>30975</v>
      </c>
      <c r="AC16" s="2">
        <f ca="1">IFERROR(__xludf.DUMMYFUNCTION("""COMPUTED_VALUE"""),31372)</f>
        <v>31372</v>
      </c>
      <c r="AD16" s="1" t="str">
        <f ca="1">IFERROR(__xludf.DUMMYFUNCTION("""COMPUTED_VALUE"""),"MERE")</f>
        <v>MERE</v>
      </c>
      <c r="AE16" s="1" t="str">
        <f ca="1">IFERROR(__xludf.DUMMYFUNCTION("""COMPUTED_VALUE"""),"PERE")</f>
        <v>PERE</v>
      </c>
      <c r="AF16" s="1" t="str">
        <f ca="1">IFERROR(__xludf.DUMMYFUNCTION("""COMPUTED_VALUE"""),"TUNISIE")</f>
        <v>TUNISIE</v>
      </c>
      <c r="AG16" s="1" t="str">
        <f ca="1">IFERROR(__xludf.DUMMYFUNCTION("""COMPUTED_VALUE"""),"TUNISIE")</f>
        <v>TUNISIE</v>
      </c>
      <c r="AH16" s="1"/>
      <c r="AI16" s="1"/>
      <c r="AJ16" s="1" t="str">
        <f ca="1">IFERROR(__xludf.DUMMYFUNCTION("""COMPUTED_VALUE"""),"F1124")</f>
        <v>F1124</v>
      </c>
      <c r="AK16" s="1" t="str">
        <f ca="1">IFERROR(__xludf.DUMMYFUNCTION("""COMPUTED_VALUE"""),"Marié(e)")</f>
        <v>Marié(e)</v>
      </c>
      <c r="AL16" s="1" t="str">
        <f ca="1">IFERROR(__xludf.DUMMYFUNCTION("""COMPUTED_VALUE"""),"Marié(e)")</f>
        <v>Marié(e)</v>
      </c>
      <c r="AM16" s="1" t="str">
        <f ca="1">IFERROR(__xludf.DUMMYFUNCTION("""COMPUTED_VALUE"""),"F1124")</f>
        <v>F1124</v>
      </c>
    </row>
    <row r="17" spans="1:39" ht="15.75" customHeight="1" x14ac:dyDescent="0.15">
      <c r="A17" s="1" t="str">
        <f ca="1">IFERROR(__xludf.DUMMYFUNCTION("""COMPUTED_VALUE"""),"APACK Nayla")</f>
        <v>APACK Nayla</v>
      </c>
      <c r="B17" s="1" t="str">
        <f ca="1">IFERROR(__xludf.DUMMYFUNCTION("""COMPUTED_VALUE"""),"APACK")</f>
        <v>APACK</v>
      </c>
      <c r="C17" s="1" t="str">
        <f ca="1">IFERROR(__xludf.DUMMYFUNCTION("""COMPUTED_VALUE"""),"Nayla")</f>
        <v>Nayla</v>
      </c>
      <c r="D17" s="1" t="str">
        <f ca="1">IFERROR(__xludf.DUMMYFUNCTION("""COMPUTED_VALUE"""),"1125E1")</f>
        <v>1125E1</v>
      </c>
      <c r="E17" s="2">
        <f ca="1">IFERROR(__xludf.DUMMYFUNCTION("""COMPUTED_VALUE"""),39626)</f>
        <v>39626</v>
      </c>
      <c r="F17" s="1" t="str">
        <f ca="1">IFERROR(__xludf.DUMMYFUNCTION("""COMPUTED_VALUE"""),"TERMINALE2")</f>
        <v>TERMINALE2</v>
      </c>
      <c r="G17" s="1" t="str">
        <f ca="1">IFERROR(__xludf.DUMMYFUNCTION("""COMPUTED_VALUE"""),"Terminale")</f>
        <v>Terminale</v>
      </c>
      <c r="H17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17" s="1" t="str">
        <f ca="1">IFERROR(__xludf.DUMMYFUNCTION("""COMPUTED_VALUE"""),"LVA Anglais")</f>
        <v>LVA Anglais</v>
      </c>
      <c r="J17" s="1" t="str">
        <f ca="1">IFERROR(__xludf.DUMMYFUNCTION("""COMPUTED_VALUE"""),"LVB Espagnol")</f>
        <v>LVB Espagnol</v>
      </c>
      <c r="K17" s="1"/>
      <c r="L17" s="1"/>
      <c r="M17" s="1" t="str">
        <f ca="1">IFERROR(__xludf.DUMMYFUNCTION("""COMPUTED_VALUE"""),"SPE HGGSP, SPE SES")</f>
        <v>SPE HGGSP, SPE SES</v>
      </c>
      <c r="N17" s="1" t="str">
        <f ca="1">IFERROR(__xludf.DUMMYFUNCTION("""COMPUTED_VALUE"""),"Fille")</f>
        <v>Fille</v>
      </c>
      <c r="O17" s="1"/>
      <c r="P17" s="1" t="str">
        <f ca="1">IFERROR(__xludf.DUMMYFUNCTION("""COMPUTED_VALUE"""),"FRANCE")</f>
        <v>FRANCE</v>
      </c>
      <c r="Q17" s="1" t="str">
        <f ca="1">IFERROR(__xludf.DUMMYFUNCTION("""COMPUTED_VALUE"""),"BELGIQUE")</f>
        <v>BELGIQUE</v>
      </c>
      <c r="R17" s="1" t="str">
        <f ca="1">IFERROR(__xludf.DUMMYFUNCTION("""COMPUTED_VALUE"""),"nayla.apack@lfjpsaly.org")</f>
        <v>nayla.apack@lfjpsaly.org</v>
      </c>
      <c r="S17" s="1"/>
      <c r="T17" s="1" t="str">
        <f ca="1">IFERROR(__xludf.DUMMYFUNCTION("""COMPUTED_VALUE"""),"SWEETLOVE Yasmine")</f>
        <v>SWEETLOVE Yasmine</v>
      </c>
      <c r="U17" s="1" t="str">
        <f ca="1">IFERROR(__xludf.DUMMYFUNCTION("""COMPUTED_VALUE"""),"APACK Philippe")</f>
        <v>APACK Philippe</v>
      </c>
      <c r="V17" s="1" t="str">
        <f ca="1">IFERROR(__xludf.DUMMYFUNCTION("""COMPUTED_VALUE"""),"yasmine.sweetlove@icloud.com")</f>
        <v>yasmine.sweetlove@icloud.com</v>
      </c>
      <c r="W17" s="1" t="str">
        <f ca="1">IFERROR(__xludf.DUMMYFUNCTION("""COMPUTED_VALUE"""),"philippe.apack@yahoo.fr")</f>
        <v>philippe.apack@yahoo.fr</v>
      </c>
      <c r="X17" s="1" t="str">
        <f ca="1">IFERROR(__xludf.DUMMYFUNCTION("""COMPUTED_VALUE"""),"+221 78 388 98 62")</f>
        <v>+221 78 388 98 62</v>
      </c>
      <c r="Y17" s="1" t="str">
        <f ca="1">IFERROR(__xludf.DUMMYFUNCTION("""COMPUTED_VALUE"""),"+221 78 483 68 96")</f>
        <v>+221 78 483 68 96</v>
      </c>
      <c r="Z17" s="1"/>
      <c r="AA17" s="1"/>
      <c r="AB17" s="2">
        <f ca="1">IFERROR(__xludf.DUMMYFUNCTION("""COMPUTED_VALUE"""),28753)</f>
        <v>28753</v>
      </c>
      <c r="AC17" s="2">
        <f ca="1">IFERROR(__xludf.DUMMYFUNCTION("""COMPUTED_VALUE"""),24494)</f>
        <v>24494</v>
      </c>
      <c r="AD17" s="1" t="str">
        <f ca="1">IFERROR(__xludf.DUMMYFUNCTION("""COMPUTED_VALUE"""),"MERE")</f>
        <v>MERE</v>
      </c>
      <c r="AE17" s="1" t="str">
        <f ca="1">IFERROR(__xludf.DUMMYFUNCTION("""COMPUTED_VALUE"""),"PERE")</f>
        <v>PERE</v>
      </c>
      <c r="AF17" s="1" t="str">
        <f ca="1">IFERROR(__xludf.DUMMYFUNCTION("""COMPUTED_VALUE"""),"BELGIQUE")</f>
        <v>BELGIQUE</v>
      </c>
      <c r="AG17" s="1" t="str">
        <f ca="1">IFERROR(__xludf.DUMMYFUNCTION("""COMPUTED_VALUE"""),"FRANCE")</f>
        <v>FRANCE</v>
      </c>
      <c r="AH17" s="1"/>
      <c r="AI17" s="1"/>
      <c r="AJ17" s="1" t="str">
        <f ca="1">IFERROR(__xludf.DUMMYFUNCTION("""COMPUTED_VALUE"""),"F1125")</f>
        <v>F1125</v>
      </c>
      <c r="AK17" s="1" t="str">
        <f ca="1">IFERROR(__xludf.DUMMYFUNCTION("""COMPUTED_VALUE"""),"Séparé(e)")</f>
        <v>Séparé(e)</v>
      </c>
      <c r="AL17" s="1" t="str">
        <f ca="1">IFERROR(__xludf.DUMMYFUNCTION("""COMPUTED_VALUE"""),"Séparé(e)")</f>
        <v>Séparé(e)</v>
      </c>
      <c r="AM17" s="1" t="str">
        <f ca="1">IFERROR(__xludf.DUMMYFUNCTION("""COMPUTED_VALUE"""),"F1125")</f>
        <v>F1125</v>
      </c>
    </row>
    <row r="18" spans="1:39" ht="15.75" customHeight="1" x14ac:dyDescent="0.15">
      <c r="A18" s="1" t="str">
        <f ca="1">IFERROR(__xludf.DUMMYFUNCTION("""COMPUTED_VALUE"""),"ARRON Hélène")</f>
        <v>ARRON Hélène</v>
      </c>
      <c r="B18" s="1" t="str">
        <f ca="1">IFERROR(__xludf.DUMMYFUNCTION("""COMPUTED_VALUE"""),"ARRON")</f>
        <v>ARRON</v>
      </c>
      <c r="C18" s="1" t="str">
        <f ca="1">IFERROR(__xludf.DUMMYFUNCTION("""COMPUTED_VALUE"""),"Hélène")</f>
        <v>Hélène</v>
      </c>
      <c r="D18" s="1" t="str">
        <f ca="1">IFERROR(__xludf.DUMMYFUNCTION("""COMPUTED_VALUE"""),"1126E1")</f>
        <v>1126E1</v>
      </c>
      <c r="E18" s="2">
        <f ca="1">IFERROR(__xludf.DUMMYFUNCTION("""COMPUTED_VALUE"""),39704)</f>
        <v>39704</v>
      </c>
      <c r="F18" s="1" t="str">
        <f ca="1">IFERROR(__xludf.DUMMYFUNCTION("""COMPUTED_VALUE"""),"TERMINALE1")</f>
        <v>TERMINALE1</v>
      </c>
      <c r="G18" s="1" t="str">
        <f ca="1">IFERROR(__xludf.DUMMYFUNCTION("""COMPUTED_VALUE"""),"Terminale")</f>
        <v>Terminale</v>
      </c>
      <c r="H18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18" s="1" t="str">
        <f ca="1">IFERROR(__xludf.DUMMYFUNCTION("""COMPUTED_VALUE"""),"LVA Anglais")</f>
        <v>LVA Anglais</v>
      </c>
      <c r="J18" s="1" t="str">
        <f ca="1">IFERROR(__xludf.DUMMYFUNCTION("""COMPUTED_VALUE"""),"LVB Espagnol")</f>
        <v>LVB Espagnol</v>
      </c>
      <c r="K18" s="1" t="str">
        <f ca="1">IFERROR(__xludf.DUMMYFUNCTION("""COMPUTED_VALUE"""),"MATHS EXPERTES")</f>
        <v>MATHS EXPERTES</v>
      </c>
      <c r="L18" s="1"/>
      <c r="M18" s="1" t="str">
        <f ca="1">IFERROR(__xludf.DUMMYFUNCTION("""COMPUTED_VALUE"""),"SPE MATHS, SPE SVT")</f>
        <v>SPE MATHS, SPE SVT</v>
      </c>
      <c r="N18" s="1" t="str">
        <f ca="1">IFERROR(__xludf.DUMMYFUNCTION("""COMPUTED_VALUE"""),"Fille")</f>
        <v>Fille</v>
      </c>
      <c r="O18" s="1"/>
      <c r="P18" s="1" t="str">
        <f ca="1">IFERROR(__xludf.DUMMYFUNCTION("""COMPUTED_VALUE"""),"FRANCE")</f>
        <v>FRANCE</v>
      </c>
      <c r="Q18" s="1"/>
      <c r="R18" s="1" t="str">
        <f ca="1">IFERROR(__xludf.DUMMYFUNCTION("""COMPUTED_VALUE"""),"helene.arron@lfjpsaly.org")</f>
        <v>helene.arron@lfjpsaly.org</v>
      </c>
      <c r="S18" s="1"/>
      <c r="T18" s="1" t="str">
        <f ca="1">IFERROR(__xludf.DUMMYFUNCTION("""COMPUTED_VALUE"""),"SFEIR Aurélia")</f>
        <v>SFEIR Aurélia</v>
      </c>
      <c r="U18" s="1" t="str">
        <f ca="1">IFERROR(__xludf.DUMMYFUNCTION("""COMPUTED_VALUE"""),"ARRON Arne")</f>
        <v>ARRON Arne</v>
      </c>
      <c r="V18" s="1" t="str">
        <f ca="1">IFERROR(__xludf.DUMMYFUNCTION("""COMPUTED_VALUE"""),"aureliasfeir@gmail.com")</f>
        <v>aureliasfeir@gmail.com</v>
      </c>
      <c r="W18" s="1" t="str">
        <f ca="1">IFERROR(__xludf.DUMMYFUNCTION("""COMPUTED_VALUE"""),"aureliasfeir@gmail.com")</f>
        <v>aureliasfeir@gmail.com</v>
      </c>
      <c r="X18" s="1" t="str">
        <f ca="1">IFERROR(__xludf.DUMMYFUNCTION("""COMPUTED_VALUE"""),"+221 77 690 99 48")</f>
        <v>+221 77 690 99 48</v>
      </c>
      <c r="Y18" s="1" t="str">
        <f ca="1">IFERROR(__xludf.DUMMYFUNCTION("""COMPUTED_VALUE"""),"+221 77 524 54 16")</f>
        <v>+221 77 524 54 16</v>
      </c>
      <c r="Z18" s="1"/>
      <c r="AA18" s="1"/>
      <c r="AB18" s="2">
        <f ca="1">IFERROR(__xludf.DUMMYFUNCTION("""COMPUTED_VALUE"""),27633)</f>
        <v>27633</v>
      </c>
      <c r="AC18" s="2">
        <f ca="1">IFERROR(__xludf.DUMMYFUNCTION("""COMPUTED_VALUE"""),30669)</f>
        <v>30669</v>
      </c>
      <c r="AD18" s="1" t="str">
        <f ca="1">IFERROR(__xludf.DUMMYFUNCTION("""COMPUTED_VALUE"""),"MERE")</f>
        <v>MERE</v>
      </c>
      <c r="AE18" s="1" t="str">
        <f ca="1">IFERROR(__xludf.DUMMYFUNCTION("""COMPUTED_VALUE"""),"PERE")</f>
        <v>PERE</v>
      </c>
      <c r="AF18" s="1" t="str">
        <f ca="1">IFERROR(__xludf.DUMMYFUNCTION("""COMPUTED_VALUE"""),"FRANCE")</f>
        <v>FRANCE</v>
      </c>
      <c r="AG18" s="1" t="str">
        <f ca="1">IFERROR(__xludf.DUMMYFUNCTION("""COMPUTED_VALUE"""),"BELGIQUE")</f>
        <v>BELGIQUE</v>
      </c>
      <c r="AH18" s="1"/>
      <c r="AI18" s="1"/>
      <c r="AJ18" s="1" t="str">
        <f ca="1">IFERROR(__xludf.DUMMYFUNCTION("""COMPUTED_VALUE"""),"F1126")</f>
        <v>F1126</v>
      </c>
      <c r="AK18" s="1" t="str">
        <f ca="1">IFERROR(__xludf.DUMMYFUNCTION("""COMPUTED_VALUE"""),"Divorcée")</f>
        <v>Divorcée</v>
      </c>
      <c r="AL18" s="1" t="str">
        <f ca="1">IFERROR(__xludf.DUMMYFUNCTION("""COMPUTED_VALUE"""),"Divorcée")</f>
        <v>Divorcée</v>
      </c>
      <c r="AM18" s="1" t="str">
        <f ca="1">IFERROR(__xludf.DUMMYFUNCTION("""COMPUTED_VALUE"""),"F1126")</f>
        <v>F1126</v>
      </c>
    </row>
    <row r="19" spans="1:39" ht="15.75" customHeight="1" x14ac:dyDescent="0.15">
      <c r="A19" s="1" t="str">
        <f ca="1">IFERROR(__xludf.DUMMYFUNCTION("""COMPUTED_VALUE"""),"ASSELIN Kevin")</f>
        <v>ASSELIN Kevin</v>
      </c>
      <c r="B19" s="1" t="str">
        <f ca="1">IFERROR(__xludf.DUMMYFUNCTION("""COMPUTED_VALUE"""),"ASSELIN")</f>
        <v>ASSELIN</v>
      </c>
      <c r="C19" s="1" t="str">
        <f ca="1">IFERROR(__xludf.DUMMYFUNCTION("""COMPUTED_VALUE"""),"Kevin")</f>
        <v>Kevin</v>
      </c>
      <c r="D19" s="1" t="str">
        <f ca="1">IFERROR(__xludf.DUMMYFUNCTION("""COMPUTED_VALUE"""),"1127E1")</f>
        <v>1127E1</v>
      </c>
      <c r="E19" s="2">
        <f ca="1">IFERROR(__xludf.DUMMYFUNCTION("""COMPUTED_VALUE"""),41257)</f>
        <v>41257</v>
      </c>
      <c r="F19" s="1" t="str">
        <f ca="1">IFERROR(__xludf.DUMMYFUNCTION("""COMPUTED_VALUE"""),"4EME1")</f>
        <v>4EME1</v>
      </c>
      <c r="G19" s="1" t="str">
        <f ca="1">IFERROR(__xludf.DUMMYFUNCTION("""COMPUTED_VALUE"""),"4ème")</f>
        <v>4ème</v>
      </c>
      <c r="H19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19" s="1" t="str">
        <f ca="1">IFERROR(__xludf.DUMMYFUNCTION("""COMPUTED_VALUE"""),"LVA Anglais")</f>
        <v>LVA Anglais</v>
      </c>
      <c r="J19" s="1" t="str">
        <f ca="1">IFERROR(__xludf.DUMMYFUNCTION("""COMPUTED_VALUE"""),"LVB Espagnol")</f>
        <v>LVB Espagnol</v>
      </c>
      <c r="K19" s="1"/>
      <c r="L19" s="1"/>
      <c r="M19" s="1"/>
      <c r="N19" s="1" t="str">
        <f ca="1">IFERROR(__xludf.DUMMYFUNCTION("""COMPUTED_VALUE"""),"Garçon")</f>
        <v>Garçon</v>
      </c>
      <c r="O19" s="1"/>
      <c r="P19" s="1" t="str">
        <f ca="1">IFERROR(__xludf.DUMMYFUNCTION("""COMPUTED_VALUE"""),"FRANCE")</f>
        <v>FRANCE</v>
      </c>
      <c r="Q19" s="1" t="str">
        <f ca="1">IFERROR(__xludf.DUMMYFUNCTION("""COMPUTED_VALUE"""),"SENEGAL")</f>
        <v>SENEGAL</v>
      </c>
      <c r="R19" s="1" t="str">
        <f ca="1">IFERROR(__xludf.DUMMYFUNCTION("""COMPUTED_VALUE"""),"kevin.asselin@lfjpsaly.org")</f>
        <v>kevin.asselin@lfjpsaly.org</v>
      </c>
      <c r="S19" s="1"/>
      <c r="T19" s="1" t="str">
        <f ca="1">IFERROR(__xludf.DUMMYFUNCTION("""COMPUTED_VALUE"""),"ASSELIN Andre")</f>
        <v>ASSELIN Andre</v>
      </c>
      <c r="U19" s="1" t="str">
        <f ca="1">IFERROR(__xludf.DUMMYFUNCTION("""COMPUTED_VALUE"""),"TOMBO Annela")</f>
        <v>TOMBO Annela</v>
      </c>
      <c r="V19" s="1" t="str">
        <f ca="1">IFERROR(__xludf.DUMMYFUNCTION("""COMPUTED_VALUE"""),"chaletduchocolat@orange.fr")</f>
        <v>chaletduchocolat@orange.fr</v>
      </c>
      <c r="W19" s="1" t="str">
        <f ca="1">IFERROR(__xludf.DUMMYFUNCTION("""COMPUTED_VALUE"""),"anneladania@gmail.com")</f>
        <v>anneladania@gmail.com</v>
      </c>
      <c r="X19" s="1" t="str">
        <f ca="1">IFERROR(__xludf.DUMMYFUNCTION("""COMPUTED_VALUE"""),"+33 6 85 33 89 77")</f>
        <v>+33 6 85 33 89 77</v>
      </c>
      <c r="Y19" s="1" t="str">
        <f ca="1">IFERROR(__xludf.DUMMYFUNCTION("""COMPUTED_VALUE"""),"+221 77 765 02 17")</f>
        <v>+221 77 765 02 17</v>
      </c>
      <c r="Z19" s="1" t="str">
        <f ca="1">IFERROR(__xludf.DUMMYFUNCTION("""COMPUTED_VALUE"""),"+221 77 766 37 60")</f>
        <v>+221 77 766 37 60</v>
      </c>
      <c r="AA19" s="1" t="str">
        <f ca="1">IFERROR(__xludf.DUMMYFUNCTION("""COMPUTED_VALUE"""),"+221 78 125 25 60")</f>
        <v>+221 78 125 25 60</v>
      </c>
      <c r="AB19" s="2">
        <f ca="1">IFERROR(__xludf.DUMMYFUNCTION("""COMPUTED_VALUE"""),20793)</f>
        <v>20793</v>
      </c>
      <c r="AC19" s="2">
        <f ca="1">IFERROR(__xludf.DUMMYFUNCTION("""COMPUTED_VALUE"""),35069)</f>
        <v>35069</v>
      </c>
      <c r="AD19" s="1" t="str">
        <f ca="1">IFERROR(__xludf.DUMMYFUNCTION("""COMPUTED_VALUE"""),"PERE")</f>
        <v>PERE</v>
      </c>
      <c r="AE19" s="1" t="str">
        <f ca="1">IFERROR(__xludf.DUMMYFUNCTION("""COMPUTED_VALUE"""),"AUTRE LIEN")</f>
        <v>AUTRE LIEN</v>
      </c>
      <c r="AF19" s="1" t="str">
        <f ca="1">IFERROR(__xludf.DUMMYFUNCTION("""COMPUTED_VALUE"""),"FRANCE")</f>
        <v>FRANCE</v>
      </c>
      <c r="AG19" s="1" t="str">
        <f ca="1">IFERROR(__xludf.DUMMYFUNCTION("""COMPUTED_VALUE"""),"MADAGASCAR")</f>
        <v>MADAGASCAR</v>
      </c>
      <c r="AH19" s="1"/>
      <c r="AI19" s="1"/>
      <c r="AJ19" s="1" t="str">
        <f ca="1">IFERROR(__xludf.DUMMYFUNCTION("""COMPUTED_VALUE"""),"F1127")</f>
        <v>F1127</v>
      </c>
      <c r="AK19" s="1" t="str">
        <f ca="1">IFERROR(__xludf.DUMMYFUNCTION("""COMPUTED_VALUE"""),"Divorcée")</f>
        <v>Divorcée</v>
      </c>
      <c r="AL19" s="1" t="str">
        <f ca="1">IFERROR(__xludf.DUMMYFUNCTION("""COMPUTED_VALUE"""),"Célibataire")</f>
        <v>Célibataire</v>
      </c>
      <c r="AM19" s="1" t="str">
        <f ca="1">IFERROR(__xludf.DUMMYFUNCTION("""COMPUTED_VALUE"""),"F1127")</f>
        <v>F1127</v>
      </c>
    </row>
    <row r="20" spans="1:39" ht="15.75" customHeight="1" x14ac:dyDescent="0.15">
      <c r="A20" s="1" t="str">
        <f ca="1">IFERROR(__xludf.DUMMYFUNCTION("""COMPUTED_VALUE"""),"AUBRY Albert Akoi Agamemnon")</f>
        <v>AUBRY Albert Akoi Agamemnon</v>
      </c>
      <c r="B20" s="1" t="str">
        <f ca="1">IFERROR(__xludf.DUMMYFUNCTION("""COMPUTED_VALUE"""),"AUBRY")</f>
        <v>AUBRY</v>
      </c>
      <c r="C20" s="1" t="str">
        <f ca="1">IFERROR(__xludf.DUMMYFUNCTION("""COMPUTED_VALUE"""),"Albert Akoi Agamemnon")</f>
        <v>Albert Akoi Agamemnon</v>
      </c>
      <c r="D20" s="1" t="str">
        <f ca="1">IFERROR(__xludf.DUMMYFUNCTION("""COMPUTED_VALUE"""),"1128E2")</f>
        <v>1128E2</v>
      </c>
      <c r="E20" s="2">
        <f ca="1">IFERROR(__xludf.DUMMYFUNCTION("""COMPUTED_VALUE"""),40555)</f>
        <v>40555</v>
      </c>
      <c r="F20" s="1" t="str">
        <f ca="1">IFERROR(__xludf.DUMMYFUNCTION("""COMPUTED_VALUE"""),"3EME1")</f>
        <v>3EME1</v>
      </c>
      <c r="G20" s="1" t="str">
        <f ca="1">IFERROR(__xludf.DUMMYFUNCTION("""COMPUTED_VALUE"""),"3ème")</f>
        <v>3ème</v>
      </c>
      <c r="H20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20" s="1" t="str">
        <f ca="1">IFERROR(__xludf.DUMMYFUNCTION("""COMPUTED_VALUE"""),"LVA Anglais")</f>
        <v>LVA Anglais</v>
      </c>
      <c r="J20" s="1" t="str">
        <f ca="1">IFERROR(__xludf.DUMMYFUNCTION("""COMPUTED_VALUE"""),"LVB Espagnol")</f>
        <v>LVB Espagnol</v>
      </c>
      <c r="K20" s="1"/>
      <c r="L20" s="1"/>
      <c r="M20" s="1"/>
      <c r="N20" s="1" t="str">
        <f ca="1">IFERROR(__xludf.DUMMYFUNCTION("""COMPUTED_VALUE"""),"Garçon")</f>
        <v>Garçon</v>
      </c>
      <c r="O20" s="1"/>
      <c r="P20" s="1" t="str">
        <f ca="1">IFERROR(__xludf.DUMMYFUNCTION("""COMPUTED_VALUE"""),"FRANCE")</f>
        <v>FRANCE</v>
      </c>
      <c r="Q20" s="1" t="str">
        <f ca="1">IFERROR(__xludf.DUMMYFUNCTION("""COMPUTED_VALUE"""),"LIBERIA")</f>
        <v>LIBERIA</v>
      </c>
      <c r="R20" s="1" t="str">
        <f ca="1">IFERROR(__xludf.DUMMYFUNCTION("""COMPUTED_VALUE"""),"albert.aubry@lfjpsaly.org")</f>
        <v>albert.aubry@lfjpsaly.org</v>
      </c>
      <c r="S20" s="1"/>
      <c r="T20" s="1" t="str">
        <f ca="1">IFERROR(__xludf.DUMMYFUNCTION("""COMPUTED_VALUE"""),"AUBRY Alexandre")</f>
        <v>AUBRY Alexandre</v>
      </c>
      <c r="U20" s="1" t="str">
        <f ca="1">IFERROR(__xludf.DUMMYFUNCTION("""COMPUTED_VALUE"""),"AUBRY Soenie")</f>
        <v>AUBRY Soenie</v>
      </c>
      <c r="V20" s="1" t="str">
        <f ca="1">IFERROR(__xludf.DUMMYFUNCTION("""COMPUTED_VALUE"""),"alexaubry.africa@gmail.com")</f>
        <v>alexaubry.africa@gmail.com</v>
      </c>
      <c r="W20" s="1" t="str">
        <f ca="1">IFERROR(__xludf.DUMMYFUNCTION("""COMPUTED_VALUE"""),"asoenie@yahoo.com")</f>
        <v>asoenie@yahoo.com</v>
      </c>
      <c r="X20" s="1" t="str">
        <f ca="1">IFERROR(__xludf.DUMMYFUNCTION("""COMPUTED_VALUE"""),"+221 77 333 22 22")</f>
        <v>+221 77 333 22 22</v>
      </c>
      <c r="Y20" s="1" t="str">
        <f ca="1">IFERROR(__xludf.DUMMYFUNCTION("""COMPUTED_VALUE"""),"+221 77 299 74 70")</f>
        <v>+221 77 299 74 70</v>
      </c>
      <c r="Z20" s="1" t="str">
        <f ca="1">IFERROR(__xludf.DUMMYFUNCTION("""COMPUTED_VALUE"""),"+221")</f>
        <v>+221</v>
      </c>
      <c r="AA20" s="1"/>
      <c r="AB20" s="2">
        <f ca="1">IFERROR(__xludf.DUMMYFUNCTION("""COMPUTED_VALUE"""),28575)</f>
        <v>28575</v>
      </c>
      <c r="AC20" s="2">
        <f ca="1">IFERROR(__xludf.DUMMYFUNCTION("""COMPUTED_VALUE"""),30535)</f>
        <v>30535</v>
      </c>
      <c r="AD20" s="1" t="str">
        <f ca="1">IFERROR(__xludf.DUMMYFUNCTION("""COMPUTED_VALUE"""),"PERE")</f>
        <v>PERE</v>
      </c>
      <c r="AE20" s="1" t="str">
        <f ca="1">IFERROR(__xludf.DUMMYFUNCTION("""COMPUTED_VALUE"""),"MERE")</f>
        <v>MERE</v>
      </c>
      <c r="AF20" s="1" t="str">
        <f ca="1">IFERROR(__xludf.DUMMYFUNCTION("""COMPUTED_VALUE"""),"FRANCE")</f>
        <v>FRANCE</v>
      </c>
      <c r="AG20" s="1" t="str">
        <f ca="1">IFERROR(__xludf.DUMMYFUNCTION("""COMPUTED_VALUE"""),"LIBERIA")</f>
        <v>LIBERIA</v>
      </c>
      <c r="AH20" s="1"/>
      <c r="AI20" s="1"/>
      <c r="AJ20" s="1" t="str">
        <f ca="1">IFERROR(__xludf.DUMMYFUNCTION("""COMPUTED_VALUE"""),"F1128")</f>
        <v>F1128</v>
      </c>
      <c r="AK20" s="1" t="str">
        <f ca="1">IFERROR(__xludf.DUMMYFUNCTION("""COMPUTED_VALUE"""),"Marié(e)")</f>
        <v>Marié(e)</v>
      </c>
      <c r="AL20" s="1" t="str">
        <f ca="1">IFERROR(__xludf.DUMMYFUNCTION("""COMPUTED_VALUE"""),"Marié(e)")</f>
        <v>Marié(e)</v>
      </c>
      <c r="AM20" s="1" t="str">
        <f ca="1">IFERROR(__xludf.DUMMYFUNCTION("""COMPUTED_VALUE"""),"F1128")</f>
        <v>F1128</v>
      </c>
    </row>
    <row r="21" spans="1:39" ht="15.75" customHeight="1" x14ac:dyDescent="0.15">
      <c r="A21" s="1" t="str">
        <f ca="1">IFERROR(__xludf.DUMMYFUNCTION("""COMPUTED_VALUE"""),"AUBRY Nikita Aesseh Athena")</f>
        <v>AUBRY Nikita Aesseh Athena</v>
      </c>
      <c r="B21" s="1" t="str">
        <f ca="1">IFERROR(__xludf.DUMMYFUNCTION("""COMPUTED_VALUE"""),"AUBRY")</f>
        <v>AUBRY</v>
      </c>
      <c r="C21" s="1" t="str">
        <f ca="1">IFERROR(__xludf.DUMMYFUNCTION("""COMPUTED_VALUE"""),"Nikita Aesseh Athena")</f>
        <v>Nikita Aesseh Athena</v>
      </c>
      <c r="D21" s="1" t="str">
        <f ca="1">IFERROR(__xludf.DUMMYFUNCTION("""COMPUTED_VALUE"""),"1128E3")</f>
        <v>1128E3</v>
      </c>
      <c r="E21" s="2">
        <f ca="1">IFERROR(__xludf.DUMMYFUNCTION("""COMPUTED_VALUE"""),41359)</f>
        <v>41359</v>
      </c>
      <c r="F21" s="1" t="str">
        <f ca="1">IFERROR(__xludf.DUMMYFUNCTION("""COMPUTED_VALUE"""),"5EME1")</f>
        <v>5EME1</v>
      </c>
      <c r="G21" s="1" t="str">
        <f ca="1">IFERROR(__xludf.DUMMYFUNCTION("""COMPUTED_VALUE"""),"5ème")</f>
        <v>5ème</v>
      </c>
      <c r="H21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21" s="1" t="str">
        <f ca="1">IFERROR(__xludf.DUMMYFUNCTION("""COMPUTED_VALUE"""),"LVA Anglais")</f>
        <v>LVA Anglais</v>
      </c>
      <c r="J21" s="1" t="str">
        <f ca="1">IFERROR(__xludf.DUMMYFUNCTION("""COMPUTED_VALUE"""),"LVB Espagnol")</f>
        <v>LVB Espagnol</v>
      </c>
      <c r="K21" s="1"/>
      <c r="L21" s="1"/>
      <c r="M21" s="1"/>
      <c r="N21" s="1" t="str">
        <f ca="1">IFERROR(__xludf.DUMMYFUNCTION("""COMPUTED_VALUE"""),"Fille")</f>
        <v>Fille</v>
      </c>
      <c r="O21" s="1"/>
      <c r="P21" s="1" t="str">
        <f ca="1">IFERROR(__xludf.DUMMYFUNCTION("""COMPUTED_VALUE"""),"FRANCE")</f>
        <v>FRANCE</v>
      </c>
      <c r="Q21" s="1" t="str">
        <f ca="1">IFERROR(__xludf.DUMMYFUNCTION("""COMPUTED_VALUE"""),"LIBERIA")</f>
        <v>LIBERIA</v>
      </c>
      <c r="R21" s="1" t="str">
        <f ca="1">IFERROR(__xludf.DUMMYFUNCTION("""COMPUTED_VALUE"""),"nikita.aubry@lfjpsaly.org")</f>
        <v>nikita.aubry@lfjpsaly.org</v>
      </c>
      <c r="S21" s="1"/>
      <c r="T21" s="1" t="str">
        <f ca="1">IFERROR(__xludf.DUMMYFUNCTION("""COMPUTED_VALUE"""),"AUBRY Alexandre")</f>
        <v>AUBRY Alexandre</v>
      </c>
      <c r="U21" s="1" t="str">
        <f ca="1">IFERROR(__xludf.DUMMYFUNCTION("""COMPUTED_VALUE"""),"AUBRY Soenie")</f>
        <v>AUBRY Soenie</v>
      </c>
      <c r="V21" s="1" t="str">
        <f ca="1">IFERROR(__xludf.DUMMYFUNCTION("""COMPUTED_VALUE"""),"alexaubry.africa@gmail.com")</f>
        <v>alexaubry.africa@gmail.com</v>
      </c>
      <c r="W21" s="1" t="str">
        <f ca="1">IFERROR(__xludf.DUMMYFUNCTION("""COMPUTED_VALUE"""),"asoenie@yahoo.com")</f>
        <v>asoenie@yahoo.com</v>
      </c>
      <c r="X21" s="1" t="str">
        <f ca="1">IFERROR(__xludf.DUMMYFUNCTION("""COMPUTED_VALUE"""),"+221 77 333 22 22")</f>
        <v>+221 77 333 22 22</v>
      </c>
      <c r="Y21" s="1" t="str">
        <f ca="1">IFERROR(__xludf.DUMMYFUNCTION("""COMPUTED_VALUE"""),"+221 77 299 74 70")</f>
        <v>+221 77 299 74 70</v>
      </c>
      <c r="Z21" s="1" t="str">
        <f ca="1">IFERROR(__xludf.DUMMYFUNCTION("""COMPUTED_VALUE"""),"+221")</f>
        <v>+221</v>
      </c>
      <c r="AA21" s="1"/>
      <c r="AB21" s="2">
        <f ca="1">IFERROR(__xludf.DUMMYFUNCTION("""COMPUTED_VALUE"""),28575)</f>
        <v>28575</v>
      </c>
      <c r="AC21" s="2">
        <f ca="1">IFERROR(__xludf.DUMMYFUNCTION("""COMPUTED_VALUE"""),30535)</f>
        <v>30535</v>
      </c>
      <c r="AD21" s="1" t="str">
        <f ca="1">IFERROR(__xludf.DUMMYFUNCTION("""COMPUTED_VALUE"""),"PERE")</f>
        <v>PERE</v>
      </c>
      <c r="AE21" s="1" t="str">
        <f ca="1">IFERROR(__xludf.DUMMYFUNCTION("""COMPUTED_VALUE"""),"MERE")</f>
        <v>MERE</v>
      </c>
      <c r="AF21" s="1" t="str">
        <f ca="1">IFERROR(__xludf.DUMMYFUNCTION("""COMPUTED_VALUE"""),"FRANCE")</f>
        <v>FRANCE</v>
      </c>
      <c r="AG21" s="1" t="str">
        <f ca="1">IFERROR(__xludf.DUMMYFUNCTION("""COMPUTED_VALUE"""),"LIBERIA")</f>
        <v>LIBERIA</v>
      </c>
      <c r="AH21" s="1"/>
      <c r="AI21" s="1"/>
      <c r="AJ21" s="1" t="str">
        <f ca="1">IFERROR(__xludf.DUMMYFUNCTION("""COMPUTED_VALUE"""),"F1128")</f>
        <v>F1128</v>
      </c>
      <c r="AK21" s="1" t="str">
        <f ca="1">IFERROR(__xludf.DUMMYFUNCTION("""COMPUTED_VALUE"""),"Marié(e)")</f>
        <v>Marié(e)</v>
      </c>
      <c r="AL21" s="1" t="str">
        <f ca="1">IFERROR(__xludf.DUMMYFUNCTION("""COMPUTED_VALUE"""),"Marié(e)")</f>
        <v>Marié(e)</v>
      </c>
      <c r="AM21" s="1" t="str">
        <f ca="1">IFERROR(__xludf.DUMMYFUNCTION("""COMPUTED_VALUE"""),"F1128")</f>
        <v>F1128</v>
      </c>
    </row>
    <row r="22" spans="1:39" ht="15.75" customHeight="1" x14ac:dyDescent="0.15">
      <c r="A22" s="1" t="str">
        <f ca="1">IFERROR(__xludf.DUMMYFUNCTION("""COMPUTED_VALUE"""),"AUBRY Talli Wolnlal Artemis")</f>
        <v>AUBRY Talli Wolnlal Artemis</v>
      </c>
      <c r="B22" s="1" t="str">
        <f ca="1">IFERROR(__xludf.DUMMYFUNCTION("""COMPUTED_VALUE"""),"AUBRY")</f>
        <v>AUBRY</v>
      </c>
      <c r="C22" s="1" t="str">
        <f ca="1">IFERROR(__xludf.DUMMYFUNCTION("""COMPUTED_VALUE"""),"Talli Wolnlal Artemis")</f>
        <v>Talli Wolnlal Artemis</v>
      </c>
      <c r="D22" s="1" t="str">
        <f ca="1">IFERROR(__xludf.DUMMYFUNCTION("""COMPUTED_VALUE"""),"1128E1")</f>
        <v>1128E1</v>
      </c>
      <c r="E22" s="2">
        <f ca="1">IFERROR(__xludf.DUMMYFUNCTION("""COMPUTED_VALUE"""),42048)</f>
        <v>42048</v>
      </c>
      <c r="F22" s="1" t="str">
        <f ca="1">IFERROR(__xludf.DUMMYFUNCTION("""COMPUTED_VALUE"""),"CM2A")</f>
        <v>CM2A</v>
      </c>
      <c r="G22" s="1" t="str">
        <f ca="1">IFERROR(__xludf.DUMMYFUNCTION("""COMPUTED_VALUE"""),"CM2")</f>
        <v>CM2</v>
      </c>
      <c r="H22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22" s="1"/>
      <c r="J22" s="1"/>
      <c r="K22" s="1"/>
      <c r="L22" s="1"/>
      <c r="M22" s="1"/>
      <c r="N22" s="1" t="str">
        <f ca="1">IFERROR(__xludf.DUMMYFUNCTION("""COMPUTED_VALUE"""),"Fille")</f>
        <v>Fille</v>
      </c>
      <c r="O22" s="1"/>
      <c r="P22" s="1" t="str">
        <f ca="1">IFERROR(__xludf.DUMMYFUNCTION("""COMPUTED_VALUE"""),"FRANCE")</f>
        <v>FRANCE</v>
      </c>
      <c r="Q22" s="1" t="str">
        <f ca="1">IFERROR(__xludf.DUMMYFUNCTION("""COMPUTED_VALUE"""),"LIBERIA")</f>
        <v>LIBERIA</v>
      </c>
      <c r="R22" s="1"/>
      <c r="S22" s="1"/>
      <c r="T22" s="1" t="str">
        <f ca="1">IFERROR(__xludf.DUMMYFUNCTION("""COMPUTED_VALUE"""),"AUBRY Alexandre")</f>
        <v>AUBRY Alexandre</v>
      </c>
      <c r="U22" s="1" t="str">
        <f ca="1">IFERROR(__xludf.DUMMYFUNCTION("""COMPUTED_VALUE"""),"AUBRY Soenie")</f>
        <v>AUBRY Soenie</v>
      </c>
      <c r="V22" s="1" t="str">
        <f ca="1">IFERROR(__xludf.DUMMYFUNCTION("""COMPUTED_VALUE"""),"alexaubry.africa@gmail.com")</f>
        <v>alexaubry.africa@gmail.com</v>
      </c>
      <c r="W22" s="1" t="str">
        <f ca="1">IFERROR(__xludf.DUMMYFUNCTION("""COMPUTED_VALUE"""),"asoenie@yahoo.com")</f>
        <v>asoenie@yahoo.com</v>
      </c>
      <c r="X22" s="1" t="str">
        <f ca="1">IFERROR(__xludf.DUMMYFUNCTION("""COMPUTED_VALUE"""),"+221 77 333 22 22")</f>
        <v>+221 77 333 22 22</v>
      </c>
      <c r="Y22" s="1" t="str">
        <f ca="1">IFERROR(__xludf.DUMMYFUNCTION("""COMPUTED_VALUE"""),"+221 77 299 74 70")</f>
        <v>+221 77 299 74 70</v>
      </c>
      <c r="Z22" s="1" t="str">
        <f ca="1">IFERROR(__xludf.DUMMYFUNCTION("""COMPUTED_VALUE"""),"+221")</f>
        <v>+221</v>
      </c>
      <c r="AA22" s="1"/>
      <c r="AB22" s="2">
        <f ca="1">IFERROR(__xludf.DUMMYFUNCTION("""COMPUTED_VALUE"""),28575)</f>
        <v>28575</v>
      </c>
      <c r="AC22" s="2">
        <f ca="1">IFERROR(__xludf.DUMMYFUNCTION("""COMPUTED_VALUE"""),30535)</f>
        <v>30535</v>
      </c>
      <c r="AD22" s="1" t="str">
        <f ca="1">IFERROR(__xludf.DUMMYFUNCTION("""COMPUTED_VALUE"""),"PERE")</f>
        <v>PERE</v>
      </c>
      <c r="AE22" s="1" t="str">
        <f ca="1">IFERROR(__xludf.DUMMYFUNCTION("""COMPUTED_VALUE"""),"MERE")</f>
        <v>MERE</v>
      </c>
      <c r="AF22" s="1" t="str">
        <f ca="1">IFERROR(__xludf.DUMMYFUNCTION("""COMPUTED_VALUE"""),"FRANCE")</f>
        <v>FRANCE</v>
      </c>
      <c r="AG22" s="1" t="str">
        <f ca="1">IFERROR(__xludf.DUMMYFUNCTION("""COMPUTED_VALUE"""),"LIBERIA")</f>
        <v>LIBERIA</v>
      </c>
      <c r="AH22" s="1"/>
      <c r="AI22" s="1"/>
      <c r="AJ22" s="1" t="str">
        <f ca="1">IFERROR(__xludf.DUMMYFUNCTION("""COMPUTED_VALUE"""),"F1128")</f>
        <v>F1128</v>
      </c>
      <c r="AK22" s="1" t="str">
        <f ca="1">IFERROR(__xludf.DUMMYFUNCTION("""COMPUTED_VALUE"""),"Marié(e)")</f>
        <v>Marié(e)</v>
      </c>
      <c r="AL22" s="1" t="str">
        <f ca="1">IFERROR(__xludf.DUMMYFUNCTION("""COMPUTED_VALUE"""),"Marié(e)")</f>
        <v>Marié(e)</v>
      </c>
      <c r="AM22" s="1" t="str">
        <f ca="1">IFERROR(__xludf.DUMMYFUNCTION("""COMPUTED_VALUE"""),"F1128")</f>
        <v>F1128</v>
      </c>
    </row>
    <row r="23" spans="1:39" ht="15.75" customHeight="1" x14ac:dyDescent="0.15">
      <c r="A23" s="1" t="str">
        <f ca="1">IFERROR(__xludf.DUMMYFUNCTION("""COMPUTED_VALUE"""),"BA Abygaëlle Bilel")</f>
        <v>BA Abygaëlle Bilel</v>
      </c>
      <c r="B23" s="1" t="str">
        <f ca="1">IFERROR(__xludf.DUMMYFUNCTION("""COMPUTED_VALUE"""),"BA")</f>
        <v>BA</v>
      </c>
      <c r="C23" s="1" t="str">
        <f ca="1">IFERROR(__xludf.DUMMYFUNCTION("""COMPUTED_VALUE"""),"Abygaëlle Bilel")</f>
        <v>Abygaëlle Bilel</v>
      </c>
      <c r="D23" s="1" t="str">
        <f ca="1">IFERROR(__xludf.DUMMYFUNCTION("""COMPUTED_VALUE"""),"1133E1")</f>
        <v>1133E1</v>
      </c>
      <c r="E23" s="2">
        <f ca="1">IFERROR(__xludf.DUMMYFUNCTION("""COMPUTED_VALUE"""),40749)</f>
        <v>40749</v>
      </c>
      <c r="F23" s="1" t="str">
        <f ca="1">IFERROR(__xludf.DUMMYFUNCTION("""COMPUTED_VALUE"""),"3EME2")</f>
        <v>3EME2</v>
      </c>
      <c r="G23" s="1" t="str">
        <f ca="1">IFERROR(__xludf.DUMMYFUNCTION("""COMPUTED_VALUE"""),"3ème")</f>
        <v>3ème</v>
      </c>
      <c r="H23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23" s="1" t="str">
        <f ca="1">IFERROR(__xludf.DUMMYFUNCTION("""COMPUTED_VALUE"""),"LVA Anglais")</f>
        <v>LVA Anglais</v>
      </c>
      <c r="J23" s="1" t="str">
        <f ca="1">IFERROR(__xludf.DUMMYFUNCTION("""COMPUTED_VALUE"""),"LVB Espagnol")</f>
        <v>LVB Espagnol</v>
      </c>
      <c r="K23" s="1"/>
      <c r="L23" s="1"/>
      <c r="M23" s="1"/>
      <c r="N23" s="1" t="str">
        <f ca="1">IFERROR(__xludf.DUMMYFUNCTION("""COMPUTED_VALUE"""),"Fille")</f>
        <v>Fille</v>
      </c>
      <c r="O23" s="1"/>
      <c r="P23" s="1" t="str">
        <f ca="1">IFERROR(__xludf.DUMMYFUNCTION("""COMPUTED_VALUE"""),"FRANCE")</f>
        <v>FRANCE</v>
      </c>
      <c r="Q23" s="1" t="str">
        <f ca="1">IFERROR(__xludf.DUMMYFUNCTION("""COMPUTED_VALUE"""),"SENEGAL")</f>
        <v>SENEGAL</v>
      </c>
      <c r="R23" s="1" t="str">
        <f ca="1">IFERROR(__xludf.DUMMYFUNCTION("""COMPUTED_VALUE"""),"abygaelle.ba@lfjpsaly.org")</f>
        <v>abygaelle.ba@lfjpsaly.org</v>
      </c>
      <c r="S23" s="1" t="str">
        <f ca="1">IFERROR(__xludf.DUMMYFUNCTION("""COMPUTED_VALUE"""),"+221 77 789 94 46")</f>
        <v>+221 77 789 94 46</v>
      </c>
      <c r="T23" s="1" t="str">
        <f ca="1">IFERROR(__xludf.DUMMYFUNCTION("""COMPUTED_VALUE"""),"BA Thérèse Mayé")</f>
        <v>BA Thérèse Mayé</v>
      </c>
      <c r="U23" s="1" t="str">
        <f ca="1">IFERROR(__xludf.DUMMYFUNCTION("""COMPUTED_VALUE"""),"BA Abdoulaye")</f>
        <v>BA Abdoulaye</v>
      </c>
      <c r="V23" s="1" t="str">
        <f ca="1">IFERROR(__xludf.DUMMYFUNCTION("""COMPUTED_VALUE"""),"growinglifefarm@gmail.com")</f>
        <v>growinglifefarm@gmail.com</v>
      </c>
      <c r="W23" s="1" t="str">
        <f ca="1">IFERROR(__xludf.DUMMYFUNCTION("""COMPUTED_VALUE"""),"abdoulaye_ba@hotmail.com")</f>
        <v>abdoulaye_ba@hotmail.com</v>
      </c>
      <c r="X23" s="1" t="str">
        <f ca="1">IFERROR(__xludf.DUMMYFUNCTION("""COMPUTED_VALUE"""),"+221 77 789 94 46")</f>
        <v>+221 77 789 94 46</v>
      </c>
      <c r="Y23" s="1" t="str">
        <f ca="1">IFERROR(__xludf.DUMMYFUNCTION("""COMPUTED_VALUE"""),"+221 77 118 23 82")</f>
        <v>+221 77 118 23 82</v>
      </c>
      <c r="Z23" s="1" t="str">
        <f ca="1">IFERROR(__xludf.DUMMYFUNCTION("""COMPUTED_VALUE"""),"+221")</f>
        <v>+221</v>
      </c>
      <c r="AA23" s="1"/>
      <c r="AB23" s="2">
        <f ca="1">IFERROR(__xludf.DUMMYFUNCTION("""COMPUTED_VALUE"""),26551)</f>
        <v>26551</v>
      </c>
      <c r="AC23" s="2">
        <f ca="1">IFERROR(__xludf.DUMMYFUNCTION("""COMPUTED_VALUE"""),18647)</f>
        <v>18647</v>
      </c>
      <c r="AD23" s="1" t="str">
        <f ca="1">IFERROR(__xludf.DUMMYFUNCTION("""COMPUTED_VALUE"""),"MERE")</f>
        <v>MERE</v>
      </c>
      <c r="AE23" s="1" t="str">
        <f ca="1">IFERROR(__xludf.DUMMYFUNCTION("""COMPUTED_VALUE"""),"PERE")</f>
        <v>PERE</v>
      </c>
      <c r="AF23" s="1" t="str">
        <f ca="1">IFERROR(__xludf.DUMMYFUNCTION("""COMPUTED_VALUE"""),"SENEGAL")</f>
        <v>SENEGAL</v>
      </c>
      <c r="AG23" s="1" t="str">
        <f ca="1">IFERROR(__xludf.DUMMYFUNCTION("""COMPUTED_VALUE"""),"FRANCE")</f>
        <v>FRANCE</v>
      </c>
      <c r="AH23" s="1" t="str">
        <f ca="1">IFERROR(__xludf.DUMMYFUNCTION("""COMPUTED_VALUE"""),"SENEGAL")</f>
        <v>SENEGAL</v>
      </c>
      <c r="AI23" s="1" t="str">
        <f ca="1">IFERROR(__xludf.DUMMYFUNCTION("""COMPUTED_VALUE"""),"SENEGAL")</f>
        <v>SENEGAL</v>
      </c>
      <c r="AJ23" s="1" t="str">
        <f ca="1">IFERROR(__xludf.DUMMYFUNCTION("""COMPUTED_VALUE"""),"F1133")</f>
        <v>F1133</v>
      </c>
      <c r="AK23" s="1" t="str">
        <f ca="1">IFERROR(__xludf.DUMMYFUNCTION("""COMPUTED_VALUE"""),"Marié(e)")</f>
        <v>Marié(e)</v>
      </c>
      <c r="AL23" s="1" t="str">
        <f ca="1">IFERROR(__xludf.DUMMYFUNCTION("""COMPUTED_VALUE"""),"Marié(e)")</f>
        <v>Marié(e)</v>
      </c>
      <c r="AM23" s="1" t="str">
        <f ca="1">IFERROR(__xludf.DUMMYFUNCTION("""COMPUTED_VALUE"""),"F1133")</f>
        <v>F1133</v>
      </c>
    </row>
    <row r="24" spans="1:39" ht="15.75" customHeight="1" x14ac:dyDescent="0.15">
      <c r="A24" s="1" t="str">
        <f ca="1">IFERROR(__xludf.DUMMYFUNCTION("""COMPUTED_VALUE"""),"BA Coumba")</f>
        <v>BA Coumba</v>
      </c>
      <c r="B24" s="1" t="str">
        <f ca="1">IFERROR(__xludf.DUMMYFUNCTION("""COMPUTED_VALUE"""),"BA")</f>
        <v>BA</v>
      </c>
      <c r="C24" s="1" t="str">
        <f ca="1">IFERROR(__xludf.DUMMYFUNCTION("""COMPUTED_VALUE"""),"Coumba")</f>
        <v>Coumba</v>
      </c>
      <c r="D24" s="1" t="str">
        <f ca="1">IFERROR(__xludf.DUMMYFUNCTION("""COMPUTED_VALUE"""),"1136E1")</f>
        <v>1136E1</v>
      </c>
      <c r="E24" s="2">
        <f ca="1">IFERROR(__xludf.DUMMYFUNCTION("""COMPUTED_VALUE"""),41168)</f>
        <v>41168</v>
      </c>
      <c r="F24" s="1" t="str">
        <f ca="1">IFERROR(__xludf.DUMMYFUNCTION("""COMPUTED_VALUE"""),"5EME1")</f>
        <v>5EME1</v>
      </c>
      <c r="G24" s="1" t="str">
        <f ca="1">IFERROR(__xludf.DUMMYFUNCTION("""COMPUTED_VALUE"""),"5ème")</f>
        <v>5ème</v>
      </c>
      <c r="H24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24" s="1" t="str">
        <f ca="1">IFERROR(__xludf.DUMMYFUNCTION("""COMPUTED_VALUE"""),"LVA Anglais")</f>
        <v>LVA Anglais</v>
      </c>
      <c r="J24" s="1" t="str">
        <f ca="1">IFERROR(__xludf.DUMMYFUNCTION("""COMPUTED_VALUE"""),"LVB Espagnol")</f>
        <v>LVB Espagnol</v>
      </c>
      <c r="K24" s="1"/>
      <c r="L24" s="1"/>
      <c r="M24" s="1"/>
      <c r="N24" s="1" t="str">
        <f ca="1">IFERROR(__xludf.DUMMYFUNCTION("""COMPUTED_VALUE"""),"Fille")</f>
        <v>Fille</v>
      </c>
      <c r="O24" s="1"/>
      <c r="P24" s="1" t="str">
        <f ca="1">IFERROR(__xludf.DUMMYFUNCTION("""COMPUTED_VALUE"""),"SENEGAL")</f>
        <v>SENEGAL</v>
      </c>
      <c r="Q24" s="1" t="str">
        <f ca="1">IFERROR(__xludf.DUMMYFUNCTION("""COMPUTED_VALUE"""),"SENEGAL")</f>
        <v>SENEGAL</v>
      </c>
      <c r="R24" s="1" t="str">
        <f ca="1">IFERROR(__xludf.DUMMYFUNCTION("""COMPUTED_VALUE"""),"coumba.ba@lfjpsaly.org")</f>
        <v>coumba.ba@lfjpsaly.org</v>
      </c>
      <c r="S24" s="1" t="str">
        <f ca="1">IFERROR(__xludf.DUMMYFUNCTION("""COMPUTED_VALUE"""),"+221 77 360 18 35")</f>
        <v>+221 77 360 18 35</v>
      </c>
      <c r="T24" s="1" t="str">
        <f ca="1">IFERROR(__xludf.DUMMYFUNCTION("""COMPUTED_VALUE"""),"BA Ndeye Diaty")</f>
        <v>BA Ndeye Diaty</v>
      </c>
      <c r="U24" s="1" t="str">
        <f ca="1">IFERROR(__xludf.DUMMYFUNCTION("""COMPUTED_VALUE"""),"LEWYLLIE Hlodwig")</f>
        <v>LEWYLLIE Hlodwig</v>
      </c>
      <c r="V24" s="1" t="str">
        <f ca="1">IFERROR(__xludf.DUMMYFUNCTION("""COMPUTED_VALUE"""),"airbnb@o-cupidon-dore.com")</f>
        <v>airbnb@o-cupidon-dore.com</v>
      </c>
      <c r="W24" s="1" t="str">
        <f ca="1">IFERROR(__xludf.DUMMYFUNCTION("""COMPUTED_VALUE"""),"airbnb@o-cupidon-dore.com")</f>
        <v>airbnb@o-cupidon-dore.com</v>
      </c>
      <c r="X24" s="1" t="str">
        <f ca="1">IFERROR(__xludf.DUMMYFUNCTION("""COMPUTED_VALUE"""),"+221 77 360 18 35")</f>
        <v>+221 77 360 18 35</v>
      </c>
      <c r="Y24" s="1" t="str">
        <f ca="1">IFERROR(__xludf.DUMMYFUNCTION("""COMPUTED_VALUE"""),"+32 492 88 73 33")</f>
        <v>+32 492 88 73 33</v>
      </c>
      <c r="Z24" s="1" t="str">
        <f ca="1">IFERROR(__xludf.DUMMYFUNCTION("""COMPUTED_VALUE"""),"+221 77 360 18 35")</f>
        <v>+221 77 360 18 35</v>
      </c>
      <c r="AA24" s="1" t="str">
        <f ca="1">IFERROR(__xludf.DUMMYFUNCTION("""COMPUTED_VALUE"""),"+221 78 100 88 65")</f>
        <v>+221 78 100 88 65</v>
      </c>
      <c r="AB24" s="2">
        <f ca="1">IFERROR(__xludf.DUMMYFUNCTION("""COMPUTED_VALUE"""),25865)</f>
        <v>25865</v>
      </c>
      <c r="AC24" s="2">
        <f ca="1">IFERROR(__xludf.DUMMYFUNCTION("""COMPUTED_VALUE"""),22922)</f>
        <v>22922</v>
      </c>
      <c r="AD24" s="1" t="str">
        <f ca="1">IFERROR(__xludf.DUMMYFUNCTION("""COMPUTED_VALUE"""),"MERE")</f>
        <v>MERE</v>
      </c>
      <c r="AE24" s="1" t="str">
        <f ca="1">IFERROR(__xludf.DUMMYFUNCTION("""COMPUTED_VALUE"""),"AUTRE LIEN")</f>
        <v>AUTRE LIEN</v>
      </c>
      <c r="AF24" s="1" t="str">
        <f ca="1">IFERROR(__xludf.DUMMYFUNCTION("""COMPUTED_VALUE"""),"SENEGAL")</f>
        <v>SENEGAL</v>
      </c>
      <c r="AG24" s="1" t="str">
        <f ca="1">IFERROR(__xludf.DUMMYFUNCTION("""COMPUTED_VALUE"""),"BELGIQUE")</f>
        <v>BELGIQUE</v>
      </c>
      <c r="AH24" s="1" t="str">
        <f ca="1">IFERROR(__xludf.DUMMYFUNCTION("""COMPUTED_VALUE"""),"BELGIQUE")</f>
        <v>BELGIQUE</v>
      </c>
      <c r="AI24" s="1"/>
      <c r="AJ24" s="1" t="str">
        <f ca="1">IFERROR(__xludf.DUMMYFUNCTION("""COMPUTED_VALUE"""),"F1136")</f>
        <v>F1136</v>
      </c>
      <c r="AK24" s="1" t="str">
        <f ca="1">IFERROR(__xludf.DUMMYFUNCTION("""COMPUTED_VALUE"""),"Marié(e)")</f>
        <v>Marié(e)</v>
      </c>
      <c r="AL24" s="1" t="str">
        <f ca="1">IFERROR(__xludf.DUMMYFUNCTION("""COMPUTED_VALUE"""),"Marié(e)")</f>
        <v>Marié(e)</v>
      </c>
      <c r="AM24" s="1" t="str">
        <f ca="1">IFERROR(__xludf.DUMMYFUNCTION("""COMPUTED_VALUE"""),"F1136")</f>
        <v>F1136</v>
      </c>
    </row>
    <row r="25" spans="1:39" ht="15.75" customHeight="1" x14ac:dyDescent="0.15">
      <c r="A25" s="1" t="str">
        <f ca="1">IFERROR(__xludf.DUMMYFUNCTION("""COMPUTED_VALUE"""),"BA Debo")</f>
        <v>BA Debo</v>
      </c>
      <c r="B25" s="1" t="str">
        <f ca="1">IFERROR(__xludf.DUMMYFUNCTION("""COMPUTED_VALUE"""),"BA")</f>
        <v>BA</v>
      </c>
      <c r="C25" s="1" t="str">
        <f ca="1">IFERROR(__xludf.DUMMYFUNCTION("""COMPUTED_VALUE"""),"Debo")</f>
        <v>Debo</v>
      </c>
      <c r="D25" s="1" t="str">
        <f ca="1">IFERROR(__xludf.DUMMYFUNCTION("""COMPUTED_VALUE"""),"1142E1")</f>
        <v>1142E1</v>
      </c>
      <c r="E25" s="2">
        <f ca="1">IFERROR(__xludf.DUMMYFUNCTION("""COMPUTED_VALUE"""),42966)</f>
        <v>42966</v>
      </c>
      <c r="F25" s="1" t="str">
        <f ca="1">IFERROR(__xludf.DUMMYFUNCTION("""COMPUTED_VALUE"""),"CP-CE2")</f>
        <v>CP-CE2</v>
      </c>
      <c r="G25" s="1" t="str">
        <f ca="1">IFERROR(__xludf.DUMMYFUNCTION("""COMPUTED_VALUE"""),"CE2")</f>
        <v>CE2</v>
      </c>
      <c r="H25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25" s="1"/>
      <c r="J25" s="1"/>
      <c r="K25" s="1"/>
      <c r="L25" s="1"/>
      <c r="M25" s="1"/>
      <c r="N25" s="1" t="str">
        <f ca="1">IFERROR(__xludf.DUMMYFUNCTION("""COMPUTED_VALUE"""),"Fille")</f>
        <v>Fille</v>
      </c>
      <c r="O25" s="1"/>
      <c r="P25" s="1" t="str">
        <f ca="1">IFERROR(__xludf.DUMMYFUNCTION("""COMPUTED_VALUE"""),"SENEGAL")</f>
        <v>SENEGAL</v>
      </c>
      <c r="Q25" s="1"/>
      <c r="R25" s="1"/>
      <c r="S25" s="1"/>
      <c r="T25" s="1" t="str">
        <f ca="1">IFERROR(__xludf.DUMMYFUNCTION("""COMPUTED_VALUE"""),"BA Chérif Habidine")</f>
        <v>BA Chérif Habidine</v>
      </c>
      <c r="U25" s="1" t="str">
        <f ca="1">IFERROR(__xludf.DUMMYFUNCTION("""COMPUTED_VALUE"""),"KAMARA Ndèye Aïssatou")</f>
        <v>KAMARA Ndèye Aïssatou</v>
      </c>
      <c r="V25" s="1" t="str">
        <f ca="1">IFERROR(__xludf.DUMMYFUNCTION("""COMPUTED_VALUE"""),"cherifhabidineba@hotmail.com")</f>
        <v>cherifhabidineba@hotmail.com</v>
      </c>
      <c r="W25" s="1" t="str">
        <f ca="1">IFERROR(__xludf.DUMMYFUNCTION("""COMPUTED_VALUE"""),"aissatoukamara@yahoo.fr")</f>
        <v>aissatoukamara@yahoo.fr</v>
      </c>
      <c r="X25" s="1" t="str">
        <f ca="1">IFERROR(__xludf.DUMMYFUNCTION("""COMPUTED_VALUE"""),"+221 77 562 76 34")</f>
        <v>+221 77 562 76 34</v>
      </c>
      <c r="Y25" s="1" t="str">
        <f ca="1">IFERROR(__xludf.DUMMYFUNCTION("""COMPUTED_VALUE"""),"+221 77 649 29 52")</f>
        <v>+221 77 649 29 52</v>
      </c>
      <c r="Z25" s="1"/>
      <c r="AA25" s="1"/>
      <c r="AB25" s="2">
        <f ca="1">IFERROR(__xludf.DUMMYFUNCTION("""COMPUTED_VALUE"""),27218)</f>
        <v>27218</v>
      </c>
      <c r="AC25" s="2">
        <f ca="1">IFERROR(__xludf.DUMMYFUNCTION("""COMPUTED_VALUE"""),28728)</f>
        <v>28728</v>
      </c>
      <c r="AD25" s="1" t="str">
        <f ca="1">IFERROR(__xludf.DUMMYFUNCTION("""COMPUTED_VALUE"""),"PERE")</f>
        <v>PERE</v>
      </c>
      <c r="AE25" s="1" t="str">
        <f ca="1">IFERROR(__xludf.DUMMYFUNCTION("""COMPUTED_VALUE"""),"MERE")</f>
        <v>MERE</v>
      </c>
      <c r="AF25" s="1" t="str">
        <f ca="1">IFERROR(__xludf.DUMMYFUNCTION("""COMPUTED_VALUE"""),"SENEGAL")</f>
        <v>SENEGAL</v>
      </c>
      <c r="AG25" s="1" t="str">
        <f ca="1">IFERROR(__xludf.DUMMYFUNCTION("""COMPUTED_VALUE"""),"SENEGAL")</f>
        <v>SENEGAL</v>
      </c>
      <c r="AH25" s="1"/>
      <c r="AI25" s="1"/>
      <c r="AJ25" s="1" t="str">
        <f ca="1">IFERROR(__xludf.DUMMYFUNCTION("""COMPUTED_VALUE"""),"F1142")</f>
        <v>F1142</v>
      </c>
      <c r="AK25" s="1" t="str">
        <f ca="1">IFERROR(__xludf.DUMMYFUNCTION("""COMPUTED_VALUE"""),"Marié(e)")</f>
        <v>Marié(e)</v>
      </c>
      <c r="AL25" s="1" t="str">
        <f ca="1">IFERROR(__xludf.DUMMYFUNCTION("""COMPUTED_VALUE"""),"Marié(e)")</f>
        <v>Marié(e)</v>
      </c>
      <c r="AM25" s="1" t="str">
        <f ca="1">IFERROR(__xludf.DUMMYFUNCTION("""COMPUTED_VALUE"""),"F1142")</f>
        <v>F1142</v>
      </c>
    </row>
    <row r="26" spans="1:39" ht="15.75" customHeight="1" x14ac:dyDescent="0.15">
      <c r="A26" s="1" t="str">
        <f ca="1">IFERROR(__xludf.DUMMYFUNCTION("""COMPUTED_VALUE"""),"BA Fadhel Alexis")</f>
        <v>BA Fadhel Alexis</v>
      </c>
      <c r="B26" s="1" t="str">
        <f ca="1">IFERROR(__xludf.DUMMYFUNCTION("""COMPUTED_VALUE"""),"BA")</f>
        <v>BA</v>
      </c>
      <c r="C26" s="1" t="str">
        <f ca="1">IFERROR(__xludf.DUMMYFUNCTION("""COMPUTED_VALUE"""),"Fadhel Alexis")</f>
        <v>Fadhel Alexis</v>
      </c>
      <c r="D26" s="1" t="str">
        <f ca="1">IFERROR(__xludf.DUMMYFUNCTION("""COMPUTED_VALUE"""),"1156E1")</f>
        <v>1156E1</v>
      </c>
      <c r="E26" s="2">
        <f ca="1">IFERROR(__xludf.DUMMYFUNCTION("""COMPUTED_VALUE"""),41612)</f>
        <v>41612</v>
      </c>
      <c r="F26" s="1" t="str">
        <f ca="1">IFERROR(__xludf.DUMMYFUNCTION("""COMPUTED_VALUE"""),"5EME2")</f>
        <v>5EME2</v>
      </c>
      <c r="G26" s="1" t="str">
        <f ca="1">IFERROR(__xludf.DUMMYFUNCTION("""COMPUTED_VALUE"""),"5ème")</f>
        <v>5ème</v>
      </c>
      <c r="H26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26" s="1" t="str">
        <f ca="1">IFERROR(__xludf.DUMMYFUNCTION("""COMPUTED_VALUE"""),"LVA Anglais")</f>
        <v>LVA Anglais</v>
      </c>
      <c r="J26" s="1" t="str">
        <f ca="1">IFERROR(__xludf.DUMMYFUNCTION("""COMPUTED_VALUE"""),"LVB Espagnol")</f>
        <v>LVB Espagnol</v>
      </c>
      <c r="K26" s="1"/>
      <c r="L26" s="1"/>
      <c r="M26" s="1"/>
      <c r="N26" s="1" t="str">
        <f ca="1">IFERROR(__xludf.DUMMYFUNCTION("""COMPUTED_VALUE"""),"Garçon")</f>
        <v>Garçon</v>
      </c>
      <c r="O26" s="1"/>
      <c r="P26" s="1" t="str">
        <f ca="1">IFERROR(__xludf.DUMMYFUNCTION("""COMPUTED_VALUE"""),"BELGIQUE")</f>
        <v>BELGIQUE</v>
      </c>
      <c r="Q26" s="1" t="str">
        <f ca="1">IFERROR(__xludf.DUMMYFUNCTION("""COMPUTED_VALUE"""),"SENEGAL")</f>
        <v>SENEGAL</v>
      </c>
      <c r="R26" s="1" t="str">
        <f ca="1">IFERROR(__xludf.DUMMYFUNCTION("""COMPUTED_VALUE"""),"fadhel.ba@lfjpsaly.org")</f>
        <v>fadhel.ba@lfjpsaly.org</v>
      </c>
      <c r="S26" s="1"/>
      <c r="T26" s="1" t="str">
        <f ca="1">IFERROR(__xludf.DUMMYFUNCTION("""COMPUTED_VALUE"""),"D'HONDT Chandrika")</f>
        <v>D'HONDT Chandrika</v>
      </c>
      <c r="U26" s="1" t="str">
        <f ca="1">IFERROR(__xludf.DUMMYFUNCTION("""COMPUTED_VALUE"""),"BA Amadou")</f>
        <v>BA Amadou</v>
      </c>
      <c r="V26" s="1" t="str">
        <f ca="1">IFERROR(__xludf.DUMMYFUNCTION("""COMPUTED_VALUE"""),"dhondtchandrika@gmail.com")</f>
        <v>dhondtchandrika@gmail.com</v>
      </c>
      <c r="W26" s="1" t="str">
        <f ca="1">IFERROR(__xludf.DUMMYFUNCTION("""COMPUTED_VALUE"""),"papispapisba@gmail.com")</f>
        <v>papispapisba@gmail.com</v>
      </c>
      <c r="X26" s="1" t="str">
        <f ca="1">IFERROR(__xludf.DUMMYFUNCTION("""COMPUTED_VALUE"""),"+221 77 277 29 97")</f>
        <v>+221 77 277 29 97</v>
      </c>
      <c r="Y26" s="1" t="str">
        <f ca="1">IFERROR(__xludf.DUMMYFUNCTION("""COMPUTED_VALUE"""),"+221 77 596 27 37")</f>
        <v>+221 77 596 27 37</v>
      </c>
      <c r="Z26" s="1" t="str">
        <f ca="1">IFERROR(__xludf.DUMMYFUNCTION("""COMPUTED_VALUE"""),"+221 77 596 27 37")</f>
        <v>+221 77 596 27 37</v>
      </c>
      <c r="AA26" s="1" t="str">
        <f ca="1">IFERROR(__xludf.DUMMYFUNCTION("""COMPUTED_VALUE"""),"+221 77 277 29 97")</f>
        <v>+221 77 277 29 97</v>
      </c>
      <c r="AB26" s="2">
        <f ca="1">IFERROR(__xludf.DUMMYFUNCTION("""COMPUTED_VALUE"""),25819)</f>
        <v>25819</v>
      </c>
      <c r="AC26" s="2">
        <f ca="1">IFERROR(__xludf.DUMMYFUNCTION("""COMPUTED_VALUE"""),26697)</f>
        <v>26697</v>
      </c>
      <c r="AD26" s="1" t="str">
        <f ca="1">IFERROR(__xludf.DUMMYFUNCTION("""COMPUTED_VALUE"""),"MERE")</f>
        <v>MERE</v>
      </c>
      <c r="AE26" s="1" t="str">
        <f ca="1">IFERROR(__xludf.DUMMYFUNCTION("""COMPUTED_VALUE"""),"PERE")</f>
        <v>PERE</v>
      </c>
      <c r="AF26" s="1" t="str">
        <f ca="1">IFERROR(__xludf.DUMMYFUNCTION("""COMPUTED_VALUE"""),"BELGIQUE")</f>
        <v>BELGIQUE</v>
      </c>
      <c r="AG26" s="1" t="str">
        <f ca="1">IFERROR(__xludf.DUMMYFUNCTION("""COMPUTED_VALUE"""),"SENEGAL")</f>
        <v>SENEGAL</v>
      </c>
      <c r="AH26" s="1"/>
      <c r="AI26" s="1" t="str">
        <f ca="1">IFERROR(__xludf.DUMMYFUNCTION("""COMPUTED_VALUE"""),"SENEGAL")</f>
        <v>SENEGAL</v>
      </c>
      <c r="AJ26" s="1" t="str">
        <f ca="1">IFERROR(__xludf.DUMMYFUNCTION("""COMPUTED_VALUE"""),"F1156")</f>
        <v>F1156</v>
      </c>
      <c r="AK26" s="1" t="str">
        <f ca="1">IFERROR(__xludf.DUMMYFUNCTION("""COMPUTED_VALUE"""),"Marié(e)")</f>
        <v>Marié(e)</v>
      </c>
      <c r="AL26" s="1" t="str">
        <f ca="1">IFERROR(__xludf.DUMMYFUNCTION("""COMPUTED_VALUE"""),"Marié(e)")</f>
        <v>Marié(e)</v>
      </c>
      <c r="AM26" s="1" t="str">
        <f ca="1">IFERROR(__xludf.DUMMYFUNCTION("""COMPUTED_VALUE"""),"F1156")</f>
        <v>F1156</v>
      </c>
    </row>
    <row r="27" spans="1:39" ht="15.75" customHeight="1" x14ac:dyDescent="0.15">
      <c r="A27" s="1" t="str">
        <f ca="1">IFERROR(__xludf.DUMMYFUNCTION("""COMPUTED_VALUE"""),"BA Ismaël")</f>
        <v>BA Ismaël</v>
      </c>
      <c r="B27" s="1" t="str">
        <f ca="1">IFERROR(__xludf.DUMMYFUNCTION("""COMPUTED_VALUE"""),"BA")</f>
        <v>BA</v>
      </c>
      <c r="C27" s="1" t="str">
        <f ca="1">IFERROR(__xludf.DUMMYFUNCTION("""COMPUTED_VALUE"""),"Ismaël")</f>
        <v>Ismaël</v>
      </c>
      <c r="D27" s="1" t="str">
        <f ca="1">IFERROR(__xludf.DUMMYFUNCTION("""COMPUTED_VALUE"""),"1631E1")</f>
        <v>1631E1</v>
      </c>
      <c r="E27" s="2">
        <f ca="1">IFERROR(__xludf.DUMMYFUNCTION("""COMPUTED_VALUE"""),43734)</f>
        <v>43734</v>
      </c>
      <c r="F27" s="1" t="str">
        <f ca="1">IFERROR(__xludf.DUMMYFUNCTION("""COMPUTED_VALUE"""),"CP")</f>
        <v>CP</v>
      </c>
      <c r="G27" s="1" t="str">
        <f ca="1">IFERROR(__xludf.DUMMYFUNCTION("""COMPUTED_VALUE"""),"CP")</f>
        <v>CP</v>
      </c>
      <c r="H27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27" s="1"/>
      <c r="J27" s="1"/>
      <c r="K27" s="1"/>
      <c r="L27" s="1"/>
      <c r="M27" s="1"/>
      <c r="N27" s="1" t="str">
        <f ca="1">IFERROR(__xludf.DUMMYFUNCTION("""COMPUTED_VALUE"""),"Garçon")</f>
        <v>Garçon</v>
      </c>
      <c r="O27" s="1"/>
      <c r="P27" s="1" t="str">
        <f ca="1">IFERROR(__xludf.DUMMYFUNCTION("""COMPUTED_VALUE"""),"FRANCE")</f>
        <v>FRANCE</v>
      </c>
      <c r="Q27" s="1" t="str">
        <f ca="1">IFERROR(__xludf.DUMMYFUNCTION("""COMPUTED_VALUE"""),"SENEGAL")</f>
        <v>SENEGAL</v>
      </c>
      <c r="R27" s="1"/>
      <c r="S27" s="1" t="str">
        <f ca="1">IFERROR(__xludf.DUMMYFUNCTION("""COMPUTED_VALUE"""),"+221")</f>
        <v>+221</v>
      </c>
      <c r="T27" s="1" t="str">
        <f ca="1">IFERROR(__xludf.DUMMYFUNCTION("""COMPUTED_VALUE"""),"CYR Amandine")</f>
        <v>CYR Amandine</v>
      </c>
      <c r="U27" s="1" t="str">
        <f ca="1">IFERROR(__xludf.DUMMYFUNCTION("""COMPUTED_VALUE"""),"BA Abou")</f>
        <v>BA Abou</v>
      </c>
      <c r="V27" s="1" t="str">
        <f ca="1">IFERROR(__xludf.DUMMYFUNCTION("""COMPUTED_VALUE"""),"amandine.cyr@gmail.com")</f>
        <v>amandine.cyr@gmail.com</v>
      </c>
      <c r="W27" s="1" t="str">
        <f ca="1">IFERROR(__xludf.DUMMYFUNCTION("""COMPUTED_VALUE"""),"abou13@live.com")</f>
        <v>abou13@live.com</v>
      </c>
      <c r="X27" s="1" t="str">
        <f ca="1">IFERROR(__xludf.DUMMYFUNCTION("""COMPUTED_VALUE"""),"+221 78 924 29 45")</f>
        <v>+221 78 924 29 45</v>
      </c>
      <c r="Y27" s="1" t="str">
        <f ca="1">IFERROR(__xludf.DUMMYFUNCTION("""COMPUTED_VALUE"""),"+221 78 380 22 30")</f>
        <v>+221 78 380 22 30</v>
      </c>
      <c r="Z27" s="1" t="str">
        <f ca="1">IFERROR(__xludf.DUMMYFUNCTION("""COMPUTED_VALUE"""),"+33 6 20 59 52 69")</f>
        <v>+33 6 20 59 52 69</v>
      </c>
      <c r="AA27" s="1" t="str">
        <f ca="1">IFERROR(__xludf.DUMMYFUNCTION("""COMPUTED_VALUE"""),"+221 78 380 22 30")</f>
        <v>+221 78 380 22 30</v>
      </c>
      <c r="AB27" s="2">
        <f ca="1">IFERROR(__xludf.DUMMYFUNCTION("""COMPUTED_VALUE"""),30428)</f>
        <v>30428</v>
      </c>
      <c r="AC27" s="2">
        <f ca="1">IFERROR(__xludf.DUMMYFUNCTION("""COMPUTED_VALUE"""),32115)</f>
        <v>32115</v>
      </c>
      <c r="AD27" s="1" t="str">
        <f ca="1">IFERROR(__xludf.DUMMYFUNCTION("""COMPUTED_VALUE"""),"MERE")</f>
        <v>MERE</v>
      </c>
      <c r="AE27" s="1" t="str">
        <f ca="1">IFERROR(__xludf.DUMMYFUNCTION("""COMPUTED_VALUE"""),"PERE")</f>
        <v>PERE</v>
      </c>
      <c r="AF27" s="1" t="str">
        <f ca="1">IFERROR(__xludf.DUMMYFUNCTION("""COMPUTED_VALUE"""),"FRANCE")</f>
        <v>FRANCE</v>
      </c>
      <c r="AG27" s="1" t="str">
        <f ca="1">IFERROR(__xludf.DUMMYFUNCTION("""COMPUTED_VALUE"""),"FRANCE")</f>
        <v>FRANCE</v>
      </c>
      <c r="AH27" s="1"/>
      <c r="AI27" s="1" t="str">
        <f ca="1">IFERROR(__xludf.DUMMYFUNCTION("""COMPUTED_VALUE"""),"SENEGAL")</f>
        <v>SENEGAL</v>
      </c>
      <c r="AJ27" s="1" t="str">
        <f ca="1">IFERROR(__xludf.DUMMYFUNCTION("""COMPUTED_VALUE"""),"F1631")</f>
        <v>F1631</v>
      </c>
      <c r="AK27" s="1" t="str">
        <f ca="1">IFERROR(__xludf.DUMMYFUNCTION("""COMPUTED_VALUE"""),"Pacsé(e)")</f>
        <v>Pacsé(e)</v>
      </c>
      <c r="AL27" s="1" t="str">
        <f ca="1">IFERROR(__xludf.DUMMYFUNCTION("""COMPUTED_VALUE"""),"Pacsé(e)")</f>
        <v>Pacsé(e)</v>
      </c>
      <c r="AM27" s="1" t="str">
        <f ca="1">IFERROR(__xludf.DUMMYFUNCTION("""COMPUTED_VALUE"""),"F1631")</f>
        <v>F1631</v>
      </c>
    </row>
    <row r="28" spans="1:39" ht="15.75" customHeight="1" x14ac:dyDescent="0.15">
      <c r="A28" s="1" t="str">
        <f ca="1">IFERROR(__xludf.DUMMYFUNCTION("""COMPUTED_VALUE"""),"BA Khadijatou-Racine")</f>
        <v>BA Khadijatou-Racine</v>
      </c>
      <c r="B28" s="1" t="str">
        <f ca="1">IFERROR(__xludf.DUMMYFUNCTION("""COMPUTED_VALUE"""),"BA")</f>
        <v>BA</v>
      </c>
      <c r="C28" s="1" t="str">
        <f ca="1">IFERROR(__xludf.DUMMYFUNCTION("""COMPUTED_VALUE"""),"Khadijatou-Racine")</f>
        <v>Khadijatou-Racine</v>
      </c>
      <c r="D28" s="1" t="str">
        <f ca="1">IFERROR(__xludf.DUMMYFUNCTION("""COMPUTED_VALUE"""),"1148E2")</f>
        <v>1148E2</v>
      </c>
      <c r="E28" s="2">
        <f ca="1">IFERROR(__xludf.DUMMYFUNCTION("""COMPUTED_VALUE"""),43614)</f>
        <v>43614</v>
      </c>
      <c r="F28" s="1" t="str">
        <f ca="1">IFERROR(__xludf.DUMMYFUNCTION("""COMPUTED_VALUE"""),"CP-CE2")</f>
        <v>CP-CE2</v>
      </c>
      <c r="G28" s="1" t="str">
        <f ca="1">IFERROR(__xludf.DUMMYFUNCTION("""COMPUTED_VALUE"""),"CP")</f>
        <v>CP</v>
      </c>
      <c r="H28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28" s="1"/>
      <c r="J28" s="1"/>
      <c r="K28" s="1"/>
      <c r="L28" s="1"/>
      <c r="M28" s="1"/>
      <c r="N28" s="1" t="str">
        <f ca="1">IFERROR(__xludf.DUMMYFUNCTION("""COMPUTED_VALUE"""),"Fille")</f>
        <v>Fille</v>
      </c>
      <c r="O28" s="1"/>
      <c r="P28" s="1" t="str">
        <f ca="1">IFERROR(__xludf.DUMMYFUNCTION("""COMPUTED_VALUE"""),"FRANCE")</f>
        <v>FRANCE</v>
      </c>
      <c r="Q28" s="1" t="str">
        <f ca="1">IFERROR(__xludf.DUMMYFUNCTION("""COMPUTED_VALUE"""),"SENEGAL")</f>
        <v>SENEGAL</v>
      </c>
      <c r="R28" s="1"/>
      <c r="S28" s="1"/>
      <c r="T28" s="1" t="str">
        <f ca="1">IFERROR(__xludf.DUMMYFUNCTION("""COMPUTED_VALUE"""),"BA Racine")</f>
        <v>BA Racine</v>
      </c>
      <c r="U28" s="1" t="str">
        <f ca="1">IFERROR(__xludf.DUMMYFUNCTION("""COMPUTED_VALUE"""),"TALLA Dieynaba")</f>
        <v>TALLA Dieynaba</v>
      </c>
      <c r="V28" s="1" t="str">
        <f ca="1">IFERROR(__xludf.DUMMYFUNCTION("""COMPUTED_VALUE"""),"racineba2001@yahoo.fr")</f>
        <v>racineba2001@yahoo.fr</v>
      </c>
      <c r="W28" s="1" t="str">
        <f ca="1">IFERROR(__xludf.DUMMYFUNCTION("""COMPUTED_VALUE"""),"racineba2001@gmail.com")</f>
        <v>racineba2001@gmail.com</v>
      </c>
      <c r="X28" s="1" t="str">
        <f ca="1">IFERROR(__xludf.DUMMYFUNCTION("""COMPUTED_VALUE"""),"776449231")</f>
        <v>776449231</v>
      </c>
      <c r="Y28" s="1" t="str">
        <f ca="1">IFERROR(__xludf.DUMMYFUNCTION("""COMPUTED_VALUE"""),"776449231")</f>
        <v>776449231</v>
      </c>
      <c r="Z28" s="1"/>
      <c r="AA28" s="1"/>
      <c r="AB28" s="2">
        <f ca="1">IFERROR(__xludf.DUMMYFUNCTION("""COMPUTED_VALUE"""),26789)</f>
        <v>26789</v>
      </c>
      <c r="AC28" s="2">
        <f ca="1">IFERROR(__xludf.DUMMYFUNCTION("""COMPUTED_VALUE"""),30060)</f>
        <v>30060</v>
      </c>
      <c r="AD28" s="1" t="str">
        <f ca="1">IFERROR(__xludf.DUMMYFUNCTION("""COMPUTED_VALUE"""),"PERE")</f>
        <v>PERE</v>
      </c>
      <c r="AE28" s="1" t="str">
        <f ca="1">IFERROR(__xludf.DUMMYFUNCTION("""COMPUTED_VALUE"""),"MERE")</f>
        <v>MERE</v>
      </c>
      <c r="AF28" s="1" t="str">
        <f ca="1">IFERROR(__xludf.DUMMYFUNCTION("""COMPUTED_VALUE"""),"FRANCE")</f>
        <v>FRANCE</v>
      </c>
      <c r="AG28" s="1" t="str">
        <f ca="1">IFERROR(__xludf.DUMMYFUNCTION("""COMPUTED_VALUE"""),"SENEGAL")</f>
        <v>SENEGAL</v>
      </c>
      <c r="AH28" s="1" t="str">
        <f ca="1">IFERROR(__xludf.DUMMYFUNCTION("""COMPUTED_VALUE"""),"SENEGAL")</f>
        <v>SENEGAL</v>
      </c>
      <c r="AI28" s="1"/>
      <c r="AJ28" s="1" t="str">
        <f ca="1">IFERROR(__xludf.DUMMYFUNCTION("""COMPUTED_VALUE"""),"F1148")</f>
        <v>F1148</v>
      </c>
      <c r="AK28" s="1" t="str">
        <f ca="1">IFERROR(__xludf.DUMMYFUNCTION("""COMPUTED_VALUE"""),"Marié(e)")</f>
        <v>Marié(e)</v>
      </c>
      <c r="AL28" s="1" t="str">
        <f ca="1">IFERROR(__xludf.DUMMYFUNCTION("""COMPUTED_VALUE"""),"Marié(e)")</f>
        <v>Marié(e)</v>
      </c>
      <c r="AM28" s="1" t="str">
        <f ca="1">IFERROR(__xludf.DUMMYFUNCTION("""COMPUTED_VALUE"""),"F1148")</f>
        <v>F1148</v>
      </c>
    </row>
    <row r="29" spans="1:39" ht="15.75" customHeight="1" x14ac:dyDescent="0.15">
      <c r="A29" s="1" t="str">
        <f ca="1">IFERROR(__xludf.DUMMYFUNCTION("""COMPUTED_VALUE"""),"BA Khalifa Ababacar")</f>
        <v>BA Khalifa Ababacar</v>
      </c>
      <c r="B29" s="1" t="str">
        <f ca="1">IFERROR(__xludf.DUMMYFUNCTION("""COMPUTED_VALUE"""),"BA")</f>
        <v>BA</v>
      </c>
      <c r="C29" s="1" t="str">
        <f ca="1">IFERROR(__xludf.DUMMYFUNCTION("""COMPUTED_VALUE"""),"Khalifa Ababacar")</f>
        <v>Khalifa Ababacar</v>
      </c>
      <c r="D29" s="1" t="str">
        <f ca="1">IFERROR(__xludf.DUMMYFUNCTION("""COMPUTED_VALUE"""),"1142E2")</f>
        <v>1142E2</v>
      </c>
      <c r="E29" s="2">
        <f ca="1">IFERROR(__xludf.DUMMYFUNCTION("""COMPUTED_VALUE"""),39746)</f>
        <v>39746</v>
      </c>
      <c r="F29" s="1" t="str">
        <f ca="1">IFERROR(__xludf.DUMMYFUNCTION("""COMPUTED_VALUE"""),"TERMINALE1")</f>
        <v>TERMINALE1</v>
      </c>
      <c r="G29" s="1" t="str">
        <f ca="1">IFERROR(__xludf.DUMMYFUNCTION("""COMPUTED_VALUE"""),"Terminale")</f>
        <v>Terminale</v>
      </c>
      <c r="H29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29" s="1" t="str">
        <f ca="1">IFERROR(__xludf.DUMMYFUNCTION("""COMPUTED_VALUE"""),"LVA Anglais")</f>
        <v>LVA Anglais</v>
      </c>
      <c r="J29" s="1" t="str">
        <f ca="1">IFERROR(__xludf.DUMMYFUNCTION("""COMPUTED_VALUE"""),"LVB Espagnol")</f>
        <v>LVB Espagnol</v>
      </c>
      <c r="K29" s="1"/>
      <c r="L29" s="1"/>
      <c r="M29" s="1" t="str">
        <f ca="1">IFERROR(__xludf.DUMMYFUNCTION("""COMPUTED_VALUE"""),"SPE MATHS, SPE SES")</f>
        <v>SPE MATHS, SPE SES</v>
      </c>
      <c r="N29" s="1" t="str">
        <f ca="1">IFERROR(__xludf.DUMMYFUNCTION("""COMPUTED_VALUE"""),"Garçon")</f>
        <v>Garçon</v>
      </c>
      <c r="O29" s="1"/>
      <c r="P29" s="1" t="str">
        <f ca="1">IFERROR(__xludf.DUMMYFUNCTION("""COMPUTED_VALUE"""),"SENEGAL")</f>
        <v>SENEGAL</v>
      </c>
      <c r="Q29" s="1"/>
      <c r="R29" s="1" t="str">
        <f ca="1">IFERROR(__xludf.DUMMYFUNCTION("""COMPUTED_VALUE"""),"khalifa.ba@lfjpsaly.org")</f>
        <v>khalifa.ba@lfjpsaly.org</v>
      </c>
      <c r="S29" s="1"/>
      <c r="T29" s="1" t="str">
        <f ca="1">IFERROR(__xludf.DUMMYFUNCTION("""COMPUTED_VALUE"""),"BA Chérif Habidine")</f>
        <v>BA Chérif Habidine</v>
      </c>
      <c r="U29" s="1" t="str">
        <f ca="1">IFERROR(__xludf.DUMMYFUNCTION("""COMPUTED_VALUE"""),"KAMARA Ndèye Aïssatou")</f>
        <v>KAMARA Ndèye Aïssatou</v>
      </c>
      <c r="V29" s="1" t="str">
        <f ca="1">IFERROR(__xludf.DUMMYFUNCTION("""COMPUTED_VALUE"""),"cherifhabidineba@hotmail.com")</f>
        <v>cherifhabidineba@hotmail.com</v>
      </c>
      <c r="W29" s="1" t="str">
        <f ca="1">IFERROR(__xludf.DUMMYFUNCTION("""COMPUTED_VALUE"""),"aissatoukamara@yahoo.fr")</f>
        <v>aissatoukamara@yahoo.fr</v>
      </c>
      <c r="X29" s="1" t="str">
        <f ca="1">IFERROR(__xludf.DUMMYFUNCTION("""COMPUTED_VALUE"""),"+221 77 562 76 34")</f>
        <v>+221 77 562 76 34</v>
      </c>
      <c r="Y29" s="1" t="str">
        <f ca="1">IFERROR(__xludf.DUMMYFUNCTION("""COMPUTED_VALUE"""),"+221 77 649 29 52")</f>
        <v>+221 77 649 29 52</v>
      </c>
      <c r="Z29" s="1"/>
      <c r="AA29" s="1"/>
      <c r="AB29" s="2">
        <f ca="1">IFERROR(__xludf.DUMMYFUNCTION("""COMPUTED_VALUE"""),27218)</f>
        <v>27218</v>
      </c>
      <c r="AC29" s="2">
        <f ca="1">IFERROR(__xludf.DUMMYFUNCTION("""COMPUTED_VALUE"""),28728)</f>
        <v>28728</v>
      </c>
      <c r="AD29" s="1" t="str">
        <f ca="1">IFERROR(__xludf.DUMMYFUNCTION("""COMPUTED_VALUE"""),"PERE")</f>
        <v>PERE</v>
      </c>
      <c r="AE29" s="1" t="str">
        <f ca="1">IFERROR(__xludf.DUMMYFUNCTION("""COMPUTED_VALUE"""),"MERE")</f>
        <v>MERE</v>
      </c>
      <c r="AF29" s="1" t="str">
        <f ca="1">IFERROR(__xludf.DUMMYFUNCTION("""COMPUTED_VALUE"""),"SENEGAL")</f>
        <v>SENEGAL</v>
      </c>
      <c r="AG29" s="1" t="str">
        <f ca="1">IFERROR(__xludf.DUMMYFUNCTION("""COMPUTED_VALUE"""),"SENEGAL")</f>
        <v>SENEGAL</v>
      </c>
      <c r="AH29" s="1"/>
      <c r="AI29" s="1"/>
      <c r="AJ29" s="1" t="str">
        <f ca="1">IFERROR(__xludf.DUMMYFUNCTION("""COMPUTED_VALUE"""),"F1142")</f>
        <v>F1142</v>
      </c>
      <c r="AK29" s="1" t="str">
        <f ca="1">IFERROR(__xludf.DUMMYFUNCTION("""COMPUTED_VALUE"""),"Marié(e)")</f>
        <v>Marié(e)</v>
      </c>
      <c r="AL29" s="1" t="str">
        <f ca="1">IFERROR(__xludf.DUMMYFUNCTION("""COMPUTED_VALUE"""),"Marié(e)")</f>
        <v>Marié(e)</v>
      </c>
      <c r="AM29" s="1" t="str">
        <f ca="1">IFERROR(__xludf.DUMMYFUNCTION("""COMPUTED_VALUE"""),"F1142")</f>
        <v>F1142</v>
      </c>
    </row>
    <row r="30" spans="1:39" ht="15.75" customHeight="1" x14ac:dyDescent="0.15">
      <c r="A30" s="1" t="str">
        <f ca="1">IFERROR(__xludf.DUMMYFUNCTION("""COMPUTED_VALUE"""),"BA Leon")</f>
        <v>BA Leon</v>
      </c>
      <c r="B30" s="1" t="str">
        <f ca="1">IFERROR(__xludf.DUMMYFUNCTION("""COMPUTED_VALUE"""),"BA")</f>
        <v>BA</v>
      </c>
      <c r="C30" s="1" t="str">
        <f ca="1">IFERROR(__xludf.DUMMYFUNCTION("""COMPUTED_VALUE"""),"Leon")</f>
        <v>Leon</v>
      </c>
      <c r="D30" s="1" t="str">
        <f ca="1">IFERROR(__xludf.DUMMYFUNCTION("""COMPUTED_VALUE"""),"1133E2")</f>
        <v>1133E2</v>
      </c>
      <c r="E30" s="2">
        <f ca="1">IFERROR(__xludf.DUMMYFUNCTION("""COMPUTED_VALUE"""),41924)</f>
        <v>41924</v>
      </c>
      <c r="F30" s="1" t="str">
        <f ca="1">IFERROR(__xludf.DUMMYFUNCTION("""COMPUTED_VALUE"""),"6EME2")</f>
        <v>6EME2</v>
      </c>
      <c r="G30" s="1" t="str">
        <f ca="1">IFERROR(__xludf.DUMMYFUNCTION("""COMPUTED_VALUE"""),"6ème")</f>
        <v>6ème</v>
      </c>
      <c r="H30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30" s="1" t="str">
        <f ca="1">IFERROR(__xludf.DUMMYFUNCTION("""COMPUTED_VALUE"""),"LVA Anglais")</f>
        <v>LVA Anglais</v>
      </c>
      <c r="J30" s="1" t="str">
        <f ca="1">IFERROR(__xludf.DUMMYFUNCTION("""COMPUTED_VALUE"""),"LVB Espagnol")</f>
        <v>LVB Espagnol</v>
      </c>
      <c r="K30" s="1"/>
      <c r="L30" s="1"/>
      <c r="M30" s="1"/>
      <c r="N30" s="1" t="str">
        <f ca="1">IFERROR(__xludf.DUMMYFUNCTION("""COMPUTED_VALUE"""),"Garçon")</f>
        <v>Garçon</v>
      </c>
      <c r="O30" s="1"/>
      <c r="P30" s="1" t="str">
        <f ca="1">IFERROR(__xludf.DUMMYFUNCTION("""COMPUTED_VALUE"""),"FRANCE")</f>
        <v>FRANCE</v>
      </c>
      <c r="Q30" s="1" t="str">
        <f ca="1">IFERROR(__xludf.DUMMYFUNCTION("""COMPUTED_VALUE"""),"SENEGAL")</f>
        <v>SENEGAL</v>
      </c>
      <c r="R30" s="1" t="str">
        <f ca="1">IFERROR(__xludf.DUMMYFUNCTION("""COMPUTED_VALUE"""),"leon.ba@lfjpsaly.org")</f>
        <v>leon.ba@lfjpsaly.org</v>
      </c>
      <c r="S30" s="1"/>
      <c r="T30" s="1" t="str">
        <f ca="1">IFERROR(__xludf.DUMMYFUNCTION("""COMPUTED_VALUE"""),"BA Abdoulaye")</f>
        <v>BA Abdoulaye</v>
      </c>
      <c r="U30" s="1" t="str">
        <f ca="1">IFERROR(__xludf.DUMMYFUNCTION("""COMPUTED_VALUE"""),"BA Thérèse Mayé")</f>
        <v>BA Thérèse Mayé</v>
      </c>
      <c r="V30" s="1" t="str">
        <f ca="1">IFERROR(__xludf.DUMMYFUNCTION("""COMPUTED_VALUE"""),"abdoulaye_ba@hotmail.com")</f>
        <v>abdoulaye_ba@hotmail.com</v>
      </c>
      <c r="W30" s="1" t="str">
        <f ca="1">IFERROR(__xludf.DUMMYFUNCTION("""COMPUTED_VALUE"""),"growinglifefarm@gmail.com")</f>
        <v>growinglifefarm@gmail.com</v>
      </c>
      <c r="X30" s="1" t="str">
        <f ca="1">IFERROR(__xludf.DUMMYFUNCTION("""COMPUTED_VALUE"""),"+221 77 118 23 82")</f>
        <v>+221 77 118 23 82</v>
      </c>
      <c r="Y30" s="1" t="str">
        <f ca="1">IFERROR(__xludf.DUMMYFUNCTION("""COMPUTED_VALUE"""),"+221 77 789 94 46")</f>
        <v>+221 77 789 94 46</v>
      </c>
      <c r="Z30" s="1"/>
      <c r="AA30" s="1" t="str">
        <f ca="1">IFERROR(__xludf.DUMMYFUNCTION("""COMPUTED_VALUE"""),"+221")</f>
        <v>+221</v>
      </c>
      <c r="AB30" s="2">
        <f ca="1">IFERROR(__xludf.DUMMYFUNCTION("""COMPUTED_VALUE"""),18647)</f>
        <v>18647</v>
      </c>
      <c r="AC30" s="2">
        <f ca="1">IFERROR(__xludf.DUMMYFUNCTION("""COMPUTED_VALUE"""),26551)</f>
        <v>26551</v>
      </c>
      <c r="AD30" s="1" t="str">
        <f ca="1">IFERROR(__xludf.DUMMYFUNCTION("""COMPUTED_VALUE"""),"PERE")</f>
        <v>PERE</v>
      </c>
      <c r="AE30" s="1" t="str">
        <f ca="1">IFERROR(__xludf.DUMMYFUNCTION("""COMPUTED_VALUE"""),"MERE")</f>
        <v>MERE</v>
      </c>
      <c r="AF30" s="1" t="str">
        <f ca="1">IFERROR(__xludf.DUMMYFUNCTION("""COMPUTED_VALUE"""),"FRANCE")</f>
        <v>FRANCE</v>
      </c>
      <c r="AG30" s="1" t="str">
        <f ca="1">IFERROR(__xludf.DUMMYFUNCTION("""COMPUTED_VALUE"""),"SENEGAL")</f>
        <v>SENEGAL</v>
      </c>
      <c r="AH30" s="1" t="str">
        <f ca="1">IFERROR(__xludf.DUMMYFUNCTION("""COMPUTED_VALUE"""),"SENEGAL")</f>
        <v>SENEGAL</v>
      </c>
      <c r="AI30" s="1" t="str">
        <f ca="1">IFERROR(__xludf.DUMMYFUNCTION("""COMPUTED_VALUE"""),"SENEGAL")</f>
        <v>SENEGAL</v>
      </c>
      <c r="AJ30" s="1" t="str">
        <f ca="1">IFERROR(__xludf.DUMMYFUNCTION("""COMPUTED_VALUE"""),"F1133")</f>
        <v>F1133</v>
      </c>
      <c r="AK30" s="1" t="str">
        <f ca="1">IFERROR(__xludf.DUMMYFUNCTION("""COMPUTED_VALUE"""),"Marié(e)")</f>
        <v>Marié(e)</v>
      </c>
      <c r="AL30" s="1" t="str">
        <f ca="1">IFERROR(__xludf.DUMMYFUNCTION("""COMPUTED_VALUE"""),"Marié(e)")</f>
        <v>Marié(e)</v>
      </c>
      <c r="AM30" s="1" t="str">
        <f ca="1">IFERROR(__xludf.DUMMYFUNCTION("""COMPUTED_VALUE"""),"F1133")</f>
        <v>F1133</v>
      </c>
    </row>
    <row r="31" spans="1:39" ht="15.75" customHeight="1" x14ac:dyDescent="0.15">
      <c r="A31" s="1" t="str">
        <f ca="1">IFERROR(__xludf.DUMMYFUNCTION("""COMPUTED_VALUE"""),"BA Lydelle - Racine")</f>
        <v>BA Lydelle - Racine</v>
      </c>
      <c r="B31" s="1" t="str">
        <f ca="1">IFERROR(__xludf.DUMMYFUNCTION("""COMPUTED_VALUE"""),"BA")</f>
        <v>BA</v>
      </c>
      <c r="C31" s="1" t="str">
        <f ca="1">IFERROR(__xludf.DUMMYFUNCTION("""COMPUTED_VALUE"""),"Lydelle - Racine")</f>
        <v>Lydelle - Racine</v>
      </c>
      <c r="D31" s="1" t="str">
        <f ca="1">IFERROR(__xludf.DUMMYFUNCTION("""COMPUTED_VALUE"""),"1148E1")</f>
        <v>1148E1</v>
      </c>
      <c r="E31" s="2">
        <f ca="1">IFERROR(__xludf.DUMMYFUNCTION("""COMPUTED_VALUE"""),42704)</f>
        <v>42704</v>
      </c>
      <c r="F31" s="1" t="str">
        <f ca="1">IFERROR(__xludf.DUMMYFUNCTION("""COMPUTED_VALUE"""),"CM1B")</f>
        <v>CM1B</v>
      </c>
      <c r="G31" s="1" t="str">
        <f ca="1">IFERROR(__xludf.DUMMYFUNCTION("""COMPUTED_VALUE"""),"CM1")</f>
        <v>CM1</v>
      </c>
      <c r="H31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31" s="1"/>
      <c r="J31" s="1"/>
      <c r="K31" s="1"/>
      <c r="L31" s="1"/>
      <c r="M31" s="1"/>
      <c r="N31" s="1" t="str">
        <f ca="1">IFERROR(__xludf.DUMMYFUNCTION("""COMPUTED_VALUE"""),"Fille")</f>
        <v>Fille</v>
      </c>
      <c r="O31" s="1"/>
      <c r="P31" s="1" t="str">
        <f ca="1">IFERROR(__xludf.DUMMYFUNCTION("""COMPUTED_VALUE"""),"FRANCE")</f>
        <v>FRANCE</v>
      </c>
      <c r="Q31" s="1" t="str">
        <f ca="1">IFERROR(__xludf.DUMMYFUNCTION("""COMPUTED_VALUE"""),"SENEGAL")</f>
        <v>SENEGAL</v>
      </c>
      <c r="R31" s="1"/>
      <c r="S31" s="1"/>
      <c r="T31" s="1" t="str">
        <f ca="1">IFERROR(__xludf.DUMMYFUNCTION("""COMPUTED_VALUE"""),"BA Racine")</f>
        <v>BA Racine</v>
      </c>
      <c r="U31" s="1" t="str">
        <f ca="1">IFERROR(__xludf.DUMMYFUNCTION("""COMPUTED_VALUE"""),"TALLA Dieynaba")</f>
        <v>TALLA Dieynaba</v>
      </c>
      <c r="V31" s="1" t="str">
        <f ca="1">IFERROR(__xludf.DUMMYFUNCTION("""COMPUTED_VALUE"""),"racineba2001@yahoo.fr")</f>
        <v>racineba2001@yahoo.fr</v>
      </c>
      <c r="W31" s="1" t="str">
        <f ca="1">IFERROR(__xludf.DUMMYFUNCTION("""COMPUTED_VALUE"""),"racineba2001@gmail.com")</f>
        <v>racineba2001@gmail.com</v>
      </c>
      <c r="X31" s="1" t="str">
        <f ca="1">IFERROR(__xludf.DUMMYFUNCTION("""COMPUTED_VALUE"""),"776449231")</f>
        <v>776449231</v>
      </c>
      <c r="Y31" s="1" t="str">
        <f ca="1">IFERROR(__xludf.DUMMYFUNCTION("""COMPUTED_VALUE"""),"776449231")</f>
        <v>776449231</v>
      </c>
      <c r="Z31" s="1"/>
      <c r="AA31" s="1"/>
      <c r="AB31" s="2">
        <f ca="1">IFERROR(__xludf.DUMMYFUNCTION("""COMPUTED_VALUE"""),26789)</f>
        <v>26789</v>
      </c>
      <c r="AC31" s="2">
        <f ca="1">IFERROR(__xludf.DUMMYFUNCTION("""COMPUTED_VALUE"""),30060)</f>
        <v>30060</v>
      </c>
      <c r="AD31" s="1" t="str">
        <f ca="1">IFERROR(__xludf.DUMMYFUNCTION("""COMPUTED_VALUE"""),"PERE")</f>
        <v>PERE</v>
      </c>
      <c r="AE31" s="1" t="str">
        <f ca="1">IFERROR(__xludf.DUMMYFUNCTION("""COMPUTED_VALUE"""),"MERE")</f>
        <v>MERE</v>
      </c>
      <c r="AF31" s="1" t="str">
        <f ca="1">IFERROR(__xludf.DUMMYFUNCTION("""COMPUTED_VALUE"""),"FRANCE")</f>
        <v>FRANCE</v>
      </c>
      <c r="AG31" s="1" t="str">
        <f ca="1">IFERROR(__xludf.DUMMYFUNCTION("""COMPUTED_VALUE"""),"SENEGAL")</f>
        <v>SENEGAL</v>
      </c>
      <c r="AH31" s="1" t="str">
        <f ca="1">IFERROR(__xludf.DUMMYFUNCTION("""COMPUTED_VALUE"""),"SENEGAL")</f>
        <v>SENEGAL</v>
      </c>
      <c r="AI31" s="1"/>
      <c r="AJ31" s="1" t="str">
        <f ca="1">IFERROR(__xludf.DUMMYFUNCTION("""COMPUTED_VALUE"""),"F1148")</f>
        <v>F1148</v>
      </c>
      <c r="AK31" s="1" t="str">
        <f ca="1">IFERROR(__xludf.DUMMYFUNCTION("""COMPUTED_VALUE"""),"Marié(e)")</f>
        <v>Marié(e)</v>
      </c>
      <c r="AL31" s="1" t="str">
        <f ca="1">IFERROR(__xludf.DUMMYFUNCTION("""COMPUTED_VALUE"""),"Marié(e)")</f>
        <v>Marié(e)</v>
      </c>
      <c r="AM31" s="1" t="str">
        <f ca="1">IFERROR(__xludf.DUMMYFUNCTION("""COMPUTED_VALUE"""),"F1148")</f>
        <v>F1148</v>
      </c>
    </row>
    <row r="32" spans="1:39" ht="15.75" customHeight="1" x14ac:dyDescent="0.15">
      <c r="A32" s="1" t="str">
        <f ca="1">IFERROR(__xludf.DUMMYFUNCTION("""COMPUTED_VALUE"""),"BA Maryem")</f>
        <v>BA Maryem</v>
      </c>
      <c r="B32" s="1" t="str">
        <f ca="1">IFERROR(__xludf.DUMMYFUNCTION("""COMPUTED_VALUE"""),"BA")</f>
        <v>BA</v>
      </c>
      <c r="C32" s="1" t="str">
        <f ca="1">IFERROR(__xludf.DUMMYFUNCTION("""COMPUTED_VALUE"""),"Maryem")</f>
        <v>Maryem</v>
      </c>
      <c r="D32" s="1" t="str">
        <f ca="1">IFERROR(__xludf.DUMMYFUNCTION("""COMPUTED_VALUE"""),"1631E2")</f>
        <v>1631E2</v>
      </c>
      <c r="E32" s="2">
        <f ca="1">IFERROR(__xludf.DUMMYFUNCTION("""COMPUTED_VALUE"""),44365)</f>
        <v>44365</v>
      </c>
      <c r="F32" s="1" t="str">
        <f ca="1">IFERROR(__xludf.DUMMYFUNCTION("""COMPUTED_VALUE"""),"Mat 2")</f>
        <v>Mat 2</v>
      </c>
      <c r="G32" s="1" t="str">
        <f ca="1">IFERROR(__xludf.DUMMYFUNCTION("""COMPUTED_VALUE"""),"MS")</f>
        <v>MS</v>
      </c>
      <c r="H32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32" s="1"/>
      <c r="J32" s="1"/>
      <c r="K32" s="1"/>
      <c r="L32" s="1"/>
      <c r="M32" s="1"/>
      <c r="N32" s="1" t="str">
        <f ca="1">IFERROR(__xludf.DUMMYFUNCTION("""COMPUTED_VALUE"""),"Fille")</f>
        <v>Fille</v>
      </c>
      <c r="O32" s="1"/>
      <c r="P32" s="1" t="str">
        <f ca="1">IFERROR(__xludf.DUMMYFUNCTION("""COMPUTED_VALUE"""),"FRANCE")</f>
        <v>FRANCE</v>
      </c>
      <c r="Q32" s="1" t="str">
        <f ca="1">IFERROR(__xludf.DUMMYFUNCTION("""COMPUTED_VALUE"""),"SENEGAL")</f>
        <v>SENEGAL</v>
      </c>
      <c r="R32" s="1"/>
      <c r="S32" s="1" t="str">
        <f ca="1">IFERROR(__xludf.DUMMYFUNCTION("""COMPUTED_VALUE"""),"+221")</f>
        <v>+221</v>
      </c>
      <c r="T32" s="1" t="str">
        <f ca="1">IFERROR(__xludf.DUMMYFUNCTION("""COMPUTED_VALUE"""),"CYR Amandine")</f>
        <v>CYR Amandine</v>
      </c>
      <c r="U32" s="1" t="str">
        <f ca="1">IFERROR(__xludf.DUMMYFUNCTION("""COMPUTED_VALUE"""),"BA Abou")</f>
        <v>BA Abou</v>
      </c>
      <c r="V32" s="1" t="str">
        <f ca="1">IFERROR(__xludf.DUMMYFUNCTION("""COMPUTED_VALUE"""),"amandine.cyr@gmail.com")</f>
        <v>amandine.cyr@gmail.com</v>
      </c>
      <c r="W32" s="1" t="str">
        <f ca="1">IFERROR(__xludf.DUMMYFUNCTION("""COMPUTED_VALUE"""),"abou13@live.com")</f>
        <v>abou13@live.com</v>
      </c>
      <c r="X32" s="1" t="str">
        <f ca="1">IFERROR(__xludf.DUMMYFUNCTION("""COMPUTED_VALUE"""),"+221 78 924 29 45")</f>
        <v>+221 78 924 29 45</v>
      </c>
      <c r="Y32" s="1" t="str">
        <f ca="1">IFERROR(__xludf.DUMMYFUNCTION("""COMPUTED_VALUE"""),"+221 78 380 22 30")</f>
        <v>+221 78 380 22 30</v>
      </c>
      <c r="Z32" s="1" t="str">
        <f ca="1">IFERROR(__xludf.DUMMYFUNCTION("""COMPUTED_VALUE"""),"+33 6 20 59 52 69")</f>
        <v>+33 6 20 59 52 69</v>
      </c>
      <c r="AA32" s="1" t="str">
        <f ca="1">IFERROR(__xludf.DUMMYFUNCTION("""COMPUTED_VALUE"""),"+221 78 380 22 30")</f>
        <v>+221 78 380 22 30</v>
      </c>
      <c r="AB32" s="2">
        <f ca="1">IFERROR(__xludf.DUMMYFUNCTION("""COMPUTED_VALUE"""),30428)</f>
        <v>30428</v>
      </c>
      <c r="AC32" s="2">
        <f ca="1">IFERROR(__xludf.DUMMYFUNCTION("""COMPUTED_VALUE"""),32115)</f>
        <v>32115</v>
      </c>
      <c r="AD32" s="1" t="str">
        <f ca="1">IFERROR(__xludf.DUMMYFUNCTION("""COMPUTED_VALUE"""),"MERE")</f>
        <v>MERE</v>
      </c>
      <c r="AE32" s="1" t="str">
        <f ca="1">IFERROR(__xludf.DUMMYFUNCTION("""COMPUTED_VALUE"""),"PERE")</f>
        <v>PERE</v>
      </c>
      <c r="AF32" s="1" t="str">
        <f ca="1">IFERROR(__xludf.DUMMYFUNCTION("""COMPUTED_VALUE"""),"FRANCE")</f>
        <v>FRANCE</v>
      </c>
      <c r="AG32" s="1" t="str">
        <f ca="1">IFERROR(__xludf.DUMMYFUNCTION("""COMPUTED_VALUE"""),"FRANCE")</f>
        <v>FRANCE</v>
      </c>
      <c r="AH32" s="1"/>
      <c r="AI32" s="1" t="str">
        <f ca="1">IFERROR(__xludf.DUMMYFUNCTION("""COMPUTED_VALUE"""),"SENEGAL")</f>
        <v>SENEGAL</v>
      </c>
      <c r="AJ32" s="1" t="str">
        <f ca="1">IFERROR(__xludf.DUMMYFUNCTION("""COMPUTED_VALUE"""),"F1631")</f>
        <v>F1631</v>
      </c>
      <c r="AK32" s="1" t="str">
        <f ca="1">IFERROR(__xludf.DUMMYFUNCTION("""COMPUTED_VALUE"""),"Pacsé(e)")</f>
        <v>Pacsé(e)</v>
      </c>
      <c r="AL32" s="1" t="str">
        <f ca="1">IFERROR(__xludf.DUMMYFUNCTION("""COMPUTED_VALUE"""),"Pacsé(e)")</f>
        <v>Pacsé(e)</v>
      </c>
      <c r="AM32" s="1" t="str">
        <f ca="1">IFERROR(__xludf.DUMMYFUNCTION("""COMPUTED_VALUE"""),"F1631")</f>
        <v>F1631</v>
      </c>
    </row>
    <row r="33" spans="1:39" ht="15.75" customHeight="1" x14ac:dyDescent="0.15">
      <c r="A33" s="1" t="str">
        <f ca="1">IFERROR(__xludf.DUMMYFUNCTION("""COMPUTED_VALUE"""),"BABO Yanis")</f>
        <v>BABO Yanis</v>
      </c>
      <c r="B33" s="1" t="str">
        <f ca="1">IFERROR(__xludf.DUMMYFUNCTION("""COMPUTED_VALUE"""),"BABO")</f>
        <v>BABO</v>
      </c>
      <c r="C33" s="1" t="str">
        <f ca="1">IFERROR(__xludf.DUMMYFUNCTION("""COMPUTED_VALUE"""),"Yanis")</f>
        <v>Yanis</v>
      </c>
      <c r="D33" s="1" t="str">
        <f ca="1">IFERROR(__xludf.DUMMYFUNCTION("""COMPUTED_VALUE"""),"1134E1")</f>
        <v>1134E1</v>
      </c>
      <c r="E33" s="2">
        <f ca="1">IFERROR(__xludf.DUMMYFUNCTION("""COMPUTED_VALUE"""),39525)</f>
        <v>39525</v>
      </c>
      <c r="F33" s="1" t="str">
        <f ca="1">IFERROR(__xludf.DUMMYFUNCTION("""COMPUTED_VALUE"""),"TERMINALE1")</f>
        <v>TERMINALE1</v>
      </c>
      <c r="G33" s="1" t="str">
        <f ca="1">IFERROR(__xludf.DUMMYFUNCTION("""COMPUTED_VALUE"""),"Terminale")</f>
        <v>Terminale</v>
      </c>
      <c r="H33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33" s="1" t="str">
        <f ca="1">IFERROR(__xludf.DUMMYFUNCTION("""COMPUTED_VALUE"""),"LVA Anglais")</f>
        <v>LVA Anglais</v>
      </c>
      <c r="J33" s="1" t="str">
        <f ca="1">IFERROR(__xludf.DUMMYFUNCTION("""COMPUTED_VALUE"""),"LVB Espagnol")</f>
        <v>LVB Espagnol</v>
      </c>
      <c r="K33" s="1"/>
      <c r="L33" s="1"/>
      <c r="M33" s="1" t="str">
        <f ca="1">IFERROR(__xludf.DUMMYFUNCTION("""COMPUTED_VALUE"""),"SPE MATHS, SPE SVT")</f>
        <v>SPE MATHS, SPE SVT</v>
      </c>
      <c r="N33" s="1" t="str">
        <f ca="1">IFERROR(__xludf.DUMMYFUNCTION("""COMPUTED_VALUE"""),"Garçon")</f>
        <v>Garçon</v>
      </c>
      <c r="O33" s="1"/>
      <c r="P33" s="1" t="str">
        <f ca="1">IFERROR(__xludf.DUMMYFUNCTION("""COMPUTED_VALUE"""),"FRANCE")</f>
        <v>FRANCE</v>
      </c>
      <c r="Q33" s="1"/>
      <c r="R33" s="1" t="str">
        <f ca="1">IFERROR(__xludf.DUMMYFUNCTION("""COMPUTED_VALUE"""),"yanis.babo@lfjpsaly.org")</f>
        <v>yanis.babo@lfjpsaly.org</v>
      </c>
      <c r="S33" s="1"/>
      <c r="T33" s="1" t="str">
        <f ca="1">IFERROR(__xludf.DUMMYFUNCTION("""COMPUTED_VALUE"""),"BABO Fatou")</f>
        <v>BABO Fatou</v>
      </c>
      <c r="U33" s="1" t="str">
        <f ca="1">IFERROR(__xludf.DUMMYFUNCTION("""COMPUTED_VALUE"""),"BABO Coret")</f>
        <v>BABO Coret</v>
      </c>
      <c r="V33" s="1" t="str">
        <f ca="1">IFERROR(__xludf.DUMMYFUNCTION("""COMPUTED_VALUE"""),"fatou.babo@icloud.com")</f>
        <v>fatou.babo@icloud.com</v>
      </c>
      <c r="W33" s="1" t="str">
        <f ca="1">IFERROR(__xludf.DUMMYFUNCTION("""COMPUTED_VALUE"""),"fatou.babo@icloud.com")</f>
        <v>fatou.babo@icloud.com</v>
      </c>
      <c r="X33" s="1" t="str">
        <f ca="1">IFERROR(__xludf.DUMMYFUNCTION("""COMPUTED_VALUE"""),"+221 77 207 75 26")</f>
        <v>+221 77 207 75 26</v>
      </c>
      <c r="Y33" s="1"/>
      <c r="Z33" s="1"/>
      <c r="AA33" s="1"/>
      <c r="AB33" s="2">
        <f ca="1">IFERROR(__xludf.DUMMYFUNCTION("""COMPUTED_VALUE"""),28066)</f>
        <v>28066</v>
      </c>
      <c r="AC33" s="2">
        <f ca="1">IFERROR(__xludf.DUMMYFUNCTION("""COMPUTED_VALUE"""),26645)</f>
        <v>26645</v>
      </c>
      <c r="AD33" s="1" t="str">
        <f ca="1">IFERROR(__xludf.DUMMYFUNCTION("""COMPUTED_VALUE"""),"MERE")</f>
        <v>MERE</v>
      </c>
      <c r="AE33" s="1" t="str">
        <f ca="1">IFERROR(__xludf.DUMMYFUNCTION("""COMPUTED_VALUE"""),"PERE")</f>
        <v>PERE</v>
      </c>
      <c r="AF33" s="1" t="str">
        <f ca="1">IFERROR(__xludf.DUMMYFUNCTION("""COMPUTED_VALUE"""),"FRANCE")</f>
        <v>FRANCE</v>
      </c>
      <c r="AG33" s="1" t="str">
        <f ca="1">IFERROR(__xludf.DUMMYFUNCTION("""COMPUTED_VALUE"""),"FRANCE")</f>
        <v>FRANCE</v>
      </c>
      <c r="AH33" s="1"/>
      <c r="AI33" s="1"/>
      <c r="AJ33" s="1" t="str">
        <f ca="1">IFERROR(__xludf.DUMMYFUNCTION("""COMPUTED_VALUE"""),"F1134")</f>
        <v>F1134</v>
      </c>
      <c r="AK33" s="1" t="str">
        <f ca="1">IFERROR(__xludf.DUMMYFUNCTION("""COMPUTED_VALUE"""),"Marié(e)")</f>
        <v>Marié(e)</v>
      </c>
      <c r="AL33" s="1" t="str">
        <f ca="1">IFERROR(__xludf.DUMMYFUNCTION("""COMPUTED_VALUE"""),"Marié(e)")</f>
        <v>Marié(e)</v>
      </c>
      <c r="AM33" s="1" t="str">
        <f ca="1">IFERROR(__xludf.DUMMYFUNCTION("""COMPUTED_VALUE"""),"F1134")</f>
        <v>F1134</v>
      </c>
    </row>
    <row r="34" spans="1:39" ht="15.75" customHeight="1" x14ac:dyDescent="0.15">
      <c r="A34" s="1" t="str">
        <f ca="1">IFERROR(__xludf.DUMMYFUNCTION("""COMPUTED_VALUE"""),"BADIANE MOUSSALI Leo")</f>
        <v>BADIANE MOUSSALI Leo</v>
      </c>
      <c r="B34" s="1" t="str">
        <f ca="1">IFERROR(__xludf.DUMMYFUNCTION("""COMPUTED_VALUE"""),"BADIANE MOUSSALI")</f>
        <v>BADIANE MOUSSALI</v>
      </c>
      <c r="C34" s="1" t="str">
        <f ca="1">IFERROR(__xludf.DUMMYFUNCTION("""COMPUTED_VALUE"""),"Leo")</f>
        <v>Leo</v>
      </c>
      <c r="D34" s="1" t="str">
        <f ca="1">IFERROR(__xludf.DUMMYFUNCTION("""COMPUTED_VALUE"""),"1137E1")</f>
        <v>1137E1</v>
      </c>
      <c r="E34" s="2">
        <f ca="1">IFERROR(__xludf.DUMMYFUNCTION("""COMPUTED_VALUE"""),42328)</f>
        <v>42328</v>
      </c>
      <c r="F34" s="1" t="str">
        <f ca="1">IFERROR(__xludf.DUMMYFUNCTION("""COMPUTED_VALUE"""),"CM2B")</f>
        <v>CM2B</v>
      </c>
      <c r="G34" s="1" t="str">
        <f ca="1">IFERROR(__xludf.DUMMYFUNCTION("""COMPUTED_VALUE"""),"CM2")</f>
        <v>CM2</v>
      </c>
      <c r="H34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34" s="1"/>
      <c r="J34" s="1"/>
      <c r="K34" s="1"/>
      <c r="L34" s="1"/>
      <c r="M34" s="1"/>
      <c r="N34" s="1" t="str">
        <f ca="1">IFERROR(__xludf.DUMMYFUNCTION("""COMPUTED_VALUE"""),"Garçon")</f>
        <v>Garçon</v>
      </c>
      <c r="O34" s="1"/>
      <c r="P34" s="1" t="str">
        <f ca="1">IFERROR(__xludf.DUMMYFUNCTION("""COMPUTED_VALUE"""),"FRANCE")</f>
        <v>FRANCE</v>
      </c>
      <c r="Q34" s="1"/>
      <c r="R34" s="1"/>
      <c r="S34" s="1"/>
      <c r="T34" s="1" t="str">
        <f ca="1">IFERROR(__xludf.DUMMYFUNCTION("""COMPUTED_VALUE"""),"MOUSSALI Oriana")</f>
        <v>MOUSSALI Oriana</v>
      </c>
      <c r="U34" s="1" t="str">
        <f ca="1">IFERROR(__xludf.DUMMYFUNCTION("""COMPUTED_VALUE"""),"BADIANE Hardiet")</f>
        <v>BADIANE Hardiet</v>
      </c>
      <c r="V34" s="1" t="str">
        <f ca="1">IFERROR(__xludf.DUMMYFUNCTION("""COMPUTED_VALUE"""),"oriana.moussali@gmail.com")</f>
        <v>oriana.moussali@gmail.com</v>
      </c>
      <c r="W34" s="1" t="str">
        <f ca="1">IFERROR(__xludf.DUMMYFUNCTION("""COMPUTED_VALUE"""),"badiane.hardiet@gmail.com")</f>
        <v>badiane.hardiet@gmail.com</v>
      </c>
      <c r="X34" s="1" t="str">
        <f ca="1">IFERROR(__xludf.DUMMYFUNCTION("""COMPUTED_VALUE"""),"778772082")</f>
        <v>778772082</v>
      </c>
      <c r="Y34" s="1" t="str">
        <f ca="1">IFERROR(__xludf.DUMMYFUNCTION("""COMPUTED_VALUE"""),"778772170")</f>
        <v>778772170</v>
      </c>
      <c r="Z34" s="1"/>
      <c r="AA34" s="1"/>
      <c r="AB34" s="2">
        <f ca="1">IFERROR(__xludf.DUMMYFUNCTION("""COMPUTED_VALUE"""),33908)</f>
        <v>33908</v>
      </c>
      <c r="AC34" s="2">
        <f ca="1">IFERROR(__xludf.DUMMYFUNCTION("""COMPUTED_VALUE"""),32181)</f>
        <v>32181</v>
      </c>
      <c r="AD34" s="1" t="str">
        <f ca="1">IFERROR(__xludf.DUMMYFUNCTION("""COMPUTED_VALUE"""),"MERE")</f>
        <v>MERE</v>
      </c>
      <c r="AE34" s="1" t="str">
        <f ca="1">IFERROR(__xludf.DUMMYFUNCTION("""COMPUTED_VALUE"""),"PERE")</f>
        <v>PERE</v>
      </c>
      <c r="AF34" s="1" t="str">
        <f ca="1">IFERROR(__xludf.DUMMYFUNCTION("""COMPUTED_VALUE"""),"FRANCE")</f>
        <v>FRANCE</v>
      </c>
      <c r="AG34" s="1" t="str">
        <f ca="1">IFERROR(__xludf.DUMMYFUNCTION("""COMPUTED_VALUE"""),"FRANCE")</f>
        <v>FRANCE</v>
      </c>
      <c r="AH34" s="1" t="str">
        <f ca="1">IFERROR(__xludf.DUMMYFUNCTION("""COMPUTED_VALUE"""),"SENEGAL")</f>
        <v>SENEGAL</v>
      </c>
      <c r="AI34" s="1"/>
      <c r="AJ34" s="1" t="str">
        <f ca="1">IFERROR(__xludf.DUMMYFUNCTION("""COMPUTED_VALUE"""),"F1137")</f>
        <v>F1137</v>
      </c>
      <c r="AK34" s="1" t="str">
        <f ca="1">IFERROR(__xludf.DUMMYFUNCTION("""COMPUTED_VALUE"""),"CONCUBINAGE")</f>
        <v>CONCUBINAGE</v>
      </c>
      <c r="AL34" s="1" t="str">
        <f ca="1">IFERROR(__xludf.DUMMYFUNCTION("""COMPUTED_VALUE"""),"CONCUBINAGE")</f>
        <v>CONCUBINAGE</v>
      </c>
      <c r="AM34" s="1" t="str">
        <f ca="1">IFERROR(__xludf.DUMMYFUNCTION("""COMPUTED_VALUE"""),"F1137")</f>
        <v>F1137</v>
      </c>
    </row>
    <row r="35" spans="1:39" ht="15.75" customHeight="1" x14ac:dyDescent="0.15">
      <c r="A35" s="1" t="str">
        <f ca="1">IFERROR(__xludf.DUMMYFUNCTION("""COMPUTED_VALUE"""),"BADIANE MOUSSALI Naya")</f>
        <v>BADIANE MOUSSALI Naya</v>
      </c>
      <c r="B35" s="1" t="str">
        <f ca="1">IFERROR(__xludf.DUMMYFUNCTION("""COMPUTED_VALUE"""),"BADIANE MOUSSALI")</f>
        <v>BADIANE MOUSSALI</v>
      </c>
      <c r="C35" s="1" t="str">
        <f ca="1">IFERROR(__xludf.DUMMYFUNCTION("""COMPUTED_VALUE"""),"Naya")</f>
        <v>Naya</v>
      </c>
      <c r="D35" s="1" t="str">
        <f ca="1">IFERROR(__xludf.DUMMYFUNCTION("""COMPUTED_VALUE"""),"1137E2")</f>
        <v>1137E2</v>
      </c>
      <c r="E35" s="2">
        <f ca="1">IFERROR(__xludf.DUMMYFUNCTION("""COMPUTED_VALUE"""),42744)</f>
        <v>42744</v>
      </c>
      <c r="F35" s="1" t="str">
        <f ca="1">IFERROR(__xludf.DUMMYFUNCTION("""COMPUTED_VALUE"""),"CM1B")</f>
        <v>CM1B</v>
      </c>
      <c r="G35" s="1" t="str">
        <f ca="1">IFERROR(__xludf.DUMMYFUNCTION("""COMPUTED_VALUE"""),"CM1")</f>
        <v>CM1</v>
      </c>
      <c r="H35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35" s="1"/>
      <c r="J35" s="1"/>
      <c r="K35" s="1"/>
      <c r="L35" s="1"/>
      <c r="M35" s="1"/>
      <c r="N35" s="1" t="str">
        <f ca="1">IFERROR(__xludf.DUMMYFUNCTION("""COMPUTED_VALUE"""),"Fille")</f>
        <v>Fille</v>
      </c>
      <c r="O35" s="1"/>
      <c r="P35" s="1" t="str">
        <f ca="1">IFERROR(__xludf.DUMMYFUNCTION("""COMPUTED_VALUE"""),"FRANCE")</f>
        <v>FRANCE</v>
      </c>
      <c r="Q35" s="1"/>
      <c r="R35" s="1"/>
      <c r="S35" s="1" t="str">
        <f ca="1">IFERROR(__xludf.DUMMYFUNCTION("""COMPUTED_VALUE"""),"+221")</f>
        <v>+221</v>
      </c>
      <c r="T35" s="1" t="str">
        <f ca="1">IFERROR(__xludf.DUMMYFUNCTION("""COMPUTED_VALUE"""),"MOUSSALI Oriana")</f>
        <v>MOUSSALI Oriana</v>
      </c>
      <c r="U35" s="1" t="str">
        <f ca="1">IFERROR(__xludf.DUMMYFUNCTION("""COMPUTED_VALUE"""),"BADIANE Hardiet")</f>
        <v>BADIANE Hardiet</v>
      </c>
      <c r="V35" s="1" t="str">
        <f ca="1">IFERROR(__xludf.DUMMYFUNCTION("""COMPUTED_VALUE"""),"oriana.moussali@gmail.com")</f>
        <v>oriana.moussali@gmail.com</v>
      </c>
      <c r="W35" s="1" t="str">
        <f ca="1">IFERROR(__xludf.DUMMYFUNCTION("""COMPUTED_VALUE"""),"badiane.hardiet@gmail.com")</f>
        <v>badiane.hardiet@gmail.com</v>
      </c>
      <c r="X35" s="1" t="str">
        <f ca="1">IFERROR(__xludf.DUMMYFUNCTION("""COMPUTED_VALUE"""),"778772082")</f>
        <v>778772082</v>
      </c>
      <c r="Y35" s="1" t="str">
        <f ca="1">IFERROR(__xludf.DUMMYFUNCTION("""COMPUTED_VALUE"""),"778772170")</f>
        <v>778772170</v>
      </c>
      <c r="Z35" s="1"/>
      <c r="AA35" s="1"/>
      <c r="AB35" s="2">
        <f ca="1">IFERROR(__xludf.DUMMYFUNCTION("""COMPUTED_VALUE"""),33908)</f>
        <v>33908</v>
      </c>
      <c r="AC35" s="2">
        <f ca="1">IFERROR(__xludf.DUMMYFUNCTION("""COMPUTED_VALUE"""),32181)</f>
        <v>32181</v>
      </c>
      <c r="AD35" s="1" t="str">
        <f ca="1">IFERROR(__xludf.DUMMYFUNCTION("""COMPUTED_VALUE"""),"MERE")</f>
        <v>MERE</v>
      </c>
      <c r="AE35" s="1" t="str">
        <f ca="1">IFERROR(__xludf.DUMMYFUNCTION("""COMPUTED_VALUE"""),"PERE")</f>
        <v>PERE</v>
      </c>
      <c r="AF35" s="1" t="str">
        <f ca="1">IFERROR(__xludf.DUMMYFUNCTION("""COMPUTED_VALUE"""),"FRANCE")</f>
        <v>FRANCE</v>
      </c>
      <c r="AG35" s="1" t="str">
        <f ca="1">IFERROR(__xludf.DUMMYFUNCTION("""COMPUTED_VALUE"""),"FRANCE")</f>
        <v>FRANCE</v>
      </c>
      <c r="AH35" s="1" t="str">
        <f ca="1">IFERROR(__xludf.DUMMYFUNCTION("""COMPUTED_VALUE"""),"SENEGAL")</f>
        <v>SENEGAL</v>
      </c>
      <c r="AI35" s="1"/>
      <c r="AJ35" s="1" t="str">
        <f ca="1">IFERROR(__xludf.DUMMYFUNCTION("""COMPUTED_VALUE"""),"F1137")</f>
        <v>F1137</v>
      </c>
      <c r="AK35" s="1" t="str">
        <f ca="1">IFERROR(__xludf.DUMMYFUNCTION("""COMPUTED_VALUE"""),"CONCUBINAGE")</f>
        <v>CONCUBINAGE</v>
      </c>
      <c r="AL35" s="1" t="str">
        <f ca="1">IFERROR(__xludf.DUMMYFUNCTION("""COMPUTED_VALUE"""),"CONCUBINAGE")</f>
        <v>CONCUBINAGE</v>
      </c>
      <c r="AM35" s="1" t="str">
        <f ca="1">IFERROR(__xludf.DUMMYFUNCTION("""COMPUTED_VALUE"""),"F1137")</f>
        <v>F1137</v>
      </c>
    </row>
    <row r="36" spans="1:39" ht="15.75" customHeight="1" x14ac:dyDescent="0.15">
      <c r="A36" s="1" t="str">
        <f ca="1">IFERROR(__xludf.DUMMYFUNCTION("""COMPUTED_VALUE"""),"BAKILI Melya")</f>
        <v>BAKILI Melya</v>
      </c>
      <c r="B36" s="1" t="str">
        <f ca="1">IFERROR(__xludf.DUMMYFUNCTION("""COMPUTED_VALUE"""),"BAKILI")</f>
        <v>BAKILI</v>
      </c>
      <c r="C36" s="1" t="str">
        <f ca="1">IFERROR(__xludf.DUMMYFUNCTION("""COMPUTED_VALUE"""),"Melya")</f>
        <v>Melya</v>
      </c>
      <c r="D36" s="1" t="str">
        <f ca="1">IFERROR(__xludf.DUMMYFUNCTION("""COMPUTED_VALUE"""),"1141E1")</f>
        <v>1141E1</v>
      </c>
      <c r="E36" s="2">
        <f ca="1">IFERROR(__xludf.DUMMYFUNCTION("""COMPUTED_VALUE"""),41188)</f>
        <v>41188</v>
      </c>
      <c r="F36" s="1" t="str">
        <f ca="1">IFERROR(__xludf.DUMMYFUNCTION("""COMPUTED_VALUE"""),"4EME1")</f>
        <v>4EME1</v>
      </c>
      <c r="G36" s="1" t="str">
        <f ca="1">IFERROR(__xludf.DUMMYFUNCTION("""COMPUTED_VALUE"""),"4ème")</f>
        <v>4ème</v>
      </c>
      <c r="H36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36" s="1" t="str">
        <f ca="1">IFERROR(__xludf.DUMMYFUNCTION("""COMPUTED_VALUE"""),"LVA Anglais")</f>
        <v>LVA Anglais</v>
      </c>
      <c r="J36" s="1" t="str">
        <f ca="1">IFERROR(__xludf.DUMMYFUNCTION("""COMPUTED_VALUE"""),"LVB Espagnol")</f>
        <v>LVB Espagnol</v>
      </c>
      <c r="K36" s="1"/>
      <c r="L36" s="1"/>
      <c r="M36" s="1"/>
      <c r="N36" s="1" t="str">
        <f ca="1">IFERROR(__xludf.DUMMYFUNCTION("""COMPUTED_VALUE"""),"Fille")</f>
        <v>Fille</v>
      </c>
      <c r="O36" s="1"/>
      <c r="P36" s="1" t="str">
        <f ca="1">IFERROR(__xludf.DUMMYFUNCTION("""COMPUTED_VALUE"""),"FRANCE")</f>
        <v>FRANCE</v>
      </c>
      <c r="Q36" s="1"/>
      <c r="R36" s="1" t="str">
        <f ca="1">IFERROR(__xludf.DUMMYFUNCTION("""COMPUTED_VALUE"""),"melya.bakili@lfjpsaly.org")</f>
        <v>melya.bakili@lfjpsaly.org</v>
      </c>
      <c r="S36" s="1"/>
      <c r="T36" s="1" t="str">
        <f ca="1">IFERROR(__xludf.DUMMYFUNCTION("""COMPUTED_VALUE"""),"BAKILI Grace")</f>
        <v>BAKILI Grace</v>
      </c>
      <c r="U36" s="1" t="str">
        <f ca="1">IFERROR(__xludf.DUMMYFUNCTION("""COMPUTED_VALUE"""),"BAKILI Patrick")</f>
        <v>BAKILI Patrick</v>
      </c>
      <c r="V36" s="1" t="str">
        <f ca="1">IFERROR(__xludf.DUMMYFUNCTION("""COMPUTED_VALUE"""),"gracebakili@gmail.com")</f>
        <v>gracebakili@gmail.com</v>
      </c>
      <c r="W36" s="1" t="str">
        <f ca="1">IFERROR(__xludf.DUMMYFUNCTION("""COMPUTED_VALUE"""),"patrick.bakili@gmail.com")</f>
        <v>patrick.bakili@gmail.com</v>
      </c>
      <c r="X36" s="1" t="str">
        <f ca="1">IFERROR(__xludf.DUMMYFUNCTION("""COMPUTED_VALUE"""),"+221 78 111 37 34")</f>
        <v>+221 78 111 37 34</v>
      </c>
      <c r="Y36" s="1" t="str">
        <f ca="1">IFERROR(__xludf.DUMMYFUNCTION("""COMPUTED_VALUE"""),"+221 77 290 89 84")</f>
        <v>+221 77 290 89 84</v>
      </c>
      <c r="Z36" s="1" t="str">
        <f ca="1">IFERROR(__xludf.DUMMYFUNCTION("""COMPUTED_VALUE"""),"+221")</f>
        <v>+221</v>
      </c>
      <c r="AA36" s="1" t="str">
        <f ca="1">IFERROR(__xludf.DUMMYFUNCTION("""COMPUTED_VALUE"""),"+221")</f>
        <v>+221</v>
      </c>
      <c r="AB36" s="2">
        <f ca="1">IFERROR(__xludf.DUMMYFUNCTION("""COMPUTED_VALUE"""),32106)</f>
        <v>32106</v>
      </c>
      <c r="AC36" s="2">
        <f ca="1">IFERROR(__xludf.DUMMYFUNCTION("""COMPUTED_VALUE"""),29794)</f>
        <v>29794</v>
      </c>
      <c r="AD36" s="1" t="str">
        <f ca="1">IFERROR(__xludf.DUMMYFUNCTION("""COMPUTED_VALUE"""),"MERE")</f>
        <v>MERE</v>
      </c>
      <c r="AE36" s="1" t="str">
        <f ca="1">IFERROR(__xludf.DUMMYFUNCTION("""COMPUTED_VALUE"""),"PERE")</f>
        <v>PERE</v>
      </c>
      <c r="AF36" s="1" t="str">
        <f ca="1">IFERROR(__xludf.DUMMYFUNCTION("""COMPUTED_VALUE"""),"FRANCE")</f>
        <v>FRANCE</v>
      </c>
      <c r="AG36" s="1" t="str">
        <f ca="1">IFERROR(__xludf.DUMMYFUNCTION("""COMPUTED_VALUE"""),"CONGO")</f>
        <v>CONGO</v>
      </c>
      <c r="AH36" s="1"/>
      <c r="AI36" s="1"/>
      <c r="AJ36" s="1" t="str">
        <f ca="1">IFERROR(__xludf.DUMMYFUNCTION("""COMPUTED_VALUE"""),"F1141")</f>
        <v>F1141</v>
      </c>
      <c r="AK36" s="1" t="str">
        <f ca="1">IFERROR(__xludf.DUMMYFUNCTION("""COMPUTED_VALUE"""),"Marié(e)")</f>
        <v>Marié(e)</v>
      </c>
      <c r="AL36" s="1" t="str">
        <f ca="1">IFERROR(__xludf.DUMMYFUNCTION("""COMPUTED_VALUE"""),"Marié(e)")</f>
        <v>Marié(e)</v>
      </c>
      <c r="AM36" s="1" t="str">
        <f ca="1">IFERROR(__xludf.DUMMYFUNCTION("""COMPUTED_VALUE"""),"F1141")</f>
        <v>F1141</v>
      </c>
    </row>
    <row r="37" spans="1:39" ht="15.75" customHeight="1" x14ac:dyDescent="0.15">
      <c r="A37" s="1" t="str">
        <f ca="1">IFERROR(__xludf.DUMMYFUNCTION("""COMPUTED_VALUE"""),"BAKILI Soa")</f>
        <v>BAKILI Soa</v>
      </c>
      <c r="B37" s="1" t="str">
        <f ca="1">IFERROR(__xludf.DUMMYFUNCTION("""COMPUTED_VALUE"""),"BAKILI")</f>
        <v>BAKILI</v>
      </c>
      <c r="C37" s="1" t="str">
        <f ca="1">IFERROR(__xludf.DUMMYFUNCTION("""COMPUTED_VALUE"""),"Soa")</f>
        <v>Soa</v>
      </c>
      <c r="D37" s="1" t="str">
        <f ca="1">IFERROR(__xludf.DUMMYFUNCTION("""COMPUTED_VALUE"""),"11425S2577")</f>
        <v>11425S2577</v>
      </c>
      <c r="E37" s="2">
        <f ca="1">IFERROR(__xludf.DUMMYFUNCTION("""COMPUTED_VALUE"""),44049)</f>
        <v>44049</v>
      </c>
      <c r="F37" s="1" t="str">
        <f ca="1">IFERROR(__xludf.DUMMYFUNCTION("""COMPUTED_VALUE"""),"Mat 3")</f>
        <v>Mat 3</v>
      </c>
      <c r="G37" s="1" t="str">
        <f ca="1">IFERROR(__xludf.DUMMYFUNCTION("""COMPUTED_VALUE"""),"GS")</f>
        <v>GS</v>
      </c>
      <c r="H37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37" s="1"/>
      <c r="J37" s="1"/>
      <c r="K37" s="1"/>
      <c r="L37" s="1"/>
      <c r="M37" s="1"/>
      <c r="N37" s="1" t="str">
        <f ca="1">IFERROR(__xludf.DUMMYFUNCTION("""COMPUTED_VALUE"""),"Fille")</f>
        <v>Fille</v>
      </c>
      <c r="O37" s="1"/>
      <c r="P37" s="1" t="str">
        <f ca="1">IFERROR(__xludf.DUMMYFUNCTION("""COMPUTED_VALUE"""),"FRANCE")</f>
        <v>FRANCE</v>
      </c>
      <c r="Q37" s="1"/>
      <c r="R37" s="1"/>
      <c r="S37" s="1" t="str">
        <f ca="1">IFERROR(__xludf.DUMMYFUNCTION("""COMPUTED_VALUE"""),"+221")</f>
        <v>+221</v>
      </c>
      <c r="T37" s="1" t="str">
        <f ca="1">IFERROR(__xludf.DUMMYFUNCTION("""COMPUTED_VALUE"""),"BAKILI Grace")</f>
        <v>BAKILI Grace</v>
      </c>
      <c r="U37" s="1" t="str">
        <f ca="1">IFERROR(__xludf.DUMMYFUNCTION("""COMPUTED_VALUE"""),"BAKILI Patrick")</f>
        <v>BAKILI Patrick</v>
      </c>
      <c r="V37" s="1" t="str">
        <f ca="1">IFERROR(__xludf.DUMMYFUNCTION("""COMPUTED_VALUE"""),"gracebakili@gmail.com")</f>
        <v>gracebakili@gmail.com</v>
      </c>
      <c r="W37" s="1" t="str">
        <f ca="1">IFERROR(__xludf.DUMMYFUNCTION("""COMPUTED_VALUE"""),"patrick.bakili@gmail.com")</f>
        <v>patrick.bakili@gmail.com</v>
      </c>
      <c r="X37" s="1" t="str">
        <f ca="1">IFERROR(__xludf.DUMMYFUNCTION("""COMPUTED_VALUE"""),"+221 78 111 37 34")</f>
        <v>+221 78 111 37 34</v>
      </c>
      <c r="Y37" s="1" t="str">
        <f ca="1">IFERROR(__xludf.DUMMYFUNCTION("""COMPUTED_VALUE"""),"+221 77 290 89 84")</f>
        <v>+221 77 290 89 84</v>
      </c>
      <c r="Z37" s="1" t="str">
        <f ca="1">IFERROR(__xludf.DUMMYFUNCTION("""COMPUTED_VALUE"""),"+221")</f>
        <v>+221</v>
      </c>
      <c r="AA37" s="1" t="str">
        <f ca="1">IFERROR(__xludf.DUMMYFUNCTION("""COMPUTED_VALUE"""),"+221")</f>
        <v>+221</v>
      </c>
      <c r="AB37" s="2">
        <f ca="1">IFERROR(__xludf.DUMMYFUNCTION("""COMPUTED_VALUE"""),32106)</f>
        <v>32106</v>
      </c>
      <c r="AC37" s="2">
        <f ca="1">IFERROR(__xludf.DUMMYFUNCTION("""COMPUTED_VALUE"""),29794)</f>
        <v>29794</v>
      </c>
      <c r="AD37" s="1" t="str">
        <f ca="1">IFERROR(__xludf.DUMMYFUNCTION("""COMPUTED_VALUE"""),"MERE")</f>
        <v>MERE</v>
      </c>
      <c r="AE37" s="1" t="str">
        <f ca="1">IFERROR(__xludf.DUMMYFUNCTION("""COMPUTED_VALUE"""),"PERE")</f>
        <v>PERE</v>
      </c>
      <c r="AF37" s="1" t="str">
        <f ca="1">IFERROR(__xludf.DUMMYFUNCTION("""COMPUTED_VALUE"""),"FRANCE")</f>
        <v>FRANCE</v>
      </c>
      <c r="AG37" s="1" t="str">
        <f ca="1">IFERROR(__xludf.DUMMYFUNCTION("""COMPUTED_VALUE"""),"CONGO")</f>
        <v>CONGO</v>
      </c>
      <c r="AH37" s="1"/>
      <c r="AI37" s="1"/>
      <c r="AJ37" s="1" t="str">
        <f ca="1">IFERROR(__xludf.DUMMYFUNCTION("""COMPUTED_VALUE"""),"F1141")</f>
        <v>F1141</v>
      </c>
      <c r="AK37" s="1" t="str">
        <f ca="1">IFERROR(__xludf.DUMMYFUNCTION("""COMPUTED_VALUE"""),"Marié(e)")</f>
        <v>Marié(e)</v>
      </c>
      <c r="AL37" s="1" t="str">
        <f ca="1">IFERROR(__xludf.DUMMYFUNCTION("""COMPUTED_VALUE"""),"Marié(e)")</f>
        <v>Marié(e)</v>
      </c>
      <c r="AM37" s="1" t="str">
        <f ca="1">IFERROR(__xludf.DUMMYFUNCTION("""COMPUTED_VALUE"""),"F1141")</f>
        <v>F1141</v>
      </c>
    </row>
    <row r="38" spans="1:39" ht="15.75" customHeight="1" x14ac:dyDescent="0.15">
      <c r="A38" s="1" t="str">
        <f ca="1">IFERROR(__xludf.DUMMYFUNCTION("""COMPUTED_VALUE"""),"BALAIRE Alban")</f>
        <v>BALAIRE Alban</v>
      </c>
      <c r="B38" s="1" t="str">
        <f ca="1">IFERROR(__xludf.DUMMYFUNCTION("""COMPUTED_VALUE"""),"BALAIRE")</f>
        <v>BALAIRE</v>
      </c>
      <c r="C38" s="1" t="str">
        <f ca="1">IFERROR(__xludf.DUMMYFUNCTION("""COMPUTED_VALUE"""),"Alban")</f>
        <v>Alban</v>
      </c>
      <c r="D38" s="1" t="str">
        <f ca="1">IFERROR(__xludf.DUMMYFUNCTION("""COMPUTED_VALUE"""),"1144E1")</f>
        <v>1144E1</v>
      </c>
      <c r="E38" s="2">
        <f ca="1">IFERROR(__xludf.DUMMYFUNCTION("""COMPUTED_VALUE"""),42131)</f>
        <v>42131</v>
      </c>
      <c r="F38" s="1" t="str">
        <f ca="1">IFERROR(__xludf.DUMMYFUNCTION("""COMPUTED_VALUE"""),"CM2B")</f>
        <v>CM2B</v>
      </c>
      <c r="G38" s="1" t="str">
        <f ca="1">IFERROR(__xludf.DUMMYFUNCTION("""COMPUTED_VALUE"""),"CM2")</f>
        <v>CM2</v>
      </c>
      <c r="H38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38" s="1"/>
      <c r="J38" s="1"/>
      <c r="K38" s="1"/>
      <c r="L38" s="1"/>
      <c r="M38" s="1"/>
      <c r="N38" s="1" t="str">
        <f ca="1">IFERROR(__xludf.DUMMYFUNCTION("""COMPUTED_VALUE"""),"Garçon")</f>
        <v>Garçon</v>
      </c>
      <c r="O38" s="1"/>
      <c r="P38" s="1" t="str">
        <f ca="1">IFERROR(__xludf.DUMMYFUNCTION("""COMPUTED_VALUE"""),"FRANCE")</f>
        <v>FRANCE</v>
      </c>
      <c r="Q38" s="1"/>
      <c r="R38" s="1"/>
      <c r="S38" s="1"/>
      <c r="T38" s="1" t="str">
        <f ca="1">IFERROR(__xludf.DUMMYFUNCTION("""COMPUTED_VALUE"""),"BALAIRE Alain")</f>
        <v>BALAIRE Alain</v>
      </c>
      <c r="U38" s="1" t="str">
        <f ca="1">IFERROR(__xludf.DUMMYFUNCTION("""COMPUTED_VALUE"""),"BALAIRE Lamia")</f>
        <v>BALAIRE Lamia</v>
      </c>
      <c r="V38" s="1" t="str">
        <f ca="1">IFERROR(__xludf.DUMMYFUNCTION("""COMPUTED_VALUE"""),"alain.balaire@yahoo.fr")</f>
        <v>alain.balaire@yahoo.fr</v>
      </c>
      <c r="W38" s="1" t="str">
        <f ca="1">IFERROR(__xludf.DUMMYFUNCTION("""COMPUTED_VALUE"""),"aghnnache84@yahoo.fr")</f>
        <v>aghnnache84@yahoo.fr</v>
      </c>
      <c r="X38" s="1" t="str">
        <f ca="1">IFERROR(__xludf.DUMMYFUNCTION("""COMPUTED_VALUE"""),"776371902")</f>
        <v>776371902</v>
      </c>
      <c r="Y38" s="1" t="str">
        <f ca="1">IFERROR(__xludf.DUMMYFUNCTION("""COMPUTED_VALUE"""),"770199191")</f>
        <v>770199191</v>
      </c>
      <c r="Z38" s="1"/>
      <c r="AA38" s="1"/>
      <c r="AB38" s="2">
        <f ca="1">IFERROR(__xludf.DUMMYFUNCTION("""COMPUTED_VALUE"""),18302)</f>
        <v>18302</v>
      </c>
      <c r="AC38" s="2">
        <f ca="1">IFERROR(__xludf.DUMMYFUNCTION("""COMPUTED_VALUE"""),30732)</f>
        <v>30732</v>
      </c>
      <c r="AD38" s="1" t="str">
        <f ca="1">IFERROR(__xludf.DUMMYFUNCTION("""COMPUTED_VALUE"""),"PERE")</f>
        <v>PERE</v>
      </c>
      <c r="AE38" s="1" t="str">
        <f ca="1">IFERROR(__xludf.DUMMYFUNCTION("""COMPUTED_VALUE"""),"MERE")</f>
        <v>MERE</v>
      </c>
      <c r="AF38" s="1" t="str">
        <f ca="1">IFERROR(__xludf.DUMMYFUNCTION("""COMPUTED_VALUE"""),"FRANCE")</f>
        <v>FRANCE</v>
      </c>
      <c r="AG38" s="1" t="str">
        <f ca="1">IFERROR(__xludf.DUMMYFUNCTION("""COMPUTED_VALUE"""),"MAROC")</f>
        <v>MAROC</v>
      </c>
      <c r="AH38" s="1"/>
      <c r="AI38" s="1" t="str">
        <f ca="1">IFERROR(__xludf.DUMMYFUNCTION("""COMPUTED_VALUE"""),"FRANCE")</f>
        <v>FRANCE</v>
      </c>
      <c r="AJ38" s="1" t="str">
        <f ca="1">IFERROR(__xludf.DUMMYFUNCTION("""COMPUTED_VALUE"""),"F1144")</f>
        <v>F1144</v>
      </c>
      <c r="AK38" s="1" t="str">
        <f ca="1">IFERROR(__xludf.DUMMYFUNCTION("""COMPUTED_VALUE"""),"Marié(e)")</f>
        <v>Marié(e)</v>
      </c>
      <c r="AL38" s="1" t="str">
        <f ca="1">IFERROR(__xludf.DUMMYFUNCTION("""COMPUTED_VALUE"""),"Marié(e)")</f>
        <v>Marié(e)</v>
      </c>
      <c r="AM38" s="1" t="str">
        <f ca="1">IFERROR(__xludf.DUMMYFUNCTION("""COMPUTED_VALUE"""),"F1144")</f>
        <v>F1144</v>
      </c>
    </row>
    <row r="39" spans="1:39" ht="15.75" customHeight="1" x14ac:dyDescent="0.15">
      <c r="A39" s="1" t="str">
        <f ca="1">IFERROR(__xludf.DUMMYFUNCTION("""COMPUTED_VALUE"""),"BAO Ndeye Fatoumata")</f>
        <v>BAO Ndeye Fatoumata</v>
      </c>
      <c r="B39" s="1" t="str">
        <f ca="1">IFERROR(__xludf.DUMMYFUNCTION("""COMPUTED_VALUE"""),"BAO")</f>
        <v>BAO</v>
      </c>
      <c r="C39" s="1" t="str">
        <f ca="1">IFERROR(__xludf.DUMMYFUNCTION("""COMPUTED_VALUE"""),"Ndeye Fatoumata")</f>
        <v>Ndeye Fatoumata</v>
      </c>
      <c r="D39" s="1" t="str">
        <f ca="1">IFERROR(__xludf.DUMMYFUNCTION("""COMPUTED_VALUE"""),"12076S3080")</f>
        <v>12076S3080</v>
      </c>
      <c r="E39" s="2">
        <f ca="1">IFERROR(__xludf.DUMMYFUNCTION("""COMPUTED_VALUE"""),41112)</f>
        <v>41112</v>
      </c>
      <c r="F39" s="1" t="str">
        <f ca="1">IFERROR(__xludf.DUMMYFUNCTION("""COMPUTED_VALUE"""),"4EME1")</f>
        <v>4EME1</v>
      </c>
      <c r="G39" s="1" t="str">
        <f ca="1">IFERROR(__xludf.DUMMYFUNCTION("""COMPUTED_VALUE"""),"4ème")</f>
        <v>4ème</v>
      </c>
      <c r="H39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39" s="1" t="str">
        <f ca="1">IFERROR(__xludf.DUMMYFUNCTION("""COMPUTED_VALUE"""),"LVA Anglais")</f>
        <v>LVA Anglais</v>
      </c>
      <c r="J39" s="1" t="str">
        <f ca="1">IFERROR(__xludf.DUMMYFUNCTION("""COMPUTED_VALUE"""),"LVB Espagnol")</f>
        <v>LVB Espagnol</v>
      </c>
      <c r="K39" s="1"/>
      <c r="L39" s="1"/>
      <c r="M39" s="1"/>
      <c r="N39" s="1" t="str">
        <f ca="1">IFERROR(__xludf.DUMMYFUNCTION("""COMPUTED_VALUE"""),"Fille")</f>
        <v>Fille</v>
      </c>
      <c r="O39" s="1"/>
      <c r="P39" s="1" t="str">
        <f ca="1">IFERROR(__xludf.DUMMYFUNCTION("""COMPUTED_VALUE"""),"FRANCE")</f>
        <v>FRANCE</v>
      </c>
      <c r="Q39" s="1"/>
      <c r="R39" s="1" t="str">
        <f ca="1">IFERROR(__xludf.DUMMYFUNCTION("""COMPUTED_VALUE"""),"fatoumata.bao@lfjpsaly.org")</f>
        <v>fatoumata.bao@lfjpsaly.org</v>
      </c>
      <c r="S39" s="1" t="str">
        <f ca="1">IFERROR(__xludf.DUMMYFUNCTION("""COMPUTED_VALUE"""),"+221")</f>
        <v>+221</v>
      </c>
      <c r="T39" s="1" t="str">
        <f ca="1">IFERROR(__xludf.DUMMYFUNCTION("""COMPUTED_VALUE"""),"BAO Adja")</f>
        <v>BAO Adja</v>
      </c>
      <c r="U39" s="1" t="str">
        <f ca="1">IFERROR(__xludf.DUMMYFUNCTION("""COMPUTED_VALUE"""),"BAO Babacar")</f>
        <v>BAO Babacar</v>
      </c>
      <c r="V39" s="1" t="str">
        <f ca="1">IFERROR(__xludf.DUMMYFUNCTION("""COMPUTED_VALUE"""),"adjabao@live.fr")</f>
        <v>adjabao@live.fr</v>
      </c>
      <c r="W39" s="1" t="str">
        <f ca="1">IFERROR(__xludf.DUMMYFUNCTION("""COMPUTED_VALUE"""),"babacarbao@gmail.com")</f>
        <v>babacarbao@gmail.com</v>
      </c>
      <c r="X39" s="1" t="str">
        <f ca="1">IFERROR(__xludf.DUMMYFUNCTION("""COMPUTED_VALUE"""),"+221 78 863 98 58")</f>
        <v>+221 78 863 98 58</v>
      </c>
      <c r="Y39" s="1" t="str">
        <f ca="1">IFERROR(__xludf.DUMMYFUNCTION("""COMPUTED_VALUE"""),"+221 78 863 98 58")</f>
        <v>+221 78 863 98 58</v>
      </c>
      <c r="Z39" s="1" t="str">
        <f ca="1">IFERROR(__xludf.DUMMYFUNCTION("""COMPUTED_VALUE"""),"+33 6 25 14 62 68")</f>
        <v>+33 6 25 14 62 68</v>
      </c>
      <c r="AA39" s="1" t="str">
        <f ca="1">IFERROR(__xludf.DUMMYFUNCTION("""COMPUTED_VALUE"""),"+33 6 05 65 83 74")</f>
        <v>+33 6 05 65 83 74</v>
      </c>
      <c r="AB39" s="2">
        <f ca="1">IFERROR(__xludf.DUMMYFUNCTION("""COMPUTED_VALUE"""),31702)</f>
        <v>31702</v>
      </c>
      <c r="AC39" s="2">
        <f ca="1">IFERROR(__xludf.DUMMYFUNCTION("""COMPUTED_VALUE"""),27714)</f>
        <v>27714</v>
      </c>
      <c r="AD39" s="1" t="str">
        <f ca="1">IFERROR(__xludf.DUMMYFUNCTION("""COMPUTED_VALUE"""),"MERE")</f>
        <v>MERE</v>
      </c>
      <c r="AE39" s="1" t="str">
        <f ca="1">IFERROR(__xludf.DUMMYFUNCTION("""COMPUTED_VALUE"""),"PERE")</f>
        <v>PERE</v>
      </c>
      <c r="AF39" s="1" t="str">
        <f ca="1">IFERROR(__xludf.DUMMYFUNCTION("""COMPUTED_VALUE"""),"FRANCE")</f>
        <v>FRANCE</v>
      </c>
      <c r="AG39" s="1" t="str">
        <f ca="1">IFERROR(__xludf.DUMMYFUNCTION("""COMPUTED_VALUE"""),"SENEGAL")</f>
        <v>SENEGAL</v>
      </c>
      <c r="AH39" s="1" t="str">
        <f ca="1">IFERROR(__xludf.DUMMYFUNCTION("""COMPUTED_VALUE"""),"SENEGAL")</f>
        <v>SENEGAL</v>
      </c>
      <c r="AI39" s="1"/>
      <c r="AJ39" s="1" t="str">
        <f ca="1">IFERROR(__xludf.DUMMYFUNCTION("""COMPUTED_VALUE"""),"U12076")</f>
        <v>U12076</v>
      </c>
      <c r="AK39" s="1" t="str">
        <f ca="1">IFERROR(__xludf.DUMMYFUNCTION("""COMPUTED_VALUE"""),"Célibataire")</f>
        <v>Célibataire</v>
      </c>
      <c r="AL39" s="1" t="str">
        <f ca="1">IFERROR(__xludf.DUMMYFUNCTION("""COMPUTED_VALUE"""),"Célibataire")</f>
        <v>Célibataire</v>
      </c>
      <c r="AM39" s="1" t="str">
        <f ca="1">IFERROR(__xludf.DUMMYFUNCTION("""COMPUTED_VALUE"""),"U12076")</f>
        <v>U12076</v>
      </c>
    </row>
    <row r="40" spans="1:39" ht="15.75" customHeight="1" x14ac:dyDescent="0.15">
      <c r="A40" s="1" t="str">
        <f ca="1">IFERROR(__xludf.DUMMYFUNCTION("""COMPUTED_VALUE"""),"BARIC Yerim")</f>
        <v>BARIC Yerim</v>
      </c>
      <c r="B40" s="1" t="str">
        <f ca="1">IFERROR(__xludf.DUMMYFUNCTION("""COMPUTED_VALUE"""),"BARIC")</f>
        <v>BARIC</v>
      </c>
      <c r="C40" s="1" t="str">
        <f ca="1">IFERROR(__xludf.DUMMYFUNCTION("""COMPUTED_VALUE"""),"Yerim")</f>
        <v>Yerim</v>
      </c>
      <c r="D40" s="1" t="str">
        <f ca="1">IFERROR(__xludf.DUMMYFUNCTION("""COMPUTED_VALUE"""),"1152E1")</f>
        <v>1152E1</v>
      </c>
      <c r="E40" s="2">
        <f ca="1">IFERROR(__xludf.DUMMYFUNCTION("""COMPUTED_VALUE"""),39636)</f>
        <v>39636</v>
      </c>
      <c r="F40" s="1" t="str">
        <f ca="1">IFERROR(__xludf.DUMMYFUNCTION("""COMPUTED_VALUE"""),"TERMINALE2")</f>
        <v>TERMINALE2</v>
      </c>
      <c r="G40" s="1" t="str">
        <f ca="1">IFERROR(__xludf.DUMMYFUNCTION("""COMPUTED_VALUE"""),"Terminale")</f>
        <v>Terminale</v>
      </c>
      <c r="H40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40" s="1" t="str">
        <f ca="1">IFERROR(__xludf.DUMMYFUNCTION("""COMPUTED_VALUE"""),"LVA Anglais")</f>
        <v>LVA Anglais</v>
      </c>
      <c r="J40" s="1" t="str">
        <f ca="1">IFERROR(__xludf.DUMMYFUNCTION("""COMPUTED_VALUE"""),"LVB Espagnol")</f>
        <v>LVB Espagnol</v>
      </c>
      <c r="K40" s="1"/>
      <c r="L40" s="1"/>
      <c r="M40" s="1" t="str">
        <f ca="1">IFERROR(__xludf.DUMMYFUNCTION("""COMPUTED_VALUE"""),"SPE LLCE AMC, SPE SES")</f>
        <v>SPE LLCE AMC, SPE SES</v>
      </c>
      <c r="N40" s="1" t="str">
        <f ca="1">IFERROR(__xludf.DUMMYFUNCTION("""COMPUTED_VALUE"""),"Garçon")</f>
        <v>Garçon</v>
      </c>
      <c r="O40" s="1"/>
      <c r="P40" s="1" t="str">
        <f ca="1">IFERROR(__xludf.DUMMYFUNCTION("""COMPUTED_VALUE"""),"FRANCE")</f>
        <v>FRANCE</v>
      </c>
      <c r="Q40" s="1"/>
      <c r="R40" s="1" t="str">
        <f ca="1">IFERROR(__xludf.DUMMYFUNCTION("""COMPUTED_VALUE"""),"yerim.baric@lfjpsaly.org")</f>
        <v>yerim.baric@lfjpsaly.org</v>
      </c>
      <c r="S40" s="1"/>
      <c r="T40" s="1" t="str">
        <f ca="1">IFERROR(__xludf.DUMMYFUNCTION("""COMPUTED_VALUE"""),"BARIC Olivier")</f>
        <v>BARIC Olivier</v>
      </c>
      <c r="U40" s="1" t="str">
        <f ca="1">IFERROR(__xludf.DUMMYFUNCTION("""COMPUTED_VALUE"""),"BARIC Lika")</f>
        <v>BARIC Lika</v>
      </c>
      <c r="V40" s="1" t="str">
        <f ca="1">IFERROR(__xludf.DUMMYFUNCTION("""COMPUTED_VALUE"""),"baricolivier@gmail.com")</f>
        <v>baricolivier@gmail.com</v>
      </c>
      <c r="W40" s="1" t="str">
        <f ca="1">IFERROR(__xludf.DUMMYFUNCTION("""COMPUTED_VALUE"""),"yerimou@me.com")</f>
        <v>yerimou@me.com</v>
      </c>
      <c r="X40" s="1" t="str">
        <f ca="1">IFERROR(__xludf.DUMMYFUNCTION("""COMPUTED_VALUE"""),"621280298")</f>
        <v>621280298</v>
      </c>
      <c r="Y40" s="1" t="str">
        <f ca="1">IFERROR(__xludf.DUMMYFUNCTION("""COMPUTED_VALUE"""),"619260827")</f>
        <v>619260827</v>
      </c>
      <c r="Z40" s="1"/>
      <c r="AA40" s="1"/>
      <c r="AB40" s="2">
        <f ca="1">IFERROR(__xludf.DUMMYFUNCTION("""COMPUTED_VALUE"""),24347)</f>
        <v>24347</v>
      </c>
      <c r="AC40" s="2">
        <f ca="1">IFERROR(__xludf.DUMMYFUNCTION("""COMPUTED_VALUE"""),25095)</f>
        <v>25095</v>
      </c>
      <c r="AD40" s="1" t="str">
        <f ca="1">IFERROR(__xludf.DUMMYFUNCTION("""COMPUTED_VALUE"""),"PERE")</f>
        <v>PERE</v>
      </c>
      <c r="AE40" s="1" t="str">
        <f ca="1">IFERROR(__xludf.DUMMYFUNCTION("""COMPUTED_VALUE"""),"MERE")</f>
        <v>MERE</v>
      </c>
      <c r="AF40" s="1" t="str">
        <f ca="1">IFERROR(__xludf.DUMMYFUNCTION("""COMPUTED_VALUE"""),"FRANCE")</f>
        <v>FRANCE</v>
      </c>
      <c r="AG40" s="1" t="str">
        <f ca="1">IFERROR(__xludf.DUMMYFUNCTION("""COMPUTED_VALUE"""),"FRANCE")</f>
        <v>FRANCE</v>
      </c>
      <c r="AH40" s="1"/>
      <c r="AI40" s="1" t="str">
        <f ca="1">IFERROR(__xludf.DUMMYFUNCTION("""COMPUTED_VALUE"""),"SENEGAL")</f>
        <v>SENEGAL</v>
      </c>
      <c r="AJ40" s="1" t="str">
        <f ca="1">IFERROR(__xludf.DUMMYFUNCTION("""COMPUTED_VALUE"""),"F1152")</f>
        <v>F1152</v>
      </c>
      <c r="AK40" s="1" t="str">
        <f ca="1">IFERROR(__xludf.DUMMYFUNCTION("""COMPUTED_VALUE"""),"Marié(e)")</f>
        <v>Marié(e)</v>
      </c>
      <c r="AL40" s="1" t="str">
        <f ca="1">IFERROR(__xludf.DUMMYFUNCTION("""COMPUTED_VALUE"""),"Marié(e)")</f>
        <v>Marié(e)</v>
      </c>
      <c r="AM40" s="1" t="str">
        <f ca="1">IFERROR(__xludf.DUMMYFUNCTION("""COMPUTED_VALUE"""),"F1152")</f>
        <v>F1152</v>
      </c>
    </row>
    <row r="41" spans="1:39" ht="15.75" customHeight="1" x14ac:dyDescent="0.15">
      <c r="A41" s="1" t="str">
        <f ca="1">IFERROR(__xludf.DUMMYFUNCTION("""COMPUTED_VALUE"""),"BASSOLE-PARIS Ayana")</f>
        <v>BASSOLE-PARIS Ayana</v>
      </c>
      <c r="B41" s="1" t="str">
        <f ca="1">IFERROR(__xludf.DUMMYFUNCTION("""COMPUTED_VALUE"""),"BASSOLE-PARIS")</f>
        <v>BASSOLE-PARIS</v>
      </c>
      <c r="C41" s="1" t="str">
        <f ca="1">IFERROR(__xludf.DUMMYFUNCTION("""COMPUTED_VALUE"""),"Ayana")</f>
        <v>Ayana</v>
      </c>
      <c r="D41" s="1" t="str">
        <f ca="1">IFERROR(__xludf.DUMMYFUNCTION("""COMPUTED_VALUE"""),"1153E1")</f>
        <v>1153E1</v>
      </c>
      <c r="E41" s="2">
        <f ca="1">IFERROR(__xludf.DUMMYFUNCTION("""COMPUTED_VALUE"""),43146)</f>
        <v>43146</v>
      </c>
      <c r="F41" s="1" t="str">
        <f ca="1">IFERROR(__xludf.DUMMYFUNCTION("""COMPUTED_VALUE"""),"CE1B")</f>
        <v>CE1B</v>
      </c>
      <c r="G41" s="1" t="str">
        <f ca="1">IFERROR(__xludf.DUMMYFUNCTION("""COMPUTED_VALUE"""),"CE1")</f>
        <v>CE1</v>
      </c>
      <c r="H41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41" s="1"/>
      <c r="J41" s="1"/>
      <c r="K41" s="1"/>
      <c r="L41" s="1"/>
      <c r="M41" s="1"/>
      <c r="N41" s="1" t="str">
        <f ca="1">IFERROR(__xludf.DUMMYFUNCTION("""COMPUTED_VALUE"""),"Fille")</f>
        <v>Fille</v>
      </c>
      <c r="O41" s="1"/>
      <c r="P41" s="1" t="str">
        <f ca="1">IFERROR(__xludf.DUMMYFUNCTION("""COMPUTED_VALUE"""),"FRANCE")</f>
        <v>FRANCE</v>
      </c>
      <c r="Q41" s="1" t="str">
        <f ca="1">IFERROR(__xludf.DUMMYFUNCTION("""COMPUTED_VALUE"""),"SENEGAL")</f>
        <v>SENEGAL</v>
      </c>
      <c r="R41" s="1"/>
      <c r="S41" s="1"/>
      <c r="T41" s="1" t="str">
        <f ca="1">IFERROR(__xludf.DUMMYFUNCTION("""COMPUTED_VALUE"""),"PARIS Gilles")</f>
        <v>PARIS Gilles</v>
      </c>
      <c r="U41" s="1" t="str">
        <f ca="1">IFERROR(__xludf.DUMMYFUNCTION("""COMPUTED_VALUE"""),"BASSOLE Sophie")</f>
        <v>BASSOLE Sophie</v>
      </c>
      <c r="V41" s="1" t="str">
        <f ca="1">IFERROR(__xludf.DUMMYFUNCTION("""COMPUTED_VALUE"""),"paris.gil@wanadoo.fr")</f>
        <v>paris.gil@wanadoo.fr</v>
      </c>
      <c r="W41" s="1" t="str">
        <f ca="1">IFERROR(__xludf.DUMMYFUNCTION("""COMPUTED_VALUE"""),"sophiebassole93@gmail.com")</f>
        <v>sophiebassole93@gmail.com</v>
      </c>
      <c r="X41" s="1" t="str">
        <f ca="1">IFERROR(__xludf.DUMMYFUNCTION("""COMPUTED_VALUE"""),"+221 76 356 25 29")</f>
        <v>+221 76 356 25 29</v>
      </c>
      <c r="Y41" s="1" t="str">
        <f ca="1">IFERROR(__xludf.DUMMYFUNCTION("""COMPUTED_VALUE"""),"+221 77 809 89 09")</f>
        <v>+221 77 809 89 09</v>
      </c>
      <c r="Z41" s="1" t="str">
        <f ca="1">IFERROR(__xludf.DUMMYFUNCTION("""COMPUTED_VALUE"""),"+221 76 356 25 29")</f>
        <v>+221 76 356 25 29</v>
      </c>
      <c r="AA41" s="1" t="str">
        <f ca="1">IFERROR(__xludf.DUMMYFUNCTION("""COMPUTED_VALUE"""),"+221 77 809 89 09")</f>
        <v>+221 77 809 89 09</v>
      </c>
      <c r="AB41" s="2">
        <f ca="1">IFERROR(__xludf.DUMMYFUNCTION("""COMPUTED_VALUE"""),22807)</f>
        <v>22807</v>
      </c>
      <c r="AC41" s="2">
        <f ca="1">IFERROR(__xludf.DUMMYFUNCTION("""COMPUTED_VALUE"""),34028)</f>
        <v>34028</v>
      </c>
      <c r="AD41" s="1" t="str">
        <f ca="1">IFERROR(__xludf.DUMMYFUNCTION("""COMPUTED_VALUE"""),"PERE")</f>
        <v>PERE</v>
      </c>
      <c r="AE41" s="1" t="str">
        <f ca="1">IFERROR(__xludf.DUMMYFUNCTION("""COMPUTED_VALUE"""),"MERE")</f>
        <v>MERE</v>
      </c>
      <c r="AF41" s="1" t="str">
        <f ca="1">IFERROR(__xludf.DUMMYFUNCTION("""COMPUTED_VALUE"""),"FRANCE")</f>
        <v>FRANCE</v>
      </c>
      <c r="AG41" s="1" t="str">
        <f ca="1">IFERROR(__xludf.DUMMYFUNCTION("""COMPUTED_VALUE"""),"SENEGAL")</f>
        <v>SENEGAL</v>
      </c>
      <c r="AH41" s="1"/>
      <c r="AI41" s="1" t="str">
        <f ca="1">IFERROR(__xludf.DUMMYFUNCTION("""COMPUTED_VALUE"""),"FRANCE")</f>
        <v>FRANCE</v>
      </c>
      <c r="AJ41" s="1" t="str">
        <f ca="1">IFERROR(__xludf.DUMMYFUNCTION("""COMPUTED_VALUE"""),"F1153")</f>
        <v>F1153</v>
      </c>
      <c r="AK41" s="1" t="str">
        <f ca="1">IFERROR(__xludf.DUMMYFUNCTION("""COMPUTED_VALUE"""),"Marié(e)")</f>
        <v>Marié(e)</v>
      </c>
      <c r="AL41" s="1" t="str">
        <f ca="1">IFERROR(__xludf.DUMMYFUNCTION("""COMPUTED_VALUE"""),"Marié(e)")</f>
        <v>Marié(e)</v>
      </c>
      <c r="AM41" s="1" t="str">
        <f ca="1">IFERROR(__xludf.DUMMYFUNCTION("""COMPUTED_VALUE"""),"F1153")</f>
        <v>F1153</v>
      </c>
    </row>
    <row r="42" spans="1:39" ht="15.75" customHeight="1" x14ac:dyDescent="0.15">
      <c r="A42" s="1" t="str">
        <f ca="1">IFERROR(__xludf.DUMMYFUNCTION("""COMPUTED_VALUE"""),"BASTIDE AHMED Malik")</f>
        <v>BASTIDE AHMED Malik</v>
      </c>
      <c r="B42" s="1" t="str">
        <f ca="1">IFERROR(__xludf.DUMMYFUNCTION("""COMPUTED_VALUE"""),"BASTIDE AHMED")</f>
        <v>BASTIDE AHMED</v>
      </c>
      <c r="C42" s="1" t="str">
        <f ca="1">IFERROR(__xludf.DUMMYFUNCTION("""COMPUTED_VALUE"""),"Malik")</f>
        <v>Malik</v>
      </c>
      <c r="D42" s="1" t="str">
        <f ca="1">IFERROR(__xludf.DUMMYFUNCTION("""COMPUTED_VALUE"""),"1154E1")</f>
        <v>1154E1</v>
      </c>
      <c r="E42" s="2">
        <f ca="1">IFERROR(__xludf.DUMMYFUNCTION("""COMPUTED_VALUE"""),39667)</f>
        <v>39667</v>
      </c>
      <c r="F42" s="1" t="str">
        <f ca="1">IFERROR(__xludf.DUMMYFUNCTION("""COMPUTED_VALUE"""),"TERMINALE1")</f>
        <v>TERMINALE1</v>
      </c>
      <c r="G42" s="1" t="str">
        <f ca="1">IFERROR(__xludf.DUMMYFUNCTION("""COMPUTED_VALUE"""),"Terminale")</f>
        <v>Terminale</v>
      </c>
      <c r="H42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42" s="1" t="str">
        <f ca="1">IFERROR(__xludf.DUMMYFUNCTION("""COMPUTED_VALUE"""),"LVA Anglais")</f>
        <v>LVA Anglais</v>
      </c>
      <c r="J42" s="1" t="str">
        <f ca="1">IFERROR(__xludf.DUMMYFUNCTION("""COMPUTED_VALUE"""),"LVB Espagnol")</f>
        <v>LVB Espagnol</v>
      </c>
      <c r="K42" s="1" t="str">
        <f ca="1">IFERROR(__xludf.DUMMYFUNCTION("""COMPUTED_VALUE"""),"MATHS EXPERTES")</f>
        <v>MATHS EXPERTES</v>
      </c>
      <c r="L42" s="1"/>
      <c r="M42" s="1" t="str">
        <f ca="1">IFERROR(__xludf.DUMMYFUNCTION("""COMPUTED_VALUE"""),"SPE MATHS, SPE SPC")</f>
        <v>SPE MATHS, SPE SPC</v>
      </c>
      <c r="N42" s="1" t="str">
        <f ca="1">IFERROR(__xludf.DUMMYFUNCTION("""COMPUTED_VALUE"""),"Garçon")</f>
        <v>Garçon</v>
      </c>
      <c r="O42" s="1"/>
      <c r="P42" s="1" t="str">
        <f ca="1">IFERROR(__xludf.DUMMYFUNCTION("""COMPUTED_VALUE"""),"FRANCE")</f>
        <v>FRANCE</v>
      </c>
      <c r="Q42" s="1" t="str">
        <f ca="1">IFERROR(__xludf.DUMMYFUNCTION("""COMPUTED_VALUE"""),"SUISSE")</f>
        <v>SUISSE</v>
      </c>
      <c r="R42" s="1" t="str">
        <f ca="1">IFERROR(__xludf.DUMMYFUNCTION("""COMPUTED_VALUE"""),"malik.bastideahmed@lfjpsaly.org")</f>
        <v>malik.bastideahmed@lfjpsaly.org</v>
      </c>
      <c r="S42" s="1" t="str">
        <f ca="1">IFERROR(__xludf.DUMMYFUNCTION("""COMPUTED_VALUE"""),"+221 78 659 61 75")</f>
        <v>+221 78 659 61 75</v>
      </c>
      <c r="T42" s="1" t="str">
        <f ca="1">IFERROR(__xludf.DUMMYFUNCTION("""COMPUTED_VALUE"""),"BASTIDE Joan")</f>
        <v>BASTIDE Joan</v>
      </c>
      <c r="U42" s="1" t="str">
        <f ca="1">IFERROR(__xludf.DUMMYFUNCTION("""COMPUTED_VALUE"""),"BASTIDE AHMED Jacqueline")</f>
        <v>BASTIDE AHMED Jacqueline</v>
      </c>
      <c r="V42" s="1" t="str">
        <f ca="1">IFERROR(__xludf.DUMMYFUNCTION("""COMPUTED_VALUE"""),"joanbastide@gmail.com")</f>
        <v>joanbastide@gmail.com</v>
      </c>
      <c r="W42" s="1" t="str">
        <f ca="1">IFERROR(__xludf.DUMMYFUNCTION("""COMPUTED_VALUE"""),"jakahh@gmail.com")</f>
        <v>jakahh@gmail.com</v>
      </c>
      <c r="X42" s="1" t="str">
        <f ca="1">IFERROR(__xludf.DUMMYFUNCTION("""COMPUTED_VALUE"""),"+221 78 448 65 73")</f>
        <v>+221 78 448 65 73</v>
      </c>
      <c r="Y42" s="1" t="str">
        <f ca="1">IFERROR(__xludf.DUMMYFUNCTION("""COMPUTED_VALUE"""),"+221 77 192 22 10")</f>
        <v>+221 77 192 22 10</v>
      </c>
      <c r="Z42" s="1" t="str">
        <f ca="1">IFERROR(__xludf.DUMMYFUNCTION("""COMPUTED_VALUE"""),"+221")</f>
        <v>+221</v>
      </c>
      <c r="AA42" s="1" t="str">
        <f ca="1">IFERROR(__xludf.DUMMYFUNCTION("""COMPUTED_VALUE"""),"+221")</f>
        <v>+221</v>
      </c>
      <c r="AB42" s="2">
        <f ca="1">IFERROR(__xludf.DUMMYFUNCTION("""COMPUTED_VALUE"""),29033)</f>
        <v>29033</v>
      </c>
      <c r="AC42" s="2">
        <f ca="1">IFERROR(__xludf.DUMMYFUNCTION("""COMPUTED_VALUE"""),28537)</f>
        <v>28537</v>
      </c>
      <c r="AD42" s="1" t="str">
        <f ca="1">IFERROR(__xludf.DUMMYFUNCTION("""COMPUTED_VALUE"""),"PERE")</f>
        <v>PERE</v>
      </c>
      <c r="AE42" s="1" t="str">
        <f ca="1">IFERROR(__xludf.DUMMYFUNCTION("""COMPUTED_VALUE"""),"MERE")</f>
        <v>MERE</v>
      </c>
      <c r="AF42" s="1" t="str">
        <f ca="1">IFERROR(__xludf.DUMMYFUNCTION("""COMPUTED_VALUE"""),"FRANCE")</f>
        <v>FRANCE</v>
      </c>
      <c r="AG42" s="1" t="str">
        <f ca="1">IFERROR(__xludf.DUMMYFUNCTION("""COMPUTED_VALUE"""),"SUISSE")</f>
        <v>SUISSE</v>
      </c>
      <c r="AH42" s="1" t="str">
        <f ca="1">IFERROR(__xludf.DUMMYFUNCTION("""COMPUTED_VALUE"""),"FRANCE")</f>
        <v>FRANCE</v>
      </c>
      <c r="AI42" s="1" t="str">
        <f ca="1">IFERROR(__xludf.DUMMYFUNCTION("""COMPUTED_VALUE"""),"FRANCE")</f>
        <v>FRANCE</v>
      </c>
      <c r="AJ42" s="1" t="str">
        <f ca="1">IFERROR(__xludf.DUMMYFUNCTION("""COMPUTED_VALUE"""),"F1154")</f>
        <v>F1154</v>
      </c>
      <c r="AK42" s="1" t="str">
        <f ca="1">IFERROR(__xludf.DUMMYFUNCTION("""COMPUTED_VALUE"""),"Marié(e)")</f>
        <v>Marié(e)</v>
      </c>
      <c r="AL42" s="1" t="str">
        <f ca="1">IFERROR(__xludf.DUMMYFUNCTION("""COMPUTED_VALUE"""),"Marié(e)")</f>
        <v>Marié(e)</v>
      </c>
      <c r="AM42" s="1" t="str">
        <f ca="1">IFERROR(__xludf.DUMMYFUNCTION("""COMPUTED_VALUE"""),"F1154")</f>
        <v>F1154</v>
      </c>
    </row>
    <row r="43" spans="1:39" ht="15.75" customHeight="1" x14ac:dyDescent="0.15">
      <c r="A43" s="1" t="str">
        <f ca="1">IFERROR(__xludf.DUMMYFUNCTION("""COMPUTED_VALUE"""),"BAZIN DE BEZONS Ayana  Marie-Louise  Malène")</f>
        <v>BAZIN DE BEZONS Ayana  Marie-Louise  Malène</v>
      </c>
      <c r="B43" s="1" t="str">
        <f ca="1">IFERROR(__xludf.DUMMYFUNCTION("""COMPUTED_VALUE"""),"BAZIN DE BEZONS")</f>
        <v>BAZIN DE BEZONS</v>
      </c>
      <c r="C43" s="1" t="str">
        <f ca="1">IFERROR(__xludf.DUMMYFUNCTION("""COMPUTED_VALUE"""),"Ayana  Marie-Louise  Malène")</f>
        <v>Ayana  Marie-Louise  Malène</v>
      </c>
      <c r="D43" s="1" t="str">
        <f ca="1">IFERROR(__xludf.DUMMYFUNCTION("""COMPUTED_VALUE"""),"1635E1")</f>
        <v>1635E1</v>
      </c>
      <c r="E43" s="2">
        <f ca="1">IFERROR(__xludf.DUMMYFUNCTION("""COMPUTED_VALUE"""),41766)</f>
        <v>41766</v>
      </c>
      <c r="F43" s="1" t="str">
        <f ca="1">IFERROR(__xludf.DUMMYFUNCTION("""COMPUTED_VALUE"""),"6EME2")</f>
        <v>6EME2</v>
      </c>
      <c r="G43" s="1" t="str">
        <f ca="1">IFERROR(__xludf.DUMMYFUNCTION("""COMPUTED_VALUE"""),"6ème")</f>
        <v>6ème</v>
      </c>
      <c r="H43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43" s="1" t="str">
        <f ca="1">IFERROR(__xludf.DUMMYFUNCTION("""COMPUTED_VALUE"""),"LVA Anglais")</f>
        <v>LVA Anglais</v>
      </c>
      <c r="J43" s="1" t="str">
        <f ca="1">IFERROR(__xludf.DUMMYFUNCTION("""COMPUTED_VALUE"""),"LVB Espagnol")</f>
        <v>LVB Espagnol</v>
      </c>
      <c r="K43" s="1"/>
      <c r="L43" s="1"/>
      <c r="M43" s="1"/>
      <c r="N43" s="1" t="str">
        <f ca="1">IFERROR(__xludf.DUMMYFUNCTION("""COMPUTED_VALUE"""),"Fille")</f>
        <v>Fille</v>
      </c>
      <c r="O43" s="1"/>
      <c r="P43" s="1" t="str">
        <f ca="1">IFERROR(__xludf.DUMMYFUNCTION("""COMPUTED_VALUE"""),"FRANCE")</f>
        <v>FRANCE</v>
      </c>
      <c r="Q43" s="1" t="str">
        <f ca="1">IFERROR(__xludf.DUMMYFUNCTION("""COMPUTED_VALUE"""),"SENEGAL")</f>
        <v>SENEGAL</v>
      </c>
      <c r="R43" s="1" t="str">
        <f ca="1">IFERROR(__xludf.DUMMYFUNCTION("""COMPUTED_VALUE"""),"ayana.bazindebezons@lfjpsaly.org")</f>
        <v>ayana.bazindebezons@lfjpsaly.org</v>
      </c>
      <c r="S43" s="1"/>
      <c r="T43" s="1" t="str">
        <f ca="1">IFERROR(__xludf.DUMMYFUNCTION("""COMPUTED_VALUE"""),"BAZIN DE BEZONS Ndeye Amy")</f>
        <v>BAZIN DE BEZONS Ndeye Amy</v>
      </c>
      <c r="U43" s="1" t="str">
        <f ca="1">IFERROR(__xludf.DUMMYFUNCTION("""COMPUTED_VALUE"""),"BAZIN DE BEZONS Olivier")</f>
        <v>BAZIN DE BEZONS Olivier</v>
      </c>
      <c r="V43" s="1" t="str">
        <f ca="1">IFERROR(__xludf.DUMMYFUNCTION("""COMPUTED_VALUE"""),"namyba@hotmail.com")</f>
        <v>namyba@hotmail.com</v>
      </c>
      <c r="W43" s="1" t="str">
        <f ca="1">IFERROR(__xludf.DUMMYFUNCTION("""COMPUTED_VALUE"""),"olivier.bazindb@gmail.com")</f>
        <v>olivier.bazindb@gmail.com</v>
      </c>
      <c r="X43" s="1" t="str">
        <f ca="1">IFERROR(__xludf.DUMMYFUNCTION("""COMPUTED_VALUE"""),"+221 78 182 23 81")</f>
        <v>+221 78 182 23 81</v>
      </c>
      <c r="Y43" s="1" t="str">
        <f ca="1">IFERROR(__xludf.DUMMYFUNCTION("""COMPUTED_VALUE"""),"+221 77 718 66 75")</f>
        <v>+221 77 718 66 75</v>
      </c>
      <c r="Z43" s="1" t="str">
        <f ca="1">IFERROR(__xludf.DUMMYFUNCTION("""COMPUTED_VALUE"""),"+33 6 27 70 74 45")</f>
        <v>+33 6 27 70 74 45</v>
      </c>
      <c r="AA43" s="1" t="str">
        <f ca="1">IFERROR(__xludf.DUMMYFUNCTION("""COMPUTED_VALUE"""),"+33 6 61 71 48 17")</f>
        <v>+33 6 61 71 48 17</v>
      </c>
      <c r="AB43" s="2">
        <f ca="1">IFERROR(__xludf.DUMMYFUNCTION("""COMPUTED_VALUE"""),28749)</f>
        <v>28749</v>
      </c>
      <c r="AC43" s="2">
        <f ca="1">IFERROR(__xludf.DUMMYFUNCTION("""COMPUTED_VALUE"""),22615)</f>
        <v>22615</v>
      </c>
      <c r="AD43" s="1" t="str">
        <f ca="1">IFERROR(__xludf.DUMMYFUNCTION("""COMPUTED_VALUE"""),"MERE")</f>
        <v>MERE</v>
      </c>
      <c r="AE43" s="1" t="str">
        <f ca="1">IFERROR(__xludf.DUMMYFUNCTION("""COMPUTED_VALUE"""),"PERE")</f>
        <v>PERE</v>
      </c>
      <c r="AF43" s="1" t="str">
        <f ca="1">IFERROR(__xludf.DUMMYFUNCTION("""COMPUTED_VALUE"""),"FRANCE")</f>
        <v>FRANCE</v>
      </c>
      <c r="AG43" s="1" t="str">
        <f ca="1">IFERROR(__xludf.DUMMYFUNCTION("""COMPUTED_VALUE"""),"FRANCE")</f>
        <v>FRANCE</v>
      </c>
      <c r="AH43" s="1" t="str">
        <f ca="1">IFERROR(__xludf.DUMMYFUNCTION("""COMPUTED_VALUE"""),"SENEGAL")</f>
        <v>SENEGAL</v>
      </c>
      <c r="AI43" s="1"/>
      <c r="AJ43" s="1" t="str">
        <f ca="1">IFERROR(__xludf.DUMMYFUNCTION("""COMPUTED_VALUE"""),"F1635")</f>
        <v>F1635</v>
      </c>
      <c r="AK43" s="1" t="str">
        <f ca="1">IFERROR(__xludf.DUMMYFUNCTION("""COMPUTED_VALUE"""),"Marié(e)")</f>
        <v>Marié(e)</v>
      </c>
      <c r="AL43" s="1" t="str">
        <f ca="1">IFERROR(__xludf.DUMMYFUNCTION("""COMPUTED_VALUE"""),"Marié(e)")</f>
        <v>Marié(e)</v>
      </c>
      <c r="AM43" s="1" t="str">
        <f ca="1">IFERROR(__xludf.DUMMYFUNCTION("""COMPUTED_VALUE"""),"F1635")</f>
        <v>F1635</v>
      </c>
    </row>
    <row r="44" spans="1:39" ht="15.75" customHeight="1" x14ac:dyDescent="0.15">
      <c r="A44" s="1" t="str">
        <f ca="1">IFERROR(__xludf.DUMMYFUNCTION("""COMPUTED_VALUE"""),"BELKHAYAT ZOUKKARI Ilias")</f>
        <v>BELKHAYAT ZOUKKARI Ilias</v>
      </c>
      <c r="B44" s="1" t="str">
        <f ca="1">IFERROR(__xludf.DUMMYFUNCTION("""COMPUTED_VALUE"""),"BELKHAYAT ZOUKKARI")</f>
        <v>BELKHAYAT ZOUKKARI</v>
      </c>
      <c r="C44" s="1" t="str">
        <f ca="1">IFERROR(__xludf.DUMMYFUNCTION("""COMPUTED_VALUE"""),"Ilias")</f>
        <v>Ilias</v>
      </c>
      <c r="D44" s="1" t="str">
        <f ca="1">IFERROR(__xludf.DUMMYFUNCTION("""COMPUTED_VALUE"""),"1159E2")</f>
        <v>1159E2</v>
      </c>
      <c r="E44" s="2">
        <f ca="1">IFERROR(__xludf.DUMMYFUNCTION("""COMPUTED_VALUE"""),41128)</f>
        <v>41128</v>
      </c>
      <c r="F44" s="1" t="str">
        <f ca="1">IFERROR(__xludf.DUMMYFUNCTION("""COMPUTED_VALUE"""),"4EME2")</f>
        <v>4EME2</v>
      </c>
      <c r="G44" s="1" t="str">
        <f ca="1">IFERROR(__xludf.DUMMYFUNCTION("""COMPUTED_VALUE"""),"4ème")</f>
        <v>4ème</v>
      </c>
      <c r="H44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44" s="1" t="str">
        <f ca="1">IFERROR(__xludf.DUMMYFUNCTION("""COMPUTED_VALUE"""),"LVA Anglais")</f>
        <v>LVA Anglais</v>
      </c>
      <c r="J44" s="1" t="str">
        <f ca="1">IFERROR(__xludf.DUMMYFUNCTION("""COMPUTED_VALUE"""),"LVB Espagnol")</f>
        <v>LVB Espagnol</v>
      </c>
      <c r="K44" s="1"/>
      <c r="L44" s="1"/>
      <c r="M44" s="1"/>
      <c r="N44" s="1" t="str">
        <f ca="1">IFERROR(__xludf.DUMMYFUNCTION("""COMPUTED_VALUE"""),"Garçon")</f>
        <v>Garçon</v>
      </c>
      <c r="O44" s="1"/>
      <c r="P44" s="1" t="str">
        <f ca="1">IFERROR(__xludf.DUMMYFUNCTION("""COMPUTED_VALUE"""),"MAROC")</f>
        <v>MAROC</v>
      </c>
      <c r="Q44" s="1"/>
      <c r="R44" s="1" t="str">
        <f ca="1">IFERROR(__xludf.DUMMYFUNCTION("""COMPUTED_VALUE"""),"ilias.belkhayatzoukkari@lfjpsaly.org")</f>
        <v>ilias.belkhayatzoukkari@lfjpsaly.org</v>
      </c>
      <c r="S44" s="1" t="str">
        <f ca="1">IFERROR(__xludf.DUMMYFUNCTION("""COMPUTED_VALUE"""),"+221 77 829 16 37")</f>
        <v>+221 77 829 16 37</v>
      </c>
      <c r="T44" s="1" t="str">
        <f ca="1">IFERROR(__xludf.DUMMYFUNCTION("""COMPUTED_VALUE"""),"BELKHAYAT Siham")</f>
        <v>BELKHAYAT Siham</v>
      </c>
      <c r="U44" s="1" t="str">
        <f ca="1">IFERROR(__xludf.DUMMYFUNCTION("""COMPUTED_VALUE"""),"BELKHAYAT Mohammed")</f>
        <v>BELKHAYAT Mohammed</v>
      </c>
      <c r="V44" s="1" t="str">
        <f ca="1">IFERROR(__xludf.DUMMYFUNCTION("""COMPUTED_VALUE"""),"siham.belkhayat4@gmail.com")</f>
        <v>siham.belkhayat4@gmail.com</v>
      </c>
      <c r="W44" s="1" t="str">
        <f ca="1">IFERROR(__xludf.DUMMYFUNCTION("""COMPUTED_VALUE"""),"Bzmhammed3@gmail.com")</f>
        <v>Bzmhammed3@gmail.com</v>
      </c>
      <c r="X44" s="1" t="str">
        <f ca="1">IFERROR(__xludf.DUMMYFUNCTION("""COMPUTED_VALUE"""),"+221 77 829 16 37")</f>
        <v>+221 77 829 16 37</v>
      </c>
      <c r="Y44" s="1" t="str">
        <f ca="1">IFERROR(__xludf.DUMMYFUNCTION("""COMPUTED_VALUE"""),"+221 77 830 88 57")</f>
        <v>+221 77 830 88 57</v>
      </c>
      <c r="Z44" s="1"/>
      <c r="AA44" s="1"/>
      <c r="AB44" s="2">
        <f ca="1">IFERROR(__xludf.DUMMYFUNCTION("""COMPUTED_VALUE"""),31692)</f>
        <v>31692</v>
      </c>
      <c r="AC44" s="2">
        <f ca="1">IFERROR(__xludf.DUMMYFUNCTION("""COMPUTED_VALUE"""),27457)</f>
        <v>27457</v>
      </c>
      <c r="AD44" s="1" t="str">
        <f ca="1">IFERROR(__xludf.DUMMYFUNCTION("""COMPUTED_VALUE"""),"MERE")</f>
        <v>MERE</v>
      </c>
      <c r="AE44" s="1" t="str">
        <f ca="1">IFERROR(__xludf.DUMMYFUNCTION("""COMPUTED_VALUE"""),"PERE")</f>
        <v>PERE</v>
      </c>
      <c r="AF44" s="1" t="str">
        <f ca="1">IFERROR(__xludf.DUMMYFUNCTION("""COMPUTED_VALUE"""),"MAROC")</f>
        <v>MAROC</v>
      </c>
      <c r="AG44" s="1" t="str">
        <f ca="1">IFERROR(__xludf.DUMMYFUNCTION("""COMPUTED_VALUE"""),"MAROC")</f>
        <v>MAROC</v>
      </c>
      <c r="AH44" s="1"/>
      <c r="AI44" s="1"/>
      <c r="AJ44" s="1" t="str">
        <f ca="1">IFERROR(__xludf.DUMMYFUNCTION("""COMPUTED_VALUE"""),"F1159")</f>
        <v>F1159</v>
      </c>
      <c r="AK44" s="1" t="str">
        <f ca="1">IFERROR(__xludf.DUMMYFUNCTION("""COMPUTED_VALUE"""),"Marié(e)")</f>
        <v>Marié(e)</v>
      </c>
      <c r="AL44" s="1" t="str">
        <f ca="1">IFERROR(__xludf.DUMMYFUNCTION("""COMPUTED_VALUE"""),"Marié(e)")</f>
        <v>Marié(e)</v>
      </c>
      <c r="AM44" s="1" t="str">
        <f ca="1">IFERROR(__xludf.DUMMYFUNCTION("""COMPUTED_VALUE"""),"F1159")</f>
        <v>F1159</v>
      </c>
    </row>
    <row r="45" spans="1:39" ht="15.75" customHeight="1" x14ac:dyDescent="0.15">
      <c r="A45" s="1" t="str">
        <f ca="1">IFERROR(__xludf.DUMMYFUNCTION("""COMPUTED_VALUE"""),"BELKHAYAT ZOUKKARI Mouna")</f>
        <v>BELKHAYAT ZOUKKARI Mouna</v>
      </c>
      <c r="B45" s="1" t="str">
        <f ca="1">IFERROR(__xludf.DUMMYFUNCTION("""COMPUTED_VALUE"""),"BELKHAYAT ZOUKKARI")</f>
        <v>BELKHAYAT ZOUKKARI</v>
      </c>
      <c r="C45" s="1" t="str">
        <f ca="1">IFERROR(__xludf.DUMMYFUNCTION("""COMPUTED_VALUE"""),"Mouna")</f>
        <v>Mouna</v>
      </c>
      <c r="D45" s="1" t="str">
        <f ca="1">IFERROR(__xludf.DUMMYFUNCTION("""COMPUTED_VALUE"""),"1159E1")</f>
        <v>1159E1</v>
      </c>
      <c r="E45" s="2">
        <f ca="1">IFERROR(__xludf.DUMMYFUNCTION("""COMPUTED_VALUE"""),39585)</f>
        <v>39585</v>
      </c>
      <c r="F45" s="1" t="str">
        <f ca="1">IFERROR(__xludf.DUMMYFUNCTION("""COMPUTED_VALUE"""),"TERMINALE1")</f>
        <v>TERMINALE1</v>
      </c>
      <c r="G45" s="1" t="str">
        <f ca="1">IFERROR(__xludf.DUMMYFUNCTION("""COMPUTED_VALUE"""),"Terminale")</f>
        <v>Terminale</v>
      </c>
      <c r="H45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45" s="1" t="str">
        <f ca="1">IFERROR(__xludf.DUMMYFUNCTION("""COMPUTED_VALUE"""),"LVA Anglais")</f>
        <v>LVA Anglais</v>
      </c>
      <c r="J45" s="1" t="str">
        <f ca="1">IFERROR(__xludf.DUMMYFUNCTION("""COMPUTED_VALUE"""),"LVB Espagnol")</f>
        <v>LVB Espagnol</v>
      </c>
      <c r="K45" s="1" t="str">
        <f ca="1">IFERROR(__xludf.DUMMYFUNCTION("""COMPUTED_VALUE"""),"MATHS EXPERTES")</f>
        <v>MATHS EXPERTES</v>
      </c>
      <c r="L45" s="1"/>
      <c r="M45" s="1" t="str">
        <f ca="1">IFERROR(__xludf.DUMMYFUNCTION("""COMPUTED_VALUE"""),"SPE MATHS, SPE SES")</f>
        <v>SPE MATHS, SPE SES</v>
      </c>
      <c r="N45" s="1" t="str">
        <f ca="1">IFERROR(__xludf.DUMMYFUNCTION("""COMPUTED_VALUE"""),"Fille")</f>
        <v>Fille</v>
      </c>
      <c r="O45" s="1"/>
      <c r="P45" s="1" t="str">
        <f ca="1">IFERROR(__xludf.DUMMYFUNCTION("""COMPUTED_VALUE"""),"MAROC")</f>
        <v>MAROC</v>
      </c>
      <c r="Q45" s="1"/>
      <c r="R45" s="1" t="str">
        <f ca="1">IFERROR(__xludf.DUMMYFUNCTION("""COMPUTED_VALUE"""),"mouna.belkhayatzoukkari@lfjpsaly.org")</f>
        <v>mouna.belkhayatzoukkari@lfjpsaly.org</v>
      </c>
      <c r="S45" s="1" t="str">
        <f ca="1">IFERROR(__xludf.DUMMYFUNCTION("""COMPUTED_VALUE"""),"+221 77 829 16 37")</f>
        <v>+221 77 829 16 37</v>
      </c>
      <c r="T45" s="1" t="str">
        <f ca="1">IFERROR(__xludf.DUMMYFUNCTION("""COMPUTED_VALUE"""),"BELKHAYAT Siham")</f>
        <v>BELKHAYAT Siham</v>
      </c>
      <c r="U45" s="1" t="str">
        <f ca="1">IFERROR(__xludf.DUMMYFUNCTION("""COMPUTED_VALUE"""),"BELKHAYAT Mohammed")</f>
        <v>BELKHAYAT Mohammed</v>
      </c>
      <c r="V45" s="1" t="str">
        <f ca="1">IFERROR(__xludf.DUMMYFUNCTION("""COMPUTED_VALUE"""),"siham.belkhayat4@gmail.com")</f>
        <v>siham.belkhayat4@gmail.com</v>
      </c>
      <c r="W45" s="1" t="str">
        <f ca="1">IFERROR(__xludf.DUMMYFUNCTION("""COMPUTED_VALUE"""),"Bzmhammed3@gmail.com")</f>
        <v>Bzmhammed3@gmail.com</v>
      </c>
      <c r="X45" s="1" t="str">
        <f ca="1">IFERROR(__xludf.DUMMYFUNCTION("""COMPUTED_VALUE"""),"+221 77 829 16 37")</f>
        <v>+221 77 829 16 37</v>
      </c>
      <c r="Y45" s="1" t="str">
        <f ca="1">IFERROR(__xludf.DUMMYFUNCTION("""COMPUTED_VALUE"""),"+221 77 830 88 57")</f>
        <v>+221 77 830 88 57</v>
      </c>
      <c r="Z45" s="1"/>
      <c r="AA45" s="1"/>
      <c r="AB45" s="2">
        <f ca="1">IFERROR(__xludf.DUMMYFUNCTION("""COMPUTED_VALUE"""),31692)</f>
        <v>31692</v>
      </c>
      <c r="AC45" s="2">
        <f ca="1">IFERROR(__xludf.DUMMYFUNCTION("""COMPUTED_VALUE"""),27457)</f>
        <v>27457</v>
      </c>
      <c r="AD45" s="1" t="str">
        <f ca="1">IFERROR(__xludf.DUMMYFUNCTION("""COMPUTED_VALUE"""),"MERE")</f>
        <v>MERE</v>
      </c>
      <c r="AE45" s="1" t="str">
        <f ca="1">IFERROR(__xludf.DUMMYFUNCTION("""COMPUTED_VALUE"""),"PERE")</f>
        <v>PERE</v>
      </c>
      <c r="AF45" s="1" t="str">
        <f ca="1">IFERROR(__xludf.DUMMYFUNCTION("""COMPUTED_VALUE"""),"MAROC")</f>
        <v>MAROC</v>
      </c>
      <c r="AG45" s="1" t="str">
        <f ca="1">IFERROR(__xludf.DUMMYFUNCTION("""COMPUTED_VALUE"""),"MAROC")</f>
        <v>MAROC</v>
      </c>
      <c r="AH45" s="1"/>
      <c r="AI45" s="1"/>
      <c r="AJ45" s="1" t="str">
        <f ca="1">IFERROR(__xludf.DUMMYFUNCTION("""COMPUTED_VALUE"""),"F1159")</f>
        <v>F1159</v>
      </c>
      <c r="AK45" s="1" t="str">
        <f ca="1">IFERROR(__xludf.DUMMYFUNCTION("""COMPUTED_VALUE"""),"Marié(e)")</f>
        <v>Marié(e)</v>
      </c>
      <c r="AL45" s="1" t="str">
        <f ca="1">IFERROR(__xludf.DUMMYFUNCTION("""COMPUTED_VALUE"""),"Marié(e)")</f>
        <v>Marié(e)</v>
      </c>
      <c r="AM45" s="1" t="str">
        <f ca="1">IFERROR(__xludf.DUMMYFUNCTION("""COMPUTED_VALUE"""),"F1159")</f>
        <v>F1159</v>
      </c>
    </row>
    <row r="46" spans="1:39" ht="15.75" customHeight="1" x14ac:dyDescent="0.15">
      <c r="A46" s="1" t="str">
        <f ca="1">IFERROR(__xludf.DUMMYFUNCTION("""COMPUTED_VALUE"""),"BENARD Angel")</f>
        <v>BENARD Angel</v>
      </c>
      <c r="B46" s="1" t="str">
        <f ca="1">IFERROR(__xludf.DUMMYFUNCTION("""COMPUTED_VALUE"""),"BENARD")</f>
        <v>BENARD</v>
      </c>
      <c r="C46" s="1" t="str">
        <f ca="1">IFERROR(__xludf.DUMMYFUNCTION("""COMPUTED_VALUE"""),"Angel")</f>
        <v>Angel</v>
      </c>
      <c r="D46" s="1" t="str">
        <f ca="1">IFERROR(__xludf.DUMMYFUNCTION("""COMPUTED_VALUE"""),"1161E1")</f>
        <v>1161E1</v>
      </c>
      <c r="E46" s="2">
        <f ca="1">IFERROR(__xludf.DUMMYFUNCTION("""COMPUTED_VALUE"""),42901)</f>
        <v>42901</v>
      </c>
      <c r="F46" s="1" t="str">
        <f ca="1">IFERROR(__xludf.DUMMYFUNCTION("""COMPUTED_VALUE"""),"CE2")</f>
        <v>CE2</v>
      </c>
      <c r="G46" s="1" t="str">
        <f ca="1">IFERROR(__xludf.DUMMYFUNCTION("""COMPUTED_VALUE"""),"CE2")</f>
        <v>CE2</v>
      </c>
      <c r="H46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46" s="1"/>
      <c r="J46" s="1"/>
      <c r="K46" s="1"/>
      <c r="L46" s="1"/>
      <c r="M46" s="1"/>
      <c r="N46" s="1" t="str">
        <f ca="1">IFERROR(__xludf.DUMMYFUNCTION("""COMPUTED_VALUE"""),"Garçon")</f>
        <v>Garçon</v>
      </c>
      <c r="O46" s="1"/>
      <c r="P46" s="1" t="str">
        <f ca="1">IFERROR(__xludf.DUMMYFUNCTION("""COMPUTED_VALUE"""),"FRANCE")</f>
        <v>FRANCE</v>
      </c>
      <c r="Q46" s="1"/>
      <c r="R46" s="1"/>
      <c r="S46" s="1"/>
      <c r="T46" s="1" t="str">
        <f ca="1">IFERROR(__xludf.DUMMYFUNCTION("""COMPUTED_VALUE"""),"BÉNARD Vincent")</f>
        <v>BÉNARD Vincent</v>
      </c>
      <c r="U46" s="1" t="str">
        <f ca="1">IFERROR(__xludf.DUMMYFUNCTION("""COMPUTED_VALUE"""),"KAMARA Fatou")</f>
        <v>KAMARA Fatou</v>
      </c>
      <c r="V46" s="1" t="str">
        <f ca="1">IFERROR(__xludf.DUMMYFUNCTION("""COMPUTED_VALUE"""),"lesvillasblanches@hotmail.fr")</f>
        <v>lesvillasblanches@hotmail.fr</v>
      </c>
      <c r="W46" s="1" t="str">
        <f ca="1">IFERROR(__xludf.DUMMYFUNCTION("""COMPUTED_VALUE"""),"camarafatou429@gmail.com")</f>
        <v>camarafatou429@gmail.com</v>
      </c>
      <c r="X46" s="1" t="str">
        <f ca="1">IFERROR(__xludf.DUMMYFUNCTION("""COMPUTED_VALUE"""),"+221 78 166 02 28")</f>
        <v>+221 78 166 02 28</v>
      </c>
      <c r="Y46" s="1" t="str">
        <f ca="1">IFERROR(__xludf.DUMMYFUNCTION("""COMPUTED_VALUE"""),"+221 77 202 97 84")</f>
        <v>+221 77 202 97 84</v>
      </c>
      <c r="Z46" s="1" t="str">
        <f ca="1">IFERROR(__xludf.DUMMYFUNCTION("""COMPUTED_VALUE"""),"+221 78 166 02 28")</f>
        <v>+221 78 166 02 28</v>
      </c>
      <c r="AA46" s="1" t="str">
        <f ca="1">IFERROR(__xludf.DUMMYFUNCTION("""COMPUTED_VALUE"""),"+221")</f>
        <v>+221</v>
      </c>
      <c r="AB46" s="2">
        <f ca="1">IFERROR(__xludf.DUMMYFUNCTION("""COMPUTED_VALUE"""),27325)</f>
        <v>27325</v>
      </c>
      <c r="AC46" s="2">
        <f ca="1">IFERROR(__xludf.DUMMYFUNCTION("""COMPUTED_VALUE"""),35356)</f>
        <v>35356</v>
      </c>
      <c r="AD46" s="1" t="str">
        <f ca="1">IFERROR(__xludf.DUMMYFUNCTION("""COMPUTED_VALUE"""),"PERE")</f>
        <v>PERE</v>
      </c>
      <c r="AE46" s="1" t="str">
        <f ca="1">IFERROR(__xludf.DUMMYFUNCTION("""COMPUTED_VALUE"""),"MERE")</f>
        <v>MERE</v>
      </c>
      <c r="AF46" s="1" t="str">
        <f ca="1">IFERROR(__xludf.DUMMYFUNCTION("""COMPUTED_VALUE"""),"FRANCE")</f>
        <v>FRANCE</v>
      </c>
      <c r="AG46" s="1" t="str">
        <f ca="1">IFERROR(__xludf.DUMMYFUNCTION("""COMPUTED_VALUE"""),"SENEGAL")</f>
        <v>SENEGAL</v>
      </c>
      <c r="AH46" s="1"/>
      <c r="AI46" s="1"/>
      <c r="AJ46" s="1" t="str">
        <f ca="1">IFERROR(__xludf.DUMMYFUNCTION("""COMPUTED_VALUE"""),"F1161")</f>
        <v>F1161</v>
      </c>
      <c r="AK46" s="1" t="str">
        <f ca="1">IFERROR(__xludf.DUMMYFUNCTION("""COMPUTED_VALUE"""),"Séparé(e)")</f>
        <v>Séparé(e)</v>
      </c>
      <c r="AL46" s="1" t="str">
        <f ca="1">IFERROR(__xludf.DUMMYFUNCTION("""COMPUTED_VALUE"""),"Séparé(e)")</f>
        <v>Séparé(e)</v>
      </c>
      <c r="AM46" s="1" t="str">
        <f ca="1">IFERROR(__xludf.DUMMYFUNCTION("""COMPUTED_VALUE"""),"F1161")</f>
        <v>F1161</v>
      </c>
    </row>
    <row r="47" spans="1:39" ht="15.75" customHeight="1" x14ac:dyDescent="0.15">
      <c r="A47" s="1" t="str">
        <f ca="1">IFERROR(__xludf.DUMMYFUNCTION("""COMPUTED_VALUE"""),"BENARD Clara")</f>
        <v>BENARD Clara</v>
      </c>
      <c r="B47" s="1" t="str">
        <f ca="1">IFERROR(__xludf.DUMMYFUNCTION("""COMPUTED_VALUE"""),"BENARD")</f>
        <v>BENARD</v>
      </c>
      <c r="C47" s="1" t="str">
        <f ca="1">IFERROR(__xludf.DUMMYFUNCTION("""COMPUTED_VALUE"""),"Clara")</f>
        <v>Clara</v>
      </c>
      <c r="D47" s="1" t="str">
        <f ca="1">IFERROR(__xludf.DUMMYFUNCTION("""COMPUTED_VALUE"""),"1161E2")</f>
        <v>1161E2</v>
      </c>
      <c r="E47" s="2">
        <f ca="1">IFERROR(__xludf.DUMMYFUNCTION("""COMPUTED_VALUE"""),44607)</f>
        <v>44607</v>
      </c>
      <c r="F47" s="1" t="str">
        <f ca="1">IFERROR(__xludf.DUMMYFUNCTION("""COMPUTED_VALUE"""),"Mat 1")</f>
        <v>Mat 1</v>
      </c>
      <c r="G47" s="1" t="str">
        <f ca="1">IFERROR(__xludf.DUMMYFUNCTION("""COMPUTED_VALUE"""),"PS")</f>
        <v>PS</v>
      </c>
      <c r="H47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47" s="1"/>
      <c r="J47" s="1"/>
      <c r="K47" s="1"/>
      <c r="L47" s="1"/>
      <c r="M47" s="1"/>
      <c r="N47" s="1" t="str">
        <f ca="1">IFERROR(__xludf.DUMMYFUNCTION("""COMPUTED_VALUE"""),"Fille")</f>
        <v>Fille</v>
      </c>
      <c r="O47" s="1"/>
      <c r="P47" s="1" t="str">
        <f ca="1">IFERROR(__xludf.DUMMYFUNCTION("""COMPUTED_VALUE"""),"FRANCE")</f>
        <v>FRANCE</v>
      </c>
      <c r="Q47" s="1"/>
      <c r="R47" s="1"/>
      <c r="S47" s="1" t="str">
        <f ca="1">IFERROR(__xludf.DUMMYFUNCTION("""COMPUTED_VALUE"""),"+221")</f>
        <v>+221</v>
      </c>
      <c r="T47" s="1" t="str">
        <f ca="1">IFERROR(__xludf.DUMMYFUNCTION("""COMPUTED_VALUE"""),"BÉNARD Vincent")</f>
        <v>BÉNARD Vincent</v>
      </c>
      <c r="U47" s="1" t="str">
        <f ca="1">IFERROR(__xludf.DUMMYFUNCTION("""COMPUTED_VALUE"""),"KAMARA Fatou")</f>
        <v>KAMARA Fatou</v>
      </c>
      <c r="V47" s="1" t="str">
        <f ca="1">IFERROR(__xludf.DUMMYFUNCTION("""COMPUTED_VALUE"""),"lesvillasblanches@hotmail.fr")</f>
        <v>lesvillasblanches@hotmail.fr</v>
      </c>
      <c r="W47" s="1" t="str">
        <f ca="1">IFERROR(__xludf.DUMMYFUNCTION("""COMPUTED_VALUE"""),"camarafatou429@gmail.com")</f>
        <v>camarafatou429@gmail.com</v>
      </c>
      <c r="X47" s="1" t="str">
        <f ca="1">IFERROR(__xludf.DUMMYFUNCTION("""COMPUTED_VALUE"""),"+221 78 166 02 28")</f>
        <v>+221 78 166 02 28</v>
      </c>
      <c r="Y47" s="1" t="str">
        <f ca="1">IFERROR(__xludf.DUMMYFUNCTION("""COMPUTED_VALUE"""),"+221 77 202 97 84")</f>
        <v>+221 77 202 97 84</v>
      </c>
      <c r="Z47" s="1" t="str">
        <f ca="1">IFERROR(__xludf.DUMMYFUNCTION("""COMPUTED_VALUE"""),"+221 78 166 02 28")</f>
        <v>+221 78 166 02 28</v>
      </c>
      <c r="AA47" s="1" t="str">
        <f ca="1">IFERROR(__xludf.DUMMYFUNCTION("""COMPUTED_VALUE"""),"+221")</f>
        <v>+221</v>
      </c>
      <c r="AB47" s="2">
        <f ca="1">IFERROR(__xludf.DUMMYFUNCTION("""COMPUTED_VALUE"""),27325)</f>
        <v>27325</v>
      </c>
      <c r="AC47" s="2">
        <f ca="1">IFERROR(__xludf.DUMMYFUNCTION("""COMPUTED_VALUE"""),35356)</f>
        <v>35356</v>
      </c>
      <c r="AD47" s="1" t="str">
        <f ca="1">IFERROR(__xludf.DUMMYFUNCTION("""COMPUTED_VALUE"""),"PERE")</f>
        <v>PERE</v>
      </c>
      <c r="AE47" s="1" t="str">
        <f ca="1">IFERROR(__xludf.DUMMYFUNCTION("""COMPUTED_VALUE"""),"MERE")</f>
        <v>MERE</v>
      </c>
      <c r="AF47" s="1" t="str">
        <f ca="1">IFERROR(__xludf.DUMMYFUNCTION("""COMPUTED_VALUE"""),"FRANCE")</f>
        <v>FRANCE</v>
      </c>
      <c r="AG47" s="1" t="str">
        <f ca="1">IFERROR(__xludf.DUMMYFUNCTION("""COMPUTED_VALUE"""),"SENEGAL")</f>
        <v>SENEGAL</v>
      </c>
      <c r="AH47" s="1"/>
      <c r="AI47" s="1"/>
      <c r="AJ47" s="1" t="str">
        <f ca="1">IFERROR(__xludf.DUMMYFUNCTION("""COMPUTED_VALUE"""),"F1161")</f>
        <v>F1161</v>
      </c>
      <c r="AK47" s="1" t="str">
        <f ca="1">IFERROR(__xludf.DUMMYFUNCTION("""COMPUTED_VALUE"""),"Séparé(e)")</f>
        <v>Séparé(e)</v>
      </c>
      <c r="AL47" s="1" t="str">
        <f ca="1">IFERROR(__xludf.DUMMYFUNCTION("""COMPUTED_VALUE"""),"Séparé(e)")</f>
        <v>Séparé(e)</v>
      </c>
      <c r="AM47" s="1" t="str">
        <f ca="1">IFERROR(__xludf.DUMMYFUNCTION("""COMPUTED_VALUE"""),"F1161")</f>
        <v>F1161</v>
      </c>
    </row>
    <row r="48" spans="1:39" ht="15.75" customHeight="1" x14ac:dyDescent="0.15">
      <c r="A48" s="1" t="str">
        <f ca="1">IFERROR(__xludf.DUMMYFUNCTION("""COMPUTED_VALUE"""),"BENGUIGUI Esther")</f>
        <v>BENGUIGUI Esther</v>
      </c>
      <c r="B48" s="1" t="str">
        <f ca="1">IFERROR(__xludf.DUMMYFUNCTION("""COMPUTED_VALUE"""),"BENGUIGUI")</f>
        <v>BENGUIGUI</v>
      </c>
      <c r="C48" s="1" t="str">
        <f ca="1">IFERROR(__xludf.DUMMYFUNCTION("""COMPUTED_VALUE"""),"Esther")</f>
        <v>Esther</v>
      </c>
      <c r="D48" s="1" t="str">
        <f ca="1">IFERROR(__xludf.DUMMYFUNCTION("""COMPUTED_VALUE"""),"1162E1")</f>
        <v>1162E1</v>
      </c>
      <c r="E48" s="2">
        <f ca="1">IFERROR(__xludf.DUMMYFUNCTION("""COMPUTED_VALUE"""),42047)</f>
        <v>42047</v>
      </c>
      <c r="F48" s="1" t="str">
        <f ca="1">IFERROR(__xludf.DUMMYFUNCTION("""COMPUTED_VALUE"""),"CM2B")</f>
        <v>CM2B</v>
      </c>
      <c r="G48" s="1" t="str">
        <f ca="1">IFERROR(__xludf.DUMMYFUNCTION("""COMPUTED_VALUE"""),"CM2")</f>
        <v>CM2</v>
      </c>
      <c r="H48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48" s="1"/>
      <c r="J48" s="1"/>
      <c r="K48" s="1"/>
      <c r="L48" s="1"/>
      <c r="M48" s="1"/>
      <c r="N48" s="1" t="str">
        <f ca="1">IFERROR(__xludf.DUMMYFUNCTION("""COMPUTED_VALUE"""),"Fille")</f>
        <v>Fille</v>
      </c>
      <c r="O48" s="1"/>
      <c r="P48" s="1" t="str">
        <f ca="1">IFERROR(__xludf.DUMMYFUNCTION("""COMPUTED_VALUE"""),"FRANCE")</f>
        <v>FRANCE</v>
      </c>
      <c r="Q48" s="1" t="str">
        <f ca="1">IFERROR(__xludf.DUMMYFUNCTION("""COMPUTED_VALUE"""),"SENEGAL")</f>
        <v>SENEGAL</v>
      </c>
      <c r="R48" s="1"/>
      <c r="S48" s="1" t="str">
        <f ca="1">IFERROR(__xludf.DUMMYFUNCTION("""COMPUTED_VALUE"""),"+221778072053/781927315")</f>
        <v>+221778072053/781927315</v>
      </c>
      <c r="T48" s="1" t="str">
        <f ca="1">IFERROR(__xludf.DUMMYFUNCTION("""COMPUTED_VALUE"""),"BENGUIGUI Jean-Jacques")</f>
        <v>BENGUIGUI Jean-Jacques</v>
      </c>
      <c r="U48" s="1" t="str">
        <f ca="1">IFERROR(__xludf.DUMMYFUNCTION("""COMPUTED_VALUE"""),"NDIAYE Eliane")</f>
        <v>NDIAYE Eliane</v>
      </c>
      <c r="V48" s="1" t="str">
        <f ca="1">IFERROR(__xludf.DUMMYFUNCTION("""COMPUTED_VALUE"""),"tenta.71@hotmail.fr")</f>
        <v>tenta.71@hotmail.fr</v>
      </c>
      <c r="W48" s="1" t="str">
        <f ca="1">IFERROR(__xludf.DUMMYFUNCTION("""COMPUTED_VALUE"""),"tndiaye124@gmail.com")</f>
        <v>tndiaye124@gmail.com</v>
      </c>
      <c r="X48" s="1" t="str">
        <f ca="1">IFERROR(__xludf.DUMMYFUNCTION("""COMPUTED_VALUE"""),"+221 78 192 73 15")</f>
        <v>+221 78 192 73 15</v>
      </c>
      <c r="Y48" s="1" t="str">
        <f ca="1">IFERROR(__xludf.DUMMYFUNCTION("""COMPUTED_VALUE"""),"+221 77 807 20 53")</f>
        <v>+221 77 807 20 53</v>
      </c>
      <c r="Z48" s="1" t="str">
        <f ca="1">IFERROR(__xludf.DUMMYFUNCTION("""COMPUTED_VALUE"""),"+221")</f>
        <v>+221</v>
      </c>
      <c r="AA48" s="1" t="str">
        <f ca="1">IFERROR(__xludf.DUMMYFUNCTION("""COMPUTED_VALUE"""),"+221")</f>
        <v>+221</v>
      </c>
      <c r="AB48" s="2">
        <f ca="1">IFERROR(__xludf.DUMMYFUNCTION("""COMPUTED_VALUE"""),20505)</f>
        <v>20505</v>
      </c>
      <c r="AC48" s="2">
        <f ca="1">IFERROR(__xludf.DUMMYFUNCTION("""COMPUTED_VALUE"""),33604)</f>
        <v>33604</v>
      </c>
      <c r="AD48" s="1" t="str">
        <f ca="1">IFERROR(__xludf.DUMMYFUNCTION("""COMPUTED_VALUE"""),"PERE")</f>
        <v>PERE</v>
      </c>
      <c r="AE48" s="1" t="str">
        <f ca="1">IFERROR(__xludf.DUMMYFUNCTION("""COMPUTED_VALUE"""),"MERE")</f>
        <v>MERE</v>
      </c>
      <c r="AF48" s="1" t="str">
        <f ca="1">IFERROR(__xludf.DUMMYFUNCTION("""COMPUTED_VALUE"""),"FRANCE")</f>
        <v>FRANCE</v>
      </c>
      <c r="AG48" s="1" t="str">
        <f ca="1">IFERROR(__xludf.DUMMYFUNCTION("""COMPUTED_VALUE"""),"SENEGAL")</f>
        <v>SENEGAL</v>
      </c>
      <c r="AH48" s="1"/>
      <c r="AI48" s="1"/>
      <c r="AJ48" s="1" t="str">
        <f ca="1">IFERROR(__xludf.DUMMYFUNCTION("""COMPUTED_VALUE"""),"F1162")</f>
        <v>F1162</v>
      </c>
      <c r="AK48" s="1" t="str">
        <f ca="1">IFERROR(__xludf.DUMMYFUNCTION("""COMPUTED_VALUE"""),"CONCUBINAGE")</f>
        <v>CONCUBINAGE</v>
      </c>
      <c r="AL48" s="1" t="str">
        <f ca="1">IFERROR(__xludf.DUMMYFUNCTION("""COMPUTED_VALUE"""),"CONCUBINAGE")</f>
        <v>CONCUBINAGE</v>
      </c>
      <c r="AM48" s="1" t="str">
        <f ca="1">IFERROR(__xludf.DUMMYFUNCTION("""COMPUTED_VALUE"""),"F1162")</f>
        <v>F1162</v>
      </c>
    </row>
    <row r="49" spans="1:39" ht="15.75" customHeight="1" x14ac:dyDescent="0.15">
      <c r="A49" s="1" t="str">
        <f ca="1">IFERROR(__xludf.DUMMYFUNCTION("""COMPUTED_VALUE"""),"BENSON Marilyse  Lucia  Fanta")</f>
        <v>BENSON Marilyse  Lucia  Fanta</v>
      </c>
      <c r="B49" s="1" t="str">
        <f ca="1">IFERROR(__xludf.DUMMYFUNCTION("""COMPUTED_VALUE"""),"BENSON")</f>
        <v>BENSON</v>
      </c>
      <c r="C49" s="1" t="str">
        <f ca="1">IFERROR(__xludf.DUMMYFUNCTION("""COMPUTED_VALUE"""),"Marilyse  Lucia  Fanta")</f>
        <v>Marilyse  Lucia  Fanta</v>
      </c>
      <c r="D49" s="1" t="str">
        <f ca="1">IFERROR(__xludf.DUMMYFUNCTION("""COMPUTED_VALUE"""),"1163E1")</f>
        <v>1163E1</v>
      </c>
      <c r="E49" s="2">
        <f ca="1">IFERROR(__xludf.DUMMYFUNCTION("""COMPUTED_VALUE"""),40219)</f>
        <v>40219</v>
      </c>
      <c r="F49" s="1" t="str">
        <f ca="1">IFERROR(__xludf.DUMMYFUNCTION("""COMPUTED_VALUE"""),"1ERE1")</f>
        <v>1ERE1</v>
      </c>
      <c r="G49" s="1" t="str">
        <f ca="1">IFERROR(__xludf.DUMMYFUNCTION("""COMPUTED_VALUE"""),"1ère")</f>
        <v>1ère</v>
      </c>
      <c r="H49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49" s="1" t="str">
        <f ca="1">IFERROR(__xludf.DUMMYFUNCTION("""COMPUTED_VALUE"""),"LVA Anglais")</f>
        <v>LVA Anglais</v>
      </c>
      <c r="J49" s="1" t="str">
        <f ca="1">IFERROR(__xludf.DUMMYFUNCTION("""COMPUTED_VALUE"""),"LVB Espagnol")</f>
        <v>LVB Espagnol</v>
      </c>
      <c r="K49" s="1"/>
      <c r="L49" s="1"/>
      <c r="M49" s="1" t="str">
        <f ca="1">IFERROR(__xludf.DUMMYFUNCTION("""COMPUTED_VALUE"""),"SPE MATHS, SPE SES, SPE SPC")</f>
        <v>SPE MATHS, SPE SES, SPE SPC</v>
      </c>
      <c r="N49" s="1" t="str">
        <f ca="1">IFERROR(__xludf.DUMMYFUNCTION("""COMPUTED_VALUE"""),"Fille")</f>
        <v>Fille</v>
      </c>
      <c r="O49" s="1"/>
      <c r="P49" s="1" t="str">
        <f ca="1">IFERROR(__xludf.DUMMYFUNCTION("""COMPUTED_VALUE"""),"FRANCE")</f>
        <v>FRANCE</v>
      </c>
      <c r="Q49" s="1" t="str">
        <f ca="1">IFERROR(__xludf.DUMMYFUNCTION("""COMPUTED_VALUE"""),"COTE D'IVOIRE")</f>
        <v>COTE D'IVOIRE</v>
      </c>
      <c r="R49" s="1" t="str">
        <f ca="1">IFERROR(__xludf.DUMMYFUNCTION("""COMPUTED_VALUE"""),"marilyse.benson@lfjpsaly.org")</f>
        <v>marilyse.benson@lfjpsaly.org</v>
      </c>
      <c r="S49" s="1" t="str">
        <f ca="1">IFERROR(__xludf.DUMMYFUNCTION("""COMPUTED_VALUE"""),"+221 77 090 59 87")</f>
        <v>+221 77 090 59 87</v>
      </c>
      <c r="T49" s="1" t="str">
        <f ca="1">IFERROR(__xludf.DUMMYFUNCTION("""COMPUTED_VALUE"""),"BENSON Odette Sira Eliane Juliette")</f>
        <v>BENSON Odette Sira Eliane Juliette</v>
      </c>
      <c r="U49" s="1" t="str">
        <f ca="1">IFERROR(__xludf.DUMMYFUNCTION("""COMPUTED_VALUE"""),"BENSON Valentin Omar")</f>
        <v>BENSON Valentin Omar</v>
      </c>
      <c r="V49" s="1" t="str">
        <f ca="1">IFERROR(__xludf.DUMMYFUNCTION("""COMPUTED_VALUE"""),"odette.benson@gmail.com")</f>
        <v>odette.benson@gmail.com</v>
      </c>
      <c r="W49" s="1" t="str">
        <f ca="1">IFERROR(__xludf.DUMMYFUNCTION("""COMPUTED_VALUE"""),"ovbenson@gmail.com")</f>
        <v>ovbenson@gmail.com</v>
      </c>
      <c r="X49" s="1" t="str">
        <f ca="1">IFERROR(__xludf.DUMMYFUNCTION("""COMPUTED_VALUE"""),"+221 77 494 16 48")</f>
        <v>+221 77 494 16 48</v>
      </c>
      <c r="Y49" s="1" t="str">
        <f ca="1">IFERROR(__xludf.DUMMYFUNCTION("""COMPUTED_VALUE"""),"+221 77 298 20 22")</f>
        <v>+221 77 298 20 22</v>
      </c>
      <c r="Z49" s="1" t="str">
        <f ca="1">IFERROR(__xludf.DUMMYFUNCTION("""COMPUTED_VALUE"""),"+221 77 494 16 48")</f>
        <v>+221 77 494 16 48</v>
      </c>
      <c r="AA49" s="1" t="str">
        <f ca="1">IFERROR(__xludf.DUMMYFUNCTION("""COMPUTED_VALUE"""),"+221 77 298 20 22")</f>
        <v>+221 77 298 20 22</v>
      </c>
      <c r="AB49" s="2">
        <f ca="1">IFERROR(__xludf.DUMMYFUNCTION("""COMPUTED_VALUE"""),24375)</f>
        <v>24375</v>
      </c>
      <c r="AC49" s="2">
        <f ca="1">IFERROR(__xludf.DUMMYFUNCTION("""COMPUTED_VALUE"""),25181)</f>
        <v>25181</v>
      </c>
      <c r="AD49" s="1" t="str">
        <f ca="1">IFERROR(__xludf.DUMMYFUNCTION("""COMPUTED_VALUE"""),"MERE")</f>
        <v>MERE</v>
      </c>
      <c r="AE49" s="1" t="str">
        <f ca="1">IFERROR(__xludf.DUMMYFUNCTION("""COMPUTED_VALUE"""),"PERE")</f>
        <v>PERE</v>
      </c>
      <c r="AF49" s="1" t="str">
        <f ca="1">IFERROR(__xludf.DUMMYFUNCTION("""COMPUTED_VALUE"""),"FRANCE")</f>
        <v>FRANCE</v>
      </c>
      <c r="AG49" s="1" t="str">
        <f ca="1">IFERROR(__xludf.DUMMYFUNCTION("""COMPUTED_VALUE"""),"FRANCE")</f>
        <v>FRANCE</v>
      </c>
      <c r="AH49" s="1" t="str">
        <f ca="1">IFERROR(__xludf.DUMMYFUNCTION("""COMPUTED_VALUE"""),"SENEGAL")</f>
        <v>SENEGAL</v>
      </c>
      <c r="AI49" s="1" t="str">
        <f ca="1">IFERROR(__xludf.DUMMYFUNCTION("""COMPUTED_VALUE"""),"COTE D'IVOIRE")</f>
        <v>COTE D'IVOIRE</v>
      </c>
      <c r="AJ49" s="1" t="str">
        <f ca="1">IFERROR(__xludf.DUMMYFUNCTION("""COMPUTED_VALUE"""),"F1163")</f>
        <v>F1163</v>
      </c>
      <c r="AK49" s="1" t="str">
        <f ca="1">IFERROR(__xludf.DUMMYFUNCTION("""COMPUTED_VALUE"""),"Marié(e)")</f>
        <v>Marié(e)</v>
      </c>
      <c r="AL49" s="1" t="str">
        <f ca="1">IFERROR(__xludf.DUMMYFUNCTION("""COMPUTED_VALUE"""),"Marié(e)")</f>
        <v>Marié(e)</v>
      </c>
      <c r="AM49" s="1" t="str">
        <f ca="1">IFERROR(__xludf.DUMMYFUNCTION("""COMPUTED_VALUE"""),"F1163")</f>
        <v>F1163</v>
      </c>
    </row>
    <row r="50" spans="1:39" ht="15.75" customHeight="1" x14ac:dyDescent="0.15">
      <c r="A50" s="1" t="str">
        <f ca="1">IFERROR(__xludf.DUMMYFUNCTION("""COMPUTED_VALUE"""),"BERGOT Mathieu Yohan")</f>
        <v>BERGOT Mathieu Yohan</v>
      </c>
      <c r="B50" s="1" t="str">
        <f ca="1">IFERROR(__xludf.DUMMYFUNCTION("""COMPUTED_VALUE"""),"BERGOT")</f>
        <v>BERGOT</v>
      </c>
      <c r="C50" s="1" t="str">
        <f ca="1">IFERROR(__xludf.DUMMYFUNCTION("""COMPUTED_VALUE"""),"Mathieu Yohan")</f>
        <v>Mathieu Yohan</v>
      </c>
      <c r="D50" s="1" t="str">
        <f ca="1">IFERROR(__xludf.DUMMYFUNCTION("""COMPUTED_VALUE"""),"1164E1")</f>
        <v>1164E1</v>
      </c>
      <c r="E50" s="2">
        <f ca="1">IFERROR(__xludf.DUMMYFUNCTION("""COMPUTED_VALUE"""),39951)</f>
        <v>39951</v>
      </c>
      <c r="F50" s="1" t="str">
        <f ca="1">IFERROR(__xludf.DUMMYFUNCTION("""COMPUTED_VALUE"""),"3EME2")</f>
        <v>3EME2</v>
      </c>
      <c r="G50" s="1" t="str">
        <f ca="1">IFERROR(__xludf.DUMMYFUNCTION("""COMPUTED_VALUE"""),"3ème")</f>
        <v>3ème</v>
      </c>
      <c r="H50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50" s="1" t="str">
        <f ca="1">IFERROR(__xludf.DUMMYFUNCTION("""COMPUTED_VALUE"""),"LVA Anglais")</f>
        <v>LVA Anglais</v>
      </c>
      <c r="J50" s="1" t="str">
        <f ca="1">IFERROR(__xludf.DUMMYFUNCTION("""COMPUTED_VALUE"""),"LVB Espagnol")</f>
        <v>LVB Espagnol</v>
      </c>
      <c r="K50" s="1"/>
      <c r="L50" s="1"/>
      <c r="M50" s="1"/>
      <c r="N50" s="1" t="str">
        <f ca="1">IFERROR(__xludf.DUMMYFUNCTION("""COMPUTED_VALUE"""),"Garçon")</f>
        <v>Garçon</v>
      </c>
      <c r="O50" s="1"/>
      <c r="P50" s="1" t="str">
        <f ca="1">IFERROR(__xludf.DUMMYFUNCTION("""COMPUTED_VALUE"""),"FRANCE")</f>
        <v>FRANCE</v>
      </c>
      <c r="Q50" s="1"/>
      <c r="R50" s="1" t="str">
        <f ca="1">IFERROR(__xludf.DUMMYFUNCTION("""COMPUTED_VALUE"""),"mathieu.bergot@lfjpsaly.org")</f>
        <v>mathieu.bergot@lfjpsaly.org</v>
      </c>
      <c r="S50" s="1"/>
      <c r="T50" s="1" t="str">
        <f ca="1">IFERROR(__xludf.DUMMYFUNCTION("""COMPUTED_VALUE"""),"BERGOT Mairama")</f>
        <v>BERGOT Mairama</v>
      </c>
      <c r="U50" s="1"/>
      <c r="V50" s="1" t="str">
        <f ca="1">IFERROR(__xludf.DUMMYFUNCTION("""COMPUTED_VALUE"""),"mndjock@gmail.com")</f>
        <v>mndjock@gmail.com</v>
      </c>
      <c r="W50" s="1"/>
      <c r="X50" s="1" t="str">
        <f ca="1">IFERROR(__xludf.DUMMYFUNCTION("""COMPUTED_VALUE"""),"+221 77 262 38 59")</f>
        <v>+221 77 262 38 59</v>
      </c>
      <c r="Y50" s="1"/>
      <c r="Z50" s="1" t="str">
        <f ca="1">IFERROR(__xludf.DUMMYFUNCTION("""COMPUTED_VALUE"""),"+221")</f>
        <v>+221</v>
      </c>
      <c r="AA50" s="1"/>
      <c r="AB50" s="2">
        <f ca="1">IFERROR(__xludf.DUMMYFUNCTION("""COMPUTED_VALUE"""),30633)</f>
        <v>30633</v>
      </c>
      <c r="AC50" s="1"/>
      <c r="AD50" s="1" t="str">
        <f ca="1">IFERROR(__xludf.DUMMYFUNCTION("""COMPUTED_VALUE"""),"MERE")</f>
        <v>MERE</v>
      </c>
      <c r="AE50" s="1"/>
      <c r="AF50" s="1" t="str">
        <f ca="1">IFERROR(__xludf.DUMMYFUNCTION("""COMPUTED_VALUE"""),"CAMEROUN")</f>
        <v>CAMEROUN</v>
      </c>
      <c r="AG50" s="1"/>
      <c r="AH50" s="1"/>
      <c r="AI50" s="1"/>
      <c r="AJ50" s="1" t="str">
        <f ca="1">IFERROR(__xludf.DUMMYFUNCTION("""COMPUTED_VALUE"""),"F1164")</f>
        <v>F1164</v>
      </c>
      <c r="AK50" s="1" t="str">
        <f ca="1">IFERROR(__xludf.DUMMYFUNCTION("""COMPUTED_VALUE"""),"Célibataire")</f>
        <v>Célibataire</v>
      </c>
      <c r="AL50" s="1"/>
      <c r="AM50" s="1" t="str">
        <f ca="1">IFERROR(__xludf.DUMMYFUNCTION("""COMPUTED_VALUE"""),"F1164")</f>
        <v>F1164</v>
      </c>
    </row>
    <row r="51" spans="1:39" ht="15.75" customHeight="1" x14ac:dyDescent="0.15">
      <c r="A51" s="1" t="str">
        <f ca="1">IFERROR(__xludf.DUMMYFUNCTION("""COMPUTED_VALUE"""),"BERNARDES DINIZ Helena")</f>
        <v>BERNARDES DINIZ Helena</v>
      </c>
      <c r="B51" s="1" t="str">
        <f ca="1">IFERROR(__xludf.DUMMYFUNCTION("""COMPUTED_VALUE"""),"BERNARDES DINIZ")</f>
        <v>BERNARDES DINIZ</v>
      </c>
      <c r="C51" s="1" t="str">
        <f ca="1">IFERROR(__xludf.DUMMYFUNCTION("""COMPUTED_VALUE"""),"Helena")</f>
        <v>Helena</v>
      </c>
      <c r="D51" s="1" t="str">
        <f ca="1">IFERROR(__xludf.DUMMYFUNCTION("""COMPUTED_VALUE"""),"1636E2")</f>
        <v>1636E2</v>
      </c>
      <c r="E51" s="2">
        <f ca="1">IFERROR(__xludf.DUMMYFUNCTION("""COMPUTED_VALUE"""),41626)</f>
        <v>41626</v>
      </c>
      <c r="F51" s="1" t="str">
        <f ca="1">IFERROR(__xludf.DUMMYFUNCTION("""COMPUTED_VALUE"""),"6EME2")</f>
        <v>6EME2</v>
      </c>
      <c r="G51" s="1" t="str">
        <f ca="1">IFERROR(__xludf.DUMMYFUNCTION("""COMPUTED_VALUE"""),"6ème")</f>
        <v>6ème</v>
      </c>
      <c r="H51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51" s="1" t="str">
        <f ca="1">IFERROR(__xludf.DUMMYFUNCTION("""COMPUTED_VALUE"""),"LVA Anglais")</f>
        <v>LVA Anglais</v>
      </c>
      <c r="J51" s="1" t="str">
        <f ca="1">IFERROR(__xludf.DUMMYFUNCTION("""COMPUTED_VALUE"""),"LVB Espagnol")</f>
        <v>LVB Espagnol</v>
      </c>
      <c r="K51" s="1"/>
      <c r="L51" s="1"/>
      <c r="M51" s="1"/>
      <c r="N51" s="1" t="str">
        <f ca="1">IFERROR(__xludf.DUMMYFUNCTION("""COMPUTED_VALUE"""),"Fille")</f>
        <v>Fille</v>
      </c>
      <c r="O51" s="1"/>
      <c r="P51" s="1" t="str">
        <f ca="1">IFERROR(__xludf.DUMMYFUNCTION("""COMPUTED_VALUE"""),"BRESIL")</f>
        <v>BRESIL</v>
      </c>
      <c r="Q51" s="1"/>
      <c r="R51" s="1" t="str">
        <f ca="1">IFERROR(__xludf.DUMMYFUNCTION("""COMPUTED_VALUE"""),"helena.bernardes@lfjpsaly.org")</f>
        <v>helena.bernardes@lfjpsaly.org</v>
      </c>
      <c r="S51" s="1"/>
      <c r="T51" s="1" t="str">
        <f ca="1">IFERROR(__xludf.DUMMYFUNCTION("""COMPUTED_VALUE"""),"DINIZ Janina")</f>
        <v>DINIZ Janina</v>
      </c>
      <c r="U51" s="1" t="str">
        <f ca="1">IFERROR(__xludf.DUMMYFUNCTION("""COMPUTED_VALUE"""),"DINIZ Daniel")</f>
        <v>DINIZ Daniel</v>
      </c>
      <c r="V51" s="1" t="str">
        <f ca="1">IFERROR(__xludf.DUMMYFUNCTION("""COMPUTED_VALUE"""),"backupjanina@gmail.com")</f>
        <v>backupjanina@gmail.com</v>
      </c>
      <c r="W51" s="1" t="str">
        <f ca="1">IFERROR(__xludf.DUMMYFUNCTION("""COMPUTED_VALUE"""),"danieldiniz83@yahoo.com")</f>
        <v>danieldiniz83@yahoo.com</v>
      </c>
      <c r="X51" s="1" t="str">
        <f ca="1">IFERROR(__xludf.DUMMYFUNCTION("""COMPUTED_VALUE"""),"+221 76 384 14 08")</f>
        <v>+221 76 384 14 08</v>
      </c>
      <c r="Y51" s="1" t="str">
        <f ca="1">IFERROR(__xludf.DUMMYFUNCTION("""COMPUTED_VALUE"""),"+216 56 639 747")</f>
        <v>+216 56 639 747</v>
      </c>
      <c r="Z51" s="1" t="str">
        <f ca="1">IFERROR(__xludf.DUMMYFUNCTION("""COMPUTED_VALUE"""),"+216")</f>
        <v>+216</v>
      </c>
      <c r="AA51" s="1" t="str">
        <f ca="1">IFERROR(__xludf.DUMMYFUNCTION("""COMPUTED_VALUE"""),"+216 56 639 771")</f>
        <v>+216 56 639 771</v>
      </c>
      <c r="AB51" s="2">
        <f ca="1">IFERROR(__xludf.DUMMYFUNCTION("""COMPUTED_VALUE"""),31638)</f>
        <v>31638</v>
      </c>
      <c r="AC51" s="2">
        <f ca="1">IFERROR(__xludf.DUMMYFUNCTION("""COMPUTED_VALUE"""),30674)</f>
        <v>30674</v>
      </c>
      <c r="AD51" s="1" t="str">
        <f ca="1">IFERROR(__xludf.DUMMYFUNCTION("""COMPUTED_VALUE"""),"MERE")</f>
        <v>MERE</v>
      </c>
      <c r="AE51" s="1" t="str">
        <f ca="1">IFERROR(__xludf.DUMMYFUNCTION("""COMPUTED_VALUE"""),"PERE")</f>
        <v>PERE</v>
      </c>
      <c r="AF51" s="1" t="str">
        <f ca="1">IFERROR(__xludf.DUMMYFUNCTION("""COMPUTED_VALUE"""),"BRESIL")</f>
        <v>BRESIL</v>
      </c>
      <c r="AG51" s="1" t="str">
        <f ca="1">IFERROR(__xludf.DUMMYFUNCTION("""COMPUTED_VALUE"""),"BRESIL")</f>
        <v>BRESIL</v>
      </c>
      <c r="AH51" s="1"/>
      <c r="AI51" s="1"/>
      <c r="AJ51" s="1" t="str">
        <f ca="1">IFERROR(__xludf.DUMMYFUNCTION("""COMPUTED_VALUE"""),"F1636")</f>
        <v>F1636</v>
      </c>
      <c r="AK51" s="1" t="str">
        <f ca="1">IFERROR(__xludf.DUMMYFUNCTION("""COMPUTED_VALUE"""),"Marié(e)")</f>
        <v>Marié(e)</v>
      </c>
      <c r="AL51" s="1" t="str">
        <f ca="1">IFERROR(__xludf.DUMMYFUNCTION("""COMPUTED_VALUE"""),"Marié(e)")</f>
        <v>Marié(e)</v>
      </c>
      <c r="AM51" s="1" t="str">
        <f ca="1">IFERROR(__xludf.DUMMYFUNCTION("""COMPUTED_VALUE"""),"F1636")</f>
        <v>F1636</v>
      </c>
    </row>
    <row r="52" spans="1:39" ht="15.75" customHeight="1" x14ac:dyDescent="0.15">
      <c r="A52" s="1" t="str">
        <f ca="1">IFERROR(__xludf.DUMMYFUNCTION("""COMPUTED_VALUE"""),"BERNARDES DINIZ Noemi")</f>
        <v>BERNARDES DINIZ Noemi</v>
      </c>
      <c r="B52" s="1" t="str">
        <f ca="1">IFERROR(__xludf.DUMMYFUNCTION("""COMPUTED_VALUE"""),"BERNARDES DINIZ")</f>
        <v>BERNARDES DINIZ</v>
      </c>
      <c r="C52" s="1" t="str">
        <f ca="1">IFERROR(__xludf.DUMMYFUNCTION("""COMPUTED_VALUE"""),"Noemi")</f>
        <v>Noemi</v>
      </c>
      <c r="D52" s="1" t="str">
        <f ca="1">IFERROR(__xludf.DUMMYFUNCTION("""COMPUTED_VALUE"""),"1636E3")</f>
        <v>1636E3</v>
      </c>
      <c r="E52" s="2">
        <f ca="1">IFERROR(__xludf.DUMMYFUNCTION("""COMPUTED_VALUE"""),44399)</f>
        <v>44399</v>
      </c>
      <c r="F52" s="1" t="str">
        <f ca="1">IFERROR(__xludf.DUMMYFUNCTION("""COMPUTED_VALUE"""),"Mat 2")</f>
        <v>Mat 2</v>
      </c>
      <c r="G52" s="1" t="str">
        <f ca="1">IFERROR(__xludf.DUMMYFUNCTION("""COMPUTED_VALUE"""),"MS")</f>
        <v>MS</v>
      </c>
      <c r="H52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52" s="1"/>
      <c r="J52" s="1"/>
      <c r="K52" s="1"/>
      <c r="L52" s="1"/>
      <c r="M52" s="1"/>
      <c r="N52" s="1" t="str">
        <f ca="1">IFERROR(__xludf.DUMMYFUNCTION("""COMPUTED_VALUE"""),"Fille")</f>
        <v>Fille</v>
      </c>
      <c r="O52" s="1"/>
      <c r="P52" s="1" t="str">
        <f ca="1">IFERROR(__xludf.DUMMYFUNCTION("""COMPUTED_VALUE"""),"BRESIL")</f>
        <v>BRESIL</v>
      </c>
      <c r="Q52" s="1"/>
      <c r="R52" s="1"/>
      <c r="S52" s="1"/>
      <c r="T52" s="1" t="str">
        <f ca="1">IFERROR(__xludf.DUMMYFUNCTION("""COMPUTED_VALUE"""),"DINIZ Janina")</f>
        <v>DINIZ Janina</v>
      </c>
      <c r="U52" s="1" t="str">
        <f ca="1">IFERROR(__xludf.DUMMYFUNCTION("""COMPUTED_VALUE"""),"DINIZ Daniel")</f>
        <v>DINIZ Daniel</v>
      </c>
      <c r="V52" s="1" t="str">
        <f ca="1">IFERROR(__xludf.DUMMYFUNCTION("""COMPUTED_VALUE"""),"backupjanina@gmail.com")</f>
        <v>backupjanina@gmail.com</v>
      </c>
      <c r="W52" s="1" t="str">
        <f ca="1">IFERROR(__xludf.DUMMYFUNCTION("""COMPUTED_VALUE"""),"danieldiniz83@yahoo.com")</f>
        <v>danieldiniz83@yahoo.com</v>
      </c>
      <c r="X52" s="1" t="str">
        <f ca="1">IFERROR(__xludf.DUMMYFUNCTION("""COMPUTED_VALUE"""),"+221 76 384 14 08")</f>
        <v>+221 76 384 14 08</v>
      </c>
      <c r="Y52" s="1" t="str">
        <f ca="1">IFERROR(__xludf.DUMMYFUNCTION("""COMPUTED_VALUE"""),"+216 56 639 747")</f>
        <v>+216 56 639 747</v>
      </c>
      <c r="Z52" s="1" t="str">
        <f ca="1">IFERROR(__xludf.DUMMYFUNCTION("""COMPUTED_VALUE"""),"+216")</f>
        <v>+216</v>
      </c>
      <c r="AA52" s="1" t="str">
        <f ca="1">IFERROR(__xludf.DUMMYFUNCTION("""COMPUTED_VALUE"""),"+216 56 639 771")</f>
        <v>+216 56 639 771</v>
      </c>
      <c r="AB52" s="2">
        <f ca="1">IFERROR(__xludf.DUMMYFUNCTION("""COMPUTED_VALUE"""),31638)</f>
        <v>31638</v>
      </c>
      <c r="AC52" s="2">
        <f ca="1">IFERROR(__xludf.DUMMYFUNCTION("""COMPUTED_VALUE"""),30674)</f>
        <v>30674</v>
      </c>
      <c r="AD52" s="1" t="str">
        <f ca="1">IFERROR(__xludf.DUMMYFUNCTION("""COMPUTED_VALUE"""),"MERE")</f>
        <v>MERE</v>
      </c>
      <c r="AE52" s="1" t="str">
        <f ca="1">IFERROR(__xludf.DUMMYFUNCTION("""COMPUTED_VALUE"""),"PERE")</f>
        <v>PERE</v>
      </c>
      <c r="AF52" s="1" t="str">
        <f ca="1">IFERROR(__xludf.DUMMYFUNCTION("""COMPUTED_VALUE"""),"BRESIL")</f>
        <v>BRESIL</v>
      </c>
      <c r="AG52" s="1" t="str">
        <f ca="1">IFERROR(__xludf.DUMMYFUNCTION("""COMPUTED_VALUE"""),"BRESIL")</f>
        <v>BRESIL</v>
      </c>
      <c r="AH52" s="1"/>
      <c r="AI52" s="1"/>
      <c r="AJ52" s="1" t="str">
        <f ca="1">IFERROR(__xludf.DUMMYFUNCTION("""COMPUTED_VALUE"""),"F1636")</f>
        <v>F1636</v>
      </c>
      <c r="AK52" s="1" t="str">
        <f ca="1">IFERROR(__xludf.DUMMYFUNCTION("""COMPUTED_VALUE"""),"Marié(e)")</f>
        <v>Marié(e)</v>
      </c>
      <c r="AL52" s="1" t="str">
        <f ca="1">IFERROR(__xludf.DUMMYFUNCTION("""COMPUTED_VALUE"""),"Marié(e)")</f>
        <v>Marié(e)</v>
      </c>
      <c r="AM52" s="1" t="str">
        <f ca="1">IFERROR(__xludf.DUMMYFUNCTION("""COMPUTED_VALUE"""),"F1636")</f>
        <v>F1636</v>
      </c>
    </row>
    <row r="53" spans="1:39" ht="15.75" customHeight="1" x14ac:dyDescent="0.15">
      <c r="A53" s="1" t="str">
        <f ca="1">IFERROR(__xludf.DUMMYFUNCTION("""COMPUTED_VALUE"""),"BERNIER Fatou Iréne")</f>
        <v>BERNIER Fatou Iréne</v>
      </c>
      <c r="B53" s="1" t="str">
        <f ca="1">IFERROR(__xludf.DUMMYFUNCTION("""COMPUTED_VALUE"""),"BERNIER")</f>
        <v>BERNIER</v>
      </c>
      <c r="C53" s="1" t="str">
        <f ca="1">IFERROR(__xludf.DUMMYFUNCTION("""COMPUTED_VALUE"""),"Fatou Iréne")</f>
        <v>Fatou Iréne</v>
      </c>
      <c r="D53" s="1" t="str">
        <f ca="1">IFERROR(__xludf.DUMMYFUNCTION("""COMPUTED_VALUE"""),"1165E1")</f>
        <v>1165E1</v>
      </c>
      <c r="E53" s="2">
        <f ca="1">IFERROR(__xludf.DUMMYFUNCTION("""COMPUTED_VALUE"""),42893)</f>
        <v>42893</v>
      </c>
      <c r="F53" s="1" t="str">
        <f ca="1">IFERROR(__xludf.DUMMYFUNCTION("""COMPUTED_VALUE"""),"CE1A")</f>
        <v>CE1A</v>
      </c>
      <c r="G53" s="1" t="str">
        <f ca="1">IFERROR(__xludf.DUMMYFUNCTION("""COMPUTED_VALUE"""),"CE1")</f>
        <v>CE1</v>
      </c>
      <c r="H53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53" s="1"/>
      <c r="J53" s="1"/>
      <c r="K53" s="1"/>
      <c r="L53" s="1"/>
      <c r="M53" s="1"/>
      <c r="N53" s="1" t="str">
        <f ca="1">IFERROR(__xludf.DUMMYFUNCTION("""COMPUTED_VALUE"""),"Fille")</f>
        <v>Fille</v>
      </c>
      <c r="O53" s="1"/>
      <c r="P53" s="1" t="str">
        <f ca="1">IFERROR(__xludf.DUMMYFUNCTION("""COMPUTED_VALUE"""),"FRANCE")</f>
        <v>FRANCE</v>
      </c>
      <c r="Q53" s="1"/>
      <c r="R53" s="1"/>
      <c r="S53" s="1"/>
      <c r="T53" s="1" t="str">
        <f ca="1">IFERROR(__xludf.DUMMYFUNCTION("""COMPUTED_VALUE"""),"FALL Ndeye Coumba")</f>
        <v>FALL Ndeye Coumba</v>
      </c>
      <c r="U53" s="1"/>
      <c r="V53" s="1" t="str">
        <f ca="1">IFERROR(__xludf.DUMMYFUNCTION("""COMPUTED_VALUE"""),"ndeyecoumbafall767@gmail.com")</f>
        <v>ndeyecoumbafall767@gmail.com</v>
      </c>
      <c r="W53" s="1"/>
      <c r="X53" s="1" t="str">
        <f ca="1">IFERROR(__xludf.DUMMYFUNCTION("""COMPUTED_VALUE"""),"+221 77 996 74 29")</f>
        <v>+221 77 996 74 29</v>
      </c>
      <c r="Y53" s="1"/>
      <c r="Z53" s="1" t="str">
        <f ca="1">IFERROR(__xludf.DUMMYFUNCTION("""COMPUTED_VALUE"""),"+221")</f>
        <v>+221</v>
      </c>
      <c r="AA53" s="1"/>
      <c r="AB53" s="2">
        <f ca="1">IFERROR(__xludf.DUMMYFUNCTION("""COMPUTED_VALUE"""),28413)</f>
        <v>28413</v>
      </c>
      <c r="AC53" s="1"/>
      <c r="AD53" s="1" t="str">
        <f ca="1">IFERROR(__xludf.DUMMYFUNCTION("""COMPUTED_VALUE"""),"MERE")</f>
        <v>MERE</v>
      </c>
      <c r="AE53" s="1"/>
      <c r="AF53" s="1" t="str">
        <f ca="1">IFERROR(__xludf.DUMMYFUNCTION("""COMPUTED_VALUE"""),"SENEGAL")</f>
        <v>SENEGAL</v>
      </c>
      <c r="AG53" s="1"/>
      <c r="AH53" s="1"/>
      <c r="AI53" s="1"/>
      <c r="AJ53" s="1" t="str">
        <f ca="1">IFERROR(__xludf.DUMMYFUNCTION("""COMPUTED_VALUE"""),"F1165")</f>
        <v>F1165</v>
      </c>
      <c r="AK53" s="1" t="str">
        <f ca="1">IFERROR(__xludf.DUMMYFUNCTION("""COMPUTED_VALUE"""),"Célibataire")</f>
        <v>Célibataire</v>
      </c>
      <c r="AL53" s="1"/>
      <c r="AM53" s="1" t="str">
        <f ca="1">IFERROR(__xludf.DUMMYFUNCTION("""COMPUTED_VALUE"""),"F1165")</f>
        <v>F1165</v>
      </c>
    </row>
    <row r="54" spans="1:39" ht="15.75" customHeight="1" x14ac:dyDescent="0.15">
      <c r="A54" s="1" t="str">
        <f ca="1">IFERROR(__xludf.DUMMYFUNCTION("""COMPUTED_VALUE"""),"BERTIER Henri-Philippe")</f>
        <v>BERTIER Henri-Philippe</v>
      </c>
      <c r="B54" s="1" t="str">
        <f ca="1">IFERROR(__xludf.DUMMYFUNCTION("""COMPUTED_VALUE"""),"BERTIER")</f>
        <v>BERTIER</v>
      </c>
      <c r="C54" s="1" t="str">
        <f ca="1">IFERROR(__xludf.DUMMYFUNCTION("""COMPUTED_VALUE"""),"Henri-Philippe")</f>
        <v>Henri-Philippe</v>
      </c>
      <c r="D54" s="1" t="str">
        <f ca="1">IFERROR(__xludf.DUMMYFUNCTION("""COMPUTED_VALUE"""),"1167E1")</f>
        <v>1167E1</v>
      </c>
      <c r="E54" s="2">
        <f ca="1">IFERROR(__xludf.DUMMYFUNCTION("""COMPUTED_VALUE"""),43326)</f>
        <v>43326</v>
      </c>
      <c r="F54" s="1" t="str">
        <f ca="1">IFERROR(__xludf.DUMMYFUNCTION("""COMPUTED_VALUE"""),"CE1B")</f>
        <v>CE1B</v>
      </c>
      <c r="G54" s="1" t="str">
        <f ca="1">IFERROR(__xludf.DUMMYFUNCTION("""COMPUTED_VALUE"""),"CE1")</f>
        <v>CE1</v>
      </c>
      <c r="H54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54" s="1"/>
      <c r="J54" s="1"/>
      <c r="K54" s="1"/>
      <c r="L54" s="1"/>
      <c r="M54" s="1"/>
      <c r="N54" s="1" t="str">
        <f ca="1">IFERROR(__xludf.DUMMYFUNCTION("""COMPUTED_VALUE"""),"Garçon")</f>
        <v>Garçon</v>
      </c>
      <c r="O54" s="1"/>
      <c r="P54" s="1" t="str">
        <f ca="1">IFERROR(__xludf.DUMMYFUNCTION("""COMPUTED_VALUE"""),"FRANCE")</f>
        <v>FRANCE</v>
      </c>
      <c r="Q54" s="1"/>
      <c r="R54" s="1"/>
      <c r="S54" s="1"/>
      <c r="T54" s="1" t="str">
        <f ca="1">IFERROR(__xludf.DUMMYFUNCTION("""COMPUTED_VALUE"""),"NOKIZE Nadege Kevine")</f>
        <v>NOKIZE Nadege Kevine</v>
      </c>
      <c r="U54" s="1"/>
      <c r="V54" s="1" t="str">
        <f ca="1">IFERROR(__xludf.DUMMYFUNCTION("""COMPUTED_VALUE"""),"nokizekevine2@gmail.com")</f>
        <v>nokizekevine2@gmail.com</v>
      </c>
      <c r="W54" s="1"/>
      <c r="X54" s="1" t="str">
        <f ca="1">IFERROR(__xludf.DUMMYFUNCTION("""COMPUTED_VALUE"""),"+221 77 178 25 86")</f>
        <v>+221 77 178 25 86</v>
      </c>
      <c r="Y54" s="1"/>
      <c r="Z54" s="1" t="str">
        <f ca="1">IFERROR(__xludf.DUMMYFUNCTION("""COMPUTED_VALUE"""),"+221 77 178 25 86")</f>
        <v>+221 77 178 25 86</v>
      </c>
      <c r="AA54" s="1"/>
      <c r="AB54" s="2">
        <f ca="1">IFERROR(__xludf.DUMMYFUNCTION("""COMPUTED_VALUE"""),33533)</f>
        <v>33533</v>
      </c>
      <c r="AC54" s="1"/>
      <c r="AD54" s="1" t="str">
        <f ca="1">IFERROR(__xludf.DUMMYFUNCTION("""COMPUTED_VALUE"""),"MERE")</f>
        <v>MERE</v>
      </c>
      <c r="AE54" s="1"/>
      <c r="AF54" s="1" t="str">
        <f ca="1">IFERROR(__xludf.DUMMYFUNCTION("""COMPUTED_VALUE"""),"CAMEROUN")</f>
        <v>CAMEROUN</v>
      </c>
      <c r="AG54" s="1"/>
      <c r="AH54" s="1"/>
      <c r="AI54" s="1"/>
      <c r="AJ54" s="1" t="str">
        <f ca="1">IFERROR(__xludf.DUMMYFUNCTION("""COMPUTED_VALUE"""),"F1167")</f>
        <v>F1167</v>
      </c>
      <c r="AK54" s="1" t="str">
        <f ca="1">IFERROR(__xludf.DUMMYFUNCTION("""COMPUTED_VALUE"""),"Célibataire")</f>
        <v>Célibataire</v>
      </c>
      <c r="AL54" s="1"/>
      <c r="AM54" s="1" t="str">
        <f ca="1">IFERROR(__xludf.DUMMYFUNCTION("""COMPUTED_VALUE"""),"F1167")</f>
        <v>F1167</v>
      </c>
    </row>
    <row r="55" spans="1:39" ht="15.75" customHeight="1" x14ac:dyDescent="0.15">
      <c r="A55" s="1" t="str">
        <f ca="1">IFERROR(__xludf.DUMMYFUNCTION("""COMPUTED_VALUE"""),"BEYE Fatoumata Zahra")</f>
        <v>BEYE Fatoumata Zahra</v>
      </c>
      <c r="B55" s="1" t="str">
        <f ca="1">IFERROR(__xludf.DUMMYFUNCTION("""COMPUTED_VALUE"""),"BEYE")</f>
        <v>BEYE</v>
      </c>
      <c r="C55" s="1" t="str">
        <f ca="1">IFERROR(__xludf.DUMMYFUNCTION("""COMPUTED_VALUE"""),"Fatoumata Zahra")</f>
        <v>Fatoumata Zahra</v>
      </c>
      <c r="D55" s="1" t="str">
        <f ca="1">IFERROR(__xludf.DUMMYFUNCTION("""COMPUTED_VALUE"""),"1168E1")</f>
        <v>1168E1</v>
      </c>
      <c r="E55" s="2">
        <f ca="1">IFERROR(__xludf.DUMMYFUNCTION("""COMPUTED_VALUE"""),42099)</f>
        <v>42099</v>
      </c>
      <c r="F55" s="1" t="str">
        <f ca="1">IFERROR(__xludf.DUMMYFUNCTION("""COMPUTED_VALUE"""),"CM2A")</f>
        <v>CM2A</v>
      </c>
      <c r="G55" s="1" t="str">
        <f ca="1">IFERROR(__xludf.DUMMYFUNCTION("""COMPUTED_VALUE"""),"CM2")</f>
        <v>CM2</v>
      </c>
      <c r="H55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55" s="1"/>
      <c r="J55" s="1"/>
      <c r="K55" s="1"/>
      <c r="L55" s="1"/>
      <c r="M55" s="1"/>
      <c r="N55" s="1" t="str">
        <f ca="1">IFERROR(__xludf.DUMMYFUNCTION("""COMPUTED_VALUE"""),"Fille")</f>
        <v>Fille</v>
      </c>
      <c r="O55" s="1"/>
      <c r="P55" s="1" t="str">
        <f ca="1">IFERROR(__xludf.DUMMYFUNCTION("""COMPUTED_VALUE"""),"SENEGAL")</f>
        <v>SENEGAL</v>
      </c>
      <c r="Q55" s="1"/>
      <c r="R55" s="1"/>
      <c r="S55" s="1"/>
      <c r="T55" s="1" t="str">
        <f ca="1">IFERROR(__xludf.DUMMYFUNCTION("""COMPUTED_VALUE"""),"BEYE Mamadou")</f>
        <v>BEYE Mamadou</v>
      </c>
      <c r="U55" s="1" t="str">
        <f ca="1">IFERROR(__xludf.DUMMYFUNCTION("""COMPUTED_VALUE"""),"SENE Awa")</f>
        <v>SENE Awa</v>
      </c>
      <c r="V55" s="1" t="str">
        <f ca="1">IFERROR(__xludf.DUMMYFUNCTION("""COMPUTED_VALUE"""),"mamdoubeye@yahoo.fr")</f>
        <v>mamdoubeye@yahoo.fr</v>
      </c>
      <c r="W55" s="1" t="str">
        <f ca="1">IFERROR(__xludf.DUMMYFUNCTION("""COMPUTED_VALUE"""),"awasene81@yahoo.fr")</f>
        <v>awasene81@yahoo.fr</v>
      </c>
      <c r="X55" s="1" t="str">
        <f ca="1">IFERROR(__xludf.DUMMYFUNCTION("""COMPUTED_VALUE"""),"+221 77 406 55 30")</f>
        <v>+221 77 406 55 30</v>
      </c>
      <c r="Y55" s="1" t="str">
        <f ca="1">IFERROR(__xludf.DUMMYFUNCTION("""COMPUTED_VALUE"""),"+221 77 449 73 30")</f>
        <v>+221 77 449 73 30</v>
      </c>
      <c r="Z55" s="1" t="str">
        <f ca="1">IFERROR(__xludf.DUMMYFUNCTION("""COMPUTED_VALUE"""),"+221")</f>
        <v>+221</v>
      </c>
      <c r="AA55" s="1" t="str">
        <f ca="1">IFERROR(__xludf.DUMMYFUNCTION("""COMPUTED_VALUE"""),"+221")</f>
        <v>+221</v>
      </c>
      <c r="AB55" s="2">
        <f ca="1">IFERROR(__xludf.DUMMYFUNCTION("""COMPUTED_VALUE"""),28725)</f>
        <v>28725</v>
      </c>
      <c r="AC55" s="2">
        <f ca="1">IFERROR(__xludf.DUMMYFUNCTION("""COMPUTED_VALUE"""),29720)</f>
        <v>29720</v>
      </c>
      <c r="AD55" s="1" t="str">
        <f ca="1">IFERROR(__xludf.DUMMYFUNCTION("""COMPUTED_VALUE"""),"PERE")</f>
        <v>PERE</v>
      </c>
      <c r="AE55" s="1" t="str">
        <f ca="1">IFERROR(__xludf.DUMMYFUNCTION("""COMPUTED_VALUE"""),"MERE")</f>
        <v>MERE</v>
      </c>
      <c r="AF55" s="1" t="str">
        <f ca="1">IFERROR(__xludf.DUMMYFUNCTION("""COMPUTED_VALUE"""),"SENEGAL")</f>
        <v>SENEGAL</v>
      </c>
      <c r="AG55" s="1" t="str">
        <f ca="1">IFERROR(__xludf.DUMMYFUNCTION("""COMPUTED_VALUE"""),"SENEGAL")</f>
        <v>SENEGAL</v>
      </c>
      <c r="AH55" s="1"/>
      <c r="AI55" s="1"/>
      <c r="AJ55" s="1" t="str">
        <f ca="1">IFERROR(__xludf.DUMMYFUNCTION("""COMPUTED_VALUE"""),"F1168")</f>
        <v>F1168</v>
      </c>
      <c r="AK55" s="1" t="str">
        <f ca="1">IFERROR(__xludf.DUMMYFUNCTION("""COMPUTED_VALUE"""),"Marié(e)")</f>
        <v>Marié(e)</v>
      </c>
      <c r="AL55" s="1" t="str">
        <f ca="1">IFERROR(__xludf.DUMMYFUNCTION("""COMPUTED_VALUE"""),"Marié(e)")</f>
        <v>Marié(e)</v>
      </c>
      <c r="AM55" s="1" t="str">
        <f ca="1">IFERROR(__xludf.DUMMYFUNCTION("""COMPUTED_VALUE"""),"F1168")</f>
        <v>F1168</v>
      </c>
    </row>
    <row r="56" spans="1:39" ht="15.75" customHeight="1" x14ac:dyDescent="0.15">
      <c r="A56" s="1" t="str">
        <f ca="1">IFERROR(__xludf.DUMMYFUNCTION("""COMPUTED_VALUE"""),"BIARD Adriano")</f>
        <v>BIARD Adriano</v>
      </c>
      <c r="B56" s="1" t="str">
        <f ca="1">IFERROR(__xludf.DUMMYFUNCTION("""COMPUTED_VALUE"""),"BIARD")</f>
        <v>BIARD</v>
      </c>
      <c r="C56" s="1" t="str">
        <f ca="1">IFERROR(__xludf.DUMMYFUNCTION("""COMPUTED_VALUE"""),"Adriano")</f>
        <v>Adriano</v>
      </c>
      <c r="D56" s="1" t="str">
        <f ca="1">IFERROR(__xludf.DUMMYFUNCTION("""COMPUTED_VALUE"""),"1170E1")</f>
        <v>1170E1</v>
      </c>
      <c r="E56" s="2">
        <f ca="1">IFERROR(__xludf.DUMMYFUNCTION("""COMPUTED_VALUE"""),44487)</f>
        <v>44487</v>
      </c>
      <c r="F56" s="1" t="str">
        <f ca="1">IFERROR(__xludf.DUMMYFUNCTION("""COMPUTED_VALUE"""),"Mat 3")</f>
        <v>Mat 3</v>
      </c>
      <c r="G56" s="1" t="str">
        <f ca="1">IFERROR(__xludf.DUMMYFUNCTION("""COMPUTED_VALUE"""),"MS")</f>
        <v>MS</v>
      </c>
      <c r="H56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56" s="1"/>
      <c r="J56" s="1"/>
      <c r="K56" s="1"/>
      <c r="L56" s="1"/>
      <c r="M56" s="1"/>
      <c r="N56" s="1" t="str">
        <f ca="1">IFERROR(__xludf.DUMMYFUNCTION("""COMPUTED_VALUE"""),"Garçon")</f>
        <v>Garçon</v>
      </c>
      <c r="O56" s="1"/>
      <c r="P56" s="1" t="str">
        <f ca="1">IFERROR(__xludf.DUMMYFUNCTION("""COMPUTED_VALUE"""),"FRANCE")</f>
        <v>FRANCE</v>
      </c>
      <c r="Q56" s="1"/>
      <c r="R56" s="1"/>
      <c r="S56" s="1"/>
      <c r="T56" s="1" t="str">
        <f ca="1">IFERROR(__xludf.DUMMYFUNCTION("""COMPUTED_VALUE"""),"LANZETTI Lucia Liliana")</f>
        <v>LANZETTI Lucia Liliana</v>
      </c>
      <c r="U56" s="1" t="str">
        <f ca="1">IFERROR(__xludf.DUMMYFUNCTION("""COMPUTED_VALUE"""),"BIARD Boris")</f>
        <v>BIARD Boris</v>
      </c>
      <c r="V56" s="1" t="str">
        <f ca="1">IFERROR(__xludf.DUMMYFUNCTION("""COMPUTED_VALUE"""),"lucia.lanzetti0@gmail.com")</f>
        <v>lucia.lanzetti0@gmail.com</v>
      </c>
      <c r="W56" s="1" t="str">
        <f ca="1">IFERROR(__xludf.DUMMYFUNCTION("""COMPUTED_VALUE"""),"biardboris@outlook.com")</f>
        <v>biardboris@outlook.com</v>
      </c>
      <c r="X56" s="1" t="str">
        <f ca="1">IFERROR(__xludf.DUMMYFUNCTION("""COMPUTED_VALUE"""),"+221 78 168 31 31")</f>
        <v>+221 78 168 31 31</v>
      </c>
      <c r="Y56" s="1" t="str">
        <f ca="1">IFERROR(__xludf.DUMMYFUNCTION("""COMPUTED_VALUE"""),"+221 77 661 97 53")</f>
        <v>+221 77 661 97 53</v>
      </c>
      <c r="Z56" s="1" t="str">
        <f ca="1">IFERROR(__xludf.DUMMYFUNCTION("""COMPUTED_VALUE"""),"+221")</f>
        <v>+221</v>
      </c>
      <c r="AA56" s="1" t="str">
        <f ca="1">IFERROR(__xludf.DUMMYFUNCTION("""COMPUTED_VALUE"""),"+221")</f>
        <v>+221</v>
      </c>
      <c r="AB56" s="2">
        <f ca="1">IFERROR(__xludf.DUMMYFUNCTION("""COMPUTED_VALUE"""),36031)</f>
        <v>36031</v>
      </c>
      <c r="AC56" s="2">
        <f ca="1">IFERROR(__xludf.DUMMYFUNCTION("""COMPUTED_VALUE"""),36173)</f>
        <v>36173</v>
      </c>
      <c r="AD56" s="1" t="str">
        <f ca="1">IFERROR(__xludf.DUMMYFUNCTION("""COMPUTED_VALUE"""),"MERE")</f>
        <v>MERE</v>
      </c>
      <c r="AE56" s="1" t="str">
        <f ca="1">IFERROR(__xludf.DUMMYFUNCTION("""COMPUTED_VALUE"""),"PERE")</f>
        <v>PERE</v>
      </c>
      <c r="AF56" s="1" t="str">
        <f ca="1">IFERROR(__xludf.DUMMYFUNCTION("""COMPUTED_VALUE"""),"ITALIE")</f>
        <v>ITALIE</v>
      </c>
      <c r="AG56" s="1" t="str">
        <f ca="1">IFERROR(__xludf.DUMMYFUNCTION("""COMPUTED_VALUE"""),"FRANCE")</f>
        <v>FRANCE</v>
      </c>
      <c r="AH56" s="1"/>
      <c r="AI56" s="1"/>
      <c r="AJ56" s="1" t="str">
        <f ca="1">IFERROR(__xludf.DUMMYFUNCTION("""COMPUTED_VALUE"""),"F1170")</f>
        <v>F1170</v>
      </c>
      <c r="AK56" s="1" t="str">
        <f ca="1">IFERROR(__xludf.DUMMYFUNCTION("""COMPUTED_VALUE"""),"Célibataire")</f>
        <v>Célibataire</v>
      </c>
      <c r="AL56" s="1" t="str">
        <f ca="1">IFERROR(__xludf.DUMMYFUNCTION("""COMPUTED_VALUE"""),"CONCUBINAGE")</f>
        <v>CONCUBINAGE</v>
      </c>
      <c r="AM56" s="1" t="str">
        <f ca="1">IFERROR(__xludf.DUMMYFUNCTION("""COMPUTED_VALUE"""),"F1170")</f>
        <v>F1170</v>
      </c>
    </row>
    <row r="57" spans="1:39" ht="15.75" customHeight="1" x14ac:dyDescent="0.15">
      <c r="A57" s="1" t="str">
        <f ca="1">IFERROR(__xludf.DUMMYFUNCTION("""COMPUTED_VALUE"""),"BIARD Gianni")</f>
        <v>BIARD Gianni</v>
      </c>
      <c r="B57" s="1" t="str">
        <f ca="1">IFERROR(__xludf.DUMMYFUNCTION("""COMPUTED_VALUE"""),"BIARD")</f>
        <v>BIARD</v>
      </c>
      <c r="C57" s="1" t="str">
        <f ca="1">IFERROR(__xludf.DUMMYFUNCTION("""COMPUTED_VALUE"""),"Gianni")</f>
        <v>Gianni</v>
      </c>
      <c r="D57" s="1" t="str">
        <f ca="1">IFERROR(__xludf.DUMMYFUNCTION("""COMPUTED_VALUE"""),"1170E2")</f>
        <v>1170E2</v>
      </c>
      <c r="E57" s="2">
        <f ca="1">IFERROR(__xludf.DUMMYFUNCTION("""COMPUTED_VALUE"""),43977)</f>
        <v>43977</v>
      </c>
      <c r="F57" s="1" t="str">
        <f ca="1">IFERROR(__xludf.DUMMYFUNCTION("""COMPUTED_VALUE"""),"Mat 2")</f>
        <v>Mat 2</v>
      </c>
      <c r="G57" s="1" t="str">
        <f ca="1">IFERROR(__xludf.DUMMYFUNCTION("""COMPUTED_VALUE"""),"GS")</f>
        <v>GS</v>
      </c>
      <c r="H57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57" s="1"/>
      <c r="J57" s="1"/>
      <c r="K57" s="1"/>
      <c r="L57" s="1"/>
      <c r="M57" s="1"/>
      <c r="N57" s="1" t="str">
        <f ca="1">IFERROR(__xludf.DUMMYFUNCTION("""COMPUTED_VALUE"""),"Garçon")</f>
        <v>Garçon</v>
      </c>
      <c r="O57" s="1"/>
      <c r="P57" s="1" t="str">
        <f ca="1">IFERROR(__xludf.DUMMYFUNCTION("""COMPUTED_VALUE"""),"FRANCE")</f>
        <v>FRANCE</v>
      </c>
      <c r="Q57" s="1"/>
      <c r="R57" s="1"/>
      <c r="S57" s="1" t="str">
        <f ca="1">IFERROR(__xludf.DUMMYFUNCTION("""COMPUTED_VALUE"""),"+221")</f>
        <v>+221</v>
      </c>
      <c r="T57" s="1" t="str">
        <f ca="1">IFERROR(__xludf.DUMMYFUNCTION("""COMPUTED_VALUE"""),"LANZETTI Lucia Liliana")</f>
        <v>LANZETTI Lucia Liliana</v>
      </c>
      <c r="U57" s="1" t="str">
        <f ca="1">IFERROR(__xludf.DUMMYFUNCTION("""COMPUTED_VALUE"""),"BIARD Boris")</f>
        <v>BIARD Boris</v>
      </c>
      <c r="V57" s="1" t="str">
        <f ca="1">IFERROR(__xludf.DUMMYFUNCTION("""COMPUTED_VALUE"""),"lucia.lanzetti0@gmail.com")</f>
        <v>lucia.lanzetti0@gmail.com</v>
      </c>
      <c r="W57" s="1" t="str">
        <f ca="1">IFERROR(__xludf.DUMMYFUNCTION("""COMPUTED_VALUE"""),"biardboris@outlook.com")</f>
        <v>biardboris@outlook.com</v>
      </c>
      <c r="X57" s="1" t="str">
        <f ca="1">IFERROR(__xludf.DUMMYFUNCTION("""COMPUTED_VALUE"""),"+221 78 168 31 31")</f>
        <v>+221 78 168 31 31</v>
      </c>
      <c r="Y57" s="1" t="str">
        <f ca="1">IFERROR(__xludf.DUMMYFUNCTION("""COMPUTED_VALUE"""),"+221 77 661 97 53")</f>
        <v>+221 77 661 97 53</v>
      </c>
      <c r="Z57" s="1" t="str">
        <f ca="1">IFERROR(__xludf.DUMMYFUNCTION("""COMPUTED_VALUE"""),"+221")</f>
        <v>+221</v>
      </c>
      <c r="AA57" s="1" t="str">
        <f ca="1">IFERROR(__xludf.DUMMYFUNCTION("""COMPUTED_VALUE"""),"+221")</f>
        <v>+221</v>
      </c>
      <c r="AB57" s="2">
        <f ca="1">IFERROR(__xludf.DUMMYFUNCTION("""COMPUTED_VALUE"""),36031)</f>
        <v>36031</v>
      </c>
      <c r="AC57" s="2">
        <f ca="1">IFERROR(__xludf.DUMMYFUNCTION("""COMPUTED_VALUE"""),36173)</f>
        <v>36173</v>
      </c>
      <c r="AD57" s="1" t="str">
        <f ca="1">IFERROR(__xludf.DUMMYFUNCTION("""COMPUTED_VALUE"""),"MERE")</f>
        <v>MERE</v>
      </c>
      <c r="AE57" s="1" t="str">
        <f ca="1">IFERROR(__xludf.DUMMYFUNCTION("""COMPUTED_VALUE"""),"PERE")</f>
        <v>PERE</v>
      </c>
      <c r="AF57" s="1" t="str">
        <f ca="1">IFERROR(__xludf.DUMMYFUNCTION("""COMPUTED_VALUE"""),"ITALIE")</f>
        <v>ITALIE</v>
      </c>
      <c r="AG57" s="1" t="str">
        <f ca="1">IFERROR(__xludf.DUMMYFUNCTION("""COMPUTED_VALUE"""),"FRANCE")</f>
        <v>FRANCE</v>
      </c>
      <c r="AH57" s="1"/>
      <c r="AI57" s="1"/>
      <c r="AJ57" s="1" t="str">
        <f ca="1">IFERROR(__xludf.DUMMYFUNCTION("""COMPUTED_VALUE"""),"F1170")</f>
        <v>F1170</v>
      </c>
      <c r="AK57" s="1" t="str">
        <f ca="1">IFERROR(__xludf.DUMMYFUNCTION("""COMPUTED_VALUE"""),"Célibataire")</f>
        <v>Célibataire</v>
      </c>
      <c r="AL57" s="1" t="str">
        <f ca="1">IFERROR(__xludf.DUMMYFUNCTION("""COMPUTED_VALUE"""),"CONCUBINAGE")</f>
        <v>CONCUBINAGE</v>
      </c>
      <c r="AM57" s="1" t="str">
        <f ca="1">IFERROR(__xludf.DUMMYFUNCTION("""COMPUTED_VALUE"""),"F1170")</f>
        <v>F1170</v>
      </c>
    </row>
    <row r="58" spans="1:39" ht="15.75" customHeight="1" x14ac:dyDescent="0.15">
      <c r="A58" s="1" t="str">
        <f ca="1">IFERROR(__xludf.DUMMYFUNCTION("""COMPUTED_VALUE"""),"BIER Awa  Eve")</f>
        <v>BIER Awa  Eve</v>
      </c>
      <c r="B58" s="1" t="str">
        <f ca="1">IFERROR(__xludf.DUMMYFUNCTION("""COMPUTED_VALUE"""),"BIER")</f>
        <v>BIER</v>
      </c>
      <c r="C58" s="1" t="str">
        <f ca="1">IFERROR(__xludf.DUMMYFUNCTION("""COMPUTED_VALUE"""),"Awa  Eve")</f>
        <v>Awa  Eve</v>
      </c>
      <c r="D58" s="1" t="str">
        <f ca="1">IFERROR(__xludf.DUMMYFUNCTION("""COMPUTED_VALUE"""),"1171E1")</f>
        <v>1171E1</v>
      </c>
      <c r="E58" s="2">
        <f ca="1">IFERROR(__xludf.DUMMYFUNCTION("""COMPUTED_VALUE"""),39962)</f>
        <v>39962</v>
      </c>
      <c r="F58" s="1" t="str">
        <f ca="1">IFERROR(__xludf.DUMMYFUNCTION("""COMPUTED_VALUE"""),"1ERE2")</f>
        <v>1ERE2</v>
      </c>
      <c r="G58" s="1" t="str">
        <f ca="1">IFERROR(__xludf.DUMMYFUNCTION("""COMPUTED_VALUE"""),"1ère")</f>
        <v>1ère</v>
      </c>
      <c r="H58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58" s="1" t="str">
        <f ca="1">IFERROR(__xludf.DUMMYFUNCTION("""COMPUTED_VALUE"""),"LVA Anglais")</f>
        <v>LVA Anglais</v>
      </c>
      <c r="J58" s="1" t="str">
        <f ca="1">IFERROR(__xludf.DUMMYFUNCTION("""COMPUTED_VALUE"""),"LVB Espagnol")</f>
        <v>LVB Espagnol</v>
      </c>
      <c r="K58" s="1"/>
      <c r="L58" s="1"/>
      <c r="M58" s="1" t="str">
        <f ca="1">IFERROR(__xludf.DUMMYFUNCTION("""COMPUTED_VALUE"""),"SPE LLCE AMC, SPE MATHS, SPE SES")</f>
        <v>SPE LLCE AMC, SPE MATHS, SPE SES</v>
      </c>
      <c r="N58" s="1" t="str">
        <f ca="1">IFERROR(__xludf.DUMMYFUNCTION("""COMPUTED_VALUE"""),"Fille")</f>
        <v>Fille</v>
      </c>
      <c r="O58" s="1"/>
      <c r="P58" s="1" t="str">
        <f ca="1">IFERROR(__xludf.DUMMYFUNCTION("""COMPUTED_VALUE"""),"FRANCE")</f>
        <v>FRANCE</v>
      </c>
      <c r="Q58" s="1"/>
      <c r="R58" s="1" t="str">
        <f ca="1">IFERROR(__xludf.DUMMYFUNCTION("""COMPUTED_VALUE"""),"awa.bier@lfjpsaly.org")</f>
        <v>awa.bier@lfjpsaly.org</v>
      </c>
      <c r="S58" s="1" t="str">
        <f ca="1">IFERROR(__xludf.DUMMYFUNCTION("""COMPUTED_VALUE"""),"+221")</f>
        <v>+221</v>
      </c>
      <c r="T58" s="1" t="str">
        <f ca="1">IFERROR(__xludf.DUMMYFUNCTION("""COMPUTED_VALUE"""),"BIER Coumba")</f>
        <v>BIER Coumba</v>
      </c>
      <c r="U58" s="1" t="str">
        <f ca="1">IFERROR(__xludf.DUMMYFUNCTION("""COMPUTED_VALUE"""),"BIER André")</f>
        <v>BIER André</v>
      </c>
      <c r="V58" s="1" t="str">
        <f ca="1">IFERROR(__xludf.DUMMYFUNCTION("""COMPUTED_VALUE"""),"coumba1971@gmail.com")</f>
        <v>coumba1971@gmail.com</v>
      </c>
      <c r="W58" s="1" t="str">
        <f ca="1">IFERROR(__xludf.DUMMYFUNCTION("""COMPUTED_VALUE"""),"coumba1971@gmail.com")</f>
        <v>coumba1971@gmail.com</v>
      </c>
      <c r="X58" s="1" t="str">
        <f ca="1">IFERROR(__xludf.DUMMYFUNCTION("""COMPUTED_VALUE"""),"+221 77 548 81 38")</f>
        <v>+221 77 548 81 38</v>
      </c>
      <c r="Y58" s="1" t="str">
        <f ca="1">IFERROR(__xludf.DUMMYFUNCTION("""COMPUTED_VALUE"""),"+221 77 652 01 41")</f>
        <v>+221 77 652 01 41</v>
      </c>
      <c r="Z58" s="1"/>
      <c r="AA58" s="1"/>
      <c r="AB58" s="2">
        <f ca="1">IFERROR(__xludf.DUMMYFUNCTION("""COMPUTED_VALUE"""),26150)</f>
        <v>26150</v>
      </c>
      <c r="AC58" s="2">
        <f ca="1">IFERROR(__xludf.DUMMYFUNCTION("""COMPUTED_VALUE"""),18445)</f>
        <v>18445</v>
      </c>
      <c r="AD58" s="1" t="str">
        <f ca="1">IFERROR(__xludf.DUMMYFUNCTION("""COMPUTED_VALUE"""),"MERE")</f>
        <v>MERE</v>
      </c>
      <c r="AE58" s="1" t="str">
        <f ca="1">IFERROR(__xludf.DUMMYFUNCTION("""COMPUTED_VALUE"""),"PERE")</f>
        <v>PERE</v>
      </c>
      <c r="AF58" s="1" t="str">
        <f ca="1">IFERROR(__xludf.DUMMYFUNCTION("""COMPUTED_VALUE"""),"SENEGAL")</f>
        <v>SENEGAL</v>
      </c>
      <c r="AG58" s="1" t="str">
        <f ca="1">IFERROR(__xludf.DUMMYFUNCTION("""COMPUTED_VALUE"""),"FRANCE")</f>
        <v>FRANCE</v>
      </c>
      <c r="AH58" s="1"/>
      <c r="AI58" s="1"/>
      <c r="AJ58" s="1" t="str">
        <f ca="1">IFERROR(__xludf.DUMMYFUNCTION("""COMPUTED_VALUE"""),"F1171")</f>
        <v>F1171</v>
      </c>
      <c r="AK58" s="1" t="str">
        <f ca="1">IFERROR(__xludf.DUMMYFUNCTION("""COMPUTED_VALUE"""),"Marié(e)")</f>
        <v>Marié(e)</v>
      </c>
      <c r="AL58" s="1" t="str">
        <f ca="1">IFERROR(__xludf.DUMMYFUNCTION("""COMPUTED_VALUE"""),"Marié(e)")</f>
        <v>Marié(e)</v>
      </c>
      <c r="AM58" s="1" t="str">
        <f ca="1">IFERROR(__xludf.DUMMYFUNCTION("""COMPUTED_VALUE"""),"F1171")</f>
        <v>F1171</v>
      </c>
    </row>
    <row r="59" spans="1:39" ht="15.75" customHeight="1" x14ac:dyDescent="0.15">
      <c r="A59" s="1" t="str">
        <f ca="1">IFERROR(__xludf.DUMMYFUNCTION("""COMPUTED_VALUE"""),"BIHOREAU Emma Thérèse")</f>
        <v>BIHOREAU Emma Thérèse</v>
      </c>
      <c r="B59" s="1" t="str">
        <f ca="1">IFERROR(__xludf.DUMMYFUNCTION("""COMPUTED_VALUE"""),"BIHOREAU")</f>
        <v>BIHOREAU</v>
      </c>
      <c r="C59" s="1" t="str">
        <f ca="1">IFERROR(__xludf.DUMMYFUNCTION("""COMPUTED_VALUE"""),"Emma Thérèse")</f>
        <v>Emma Thérèse</v>
      </c>
      <c r="D59" s="1" t="str">
        <f ca="1">IFERROR(__xludf.DUMMYFUNCTION("""COMPUTED_VALUE"""),"1172E1")</f>
        <v>1172E1</v>
      </c>
      <c r="E59" s="2">
        <f ca="1">IFERROR(__xludf.DUMMYFUNCTION("""COMPUTED_VALUE"""),40285)</f>
        <v>40285</v>
      </c>
      <c r="F59" s="1" t="str">
        <f ca="1">IFERROR(__xludf.DUMMYFUNCTION("""COMPUTED_VALUE"""),"2NDE1 COOP")</f>
        <v>2NDE1 COOP</v>
      </c>
      <c r="G59" s="1" t="str">
        <f ca="1">IFERROR(__xludf.DUMMYFUNCTION("""COMPUTED_VALUE"""),"2nde")</f>
        <v>2nde</v>
      </c>
      <c r="H59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59" s="1" t="str">
        <f ca="1">IFERROR(__xludf.DUMMYFUNCTION("""COMPUTED_VALUE"""),"LVA Anglais")</f>
        <v>LVA Anglais</v>
      </c>
      <c r="J59" s="1" t="str">
        <f ca="1">IFERROR(__xludf.DUMMYFUNCTION("""COMPUTED_VALUE"""),"LVB Espagnol")</f>
        <v>LVB Espagnol</v>
      </c>
      <c r="K59" s="1"/>
      <c r="L59" s="1"/>
      <c r="M59" s="1"/>
      <c r="N59" s="1" t="str">
        <f ca="1">IFERROR(__xludf.DUMMYFUNCTION("""COMPUTED_VALUE"""),"Fille")</f>
        <v>Fille</v>
      </c>
      <c r="O59" s="1"/>
      <c r="P59" s="1" t="str">
        <f ca="1">IFERROR(__xludf.DUMMYFUNCTION("""COMPUTED_VALUE"""),"FRANCE")</f>
        <v>FRANCE</v>
      </c>
      <c r="Q59" s="1" t="str">
        <f ca="1">IFERROR(__xludf.DUMMYFUNCTION("""COMPUTED_VALUE"""),"SENEGAL")</f>
        <v>SENEGAL</v>
      </c>
      <c r="R59" s="1" t="str">
        <f ca="1">IFERROR(__xludf.DUMMYFUNCTION("""COMPUTED_VALUE"""),"emma.bihoreau@lfjpsaly.org")</f>
        <v>emma.bihoreau@lfjpsaly.org</v>
      </c>
      <c r="S59" s="1"/>
      <c r="T59" s="1" t="str">
        <f ca="1">IFERROR(__xludf.DUMMYFUNCTION("""COMPUTED_VALUE"""),"BIHOREAU Béatrice")</f>
        <v>BIHOREAU Béatrice</v>
      </c>
      <c r="U59" s="1" t="str">
        <f ca="1">IFERROR(__xludf.DUMMYFUNCTION("""COMPUTED_VALUE"""),"BIHOREAU Etienne")</f>
        <v>BIHOREAU Etienne</v>
      </c>
      <c r="V59" s="1" t="str">
        <f ca="1">IFERROR(__xludf.DUMMYFUNCTION("""COMPUTED_VALUE"""),"beabeaute82@gmail.com")</f>
        <v>beabeaute82@gmail.com</v>
      </c>
      <c r="W59" s="1" t="str">
        <f ca="1">IFERROR(__xludf.DUMMYFUNCTION("""COMPUTED_VALUE"""),"bihoreau.etienne@gmail.com")</f>
        <v>bihoreau.etienne@gmail.com</v>
      </c>
      <c r="X59" s="1" t="str">
        <f ca="1">IFERROR(__xludf.DUMMYFUNCTION("""COMPUTED_VALUE"""),"+221 77 541 60 53")</f>
        <v>+221 77 541 60 53</v>
      </c>
      <c r="Y59" s="1" t="str">
        <f ca="1">IFERROR(__xludf.DUMMYFUNCTION("""COMPUTED_VALUE"""),"+221 77 300 57 50")</f>
        <v>+221 77 300 57 50</v>
      </c>
      <c r="Z59" s="1" t="str">
        <f ca="1">IFERROR(__xludf.DUMMYFUNCTION("""COMPUTED_VALUE"""),"+221")</f>
        <v>+221</v>
      </c>
      <c r="AA59" s="1"/>
      <c r="AB59" s="2">
        <f ca="1">IFERROR(__xludf.DUMMYFUNCTION("""COMPUTED_VALUE"""),48364)</f>
        <v>48364</v>
      </c>
      <c r="AC59" s="2">
        <f ca="1">IFERROR(__xludf.DUMMYFUNCTION("""COMPUTED_VALUE"""),2743018)</f>
        <v>2743018</v>
      </c>
      <c r="AD59" s="1" t="str">
        <f ca="1">IFERROR(__xludf.DUMMYFUNCTION("""COMPUTED_VALUE"""),"MERE")</f>
        <v>MERE</v>
      </c>
      <c r="AE59" s="1" t="str">
        <f ca="1">IFERROR(__xludf.DUMMYFUNCTION("""COMPUTED_VALUE"""),"PERE")</f>
        <v>PERE</v>
      </c>
      <c r="AF59" s="1" t="str">
        <f ca="1">IFERROR(__xludf.DUMMYFUNCTION("""COMPUTED_VALUE"""),"SENEGAL")</f>
        <v>SENEGAL</v>
      </c>
      <c r="AG59" s="1" t="str">
        <f ca="1">IFERROR(__xludf.DUMMYFUNCTION("""COMPUTED_VALUE"""),"FRANCE")</f>
        <v>FRANCE</v>
      </c>
      <c r="AH59" s="1"/>
      <c r="AI59" s="1"/>
      <c r="AJ59" s="1" t="str">
        <f ca="1">IFERROR(__xludf.DUMMYFUNCTION("""COMPUTED_VALUE"""),"F1172")</f>
        <v>F1172</v>
      </c>
      <c r="AK59" s="1" t="str">
        <f ca="1">IFERROR(__xludf.DUMMYFUNCTION("""COMPUTED_VALUE"""),"Marié(e)")</f>
        <v>Marié(e)</v>
      </c>
      <c r="AL59" s="1" t="str">
        <f ca="1">IFERROR(__xludf.DUMMYFUNCTION("""COMPUTED_VALUE"""),"Marié(e)")</f>
        <v>Marié(e)</v>
      </c>
      <c r="AM59" s="1" t="str">
        <f ca="1">IFERROR(__xludf.DUMMYFUNCTION("""COMPUTED_VALUE"""),"F1172")</f>
        <v>F1172</v>
      </c>
    </row>
    <row r="60" spans="1:39" ht="15.75" customHeight="1" x14ac:dyDescent="0.15">
      <c r="A60" s="1" t="str">
        <f ca="1">IFERROR(__xludf.DUMMYFUNCTION("""COMPUTED_VALUE"""),"BLONDEAU DIANDY Elana")</f>
        <v>BLONDEAU DIANDY Elana</v>
      </c>
      <c r="B60" s="1" t="str">
        <f ca="1">IFERROR(__xludf.DUMMYFUNCTION("""COMPUTED_VALUE"""),"BLONDEAU DIANDY")</f>
        <v>BLONDEAU DIANDY</v>
      </c>
      <c r="C60" s="1" t="str">
        <f ca="1">IFERROR(__xludf.DUMMYFUNCTION("""COMPUTED_VALUE"""),"Elana")</f>
        <v>Elana</v>
      </c>
      <c r="D60" s="1" t="str">
        <f ca="1">IFERROR(__xludf.DUMMYFUNCTION("""COMPUTED_VALUE"""),"1174E1")</f>
        <v>1174E1</v>
      </c>
      <c r="E60" s="2">
        <f ca="1">IFERROR(__xludf.DUMMYFUNCTION("""COMPUTED_VALUE"""),44855)</f>
        <v>44855</v>
      </c>
      <c r="F60" s="1" t="str">
        <f ca="1">IFERROR(__xludf.DUMMYFUNCTION("""COMPUTED_VALUE"""),"Mat 1")</f>
        <v>Mat 1</v>
      </c>
      <c r="G60" s="1" t="str">
        <f ca="1">IFERROR(__xludf.DUMMYFUNCTION("""COMPUTED_VALUE"""),"PS")</f>
        <v>PS</v>
      </c>
      <c r="H60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60" s="1"/>
      <c r="J60" s="1"/>
      <c r="K60" s="1"/>
      <c r="L60" s="1"/>
      <c r="M60" s="1"/>
      <c r="N60" s="1" t="str">
        <f ca="1">IFERROR(__xludf.DUMMYFUNCTION("""COMPUTED_VALUE"""),"Fille")</f>
        <v>Fille</v>
      </c>
      <c r="O60" s="1"/>
      <c r="P60" s="1" t="str">
        <f ca="1">IFERROR(__xludf.DUMMYFUNCTION("""COMPUTED_VALUE"""),"FRANCE")</f>
        <v>FRANCE</v>
      </c>
      <c r="Q60" s="1" t="str">
        <f ca="1">IFERROR(__xludf.DUMMYFUNCTION("""COMPUTED_VALUE"""),"SENEGAL")</f>
        <v>SENEGAL</v>
      </c>
      <c r="R60" s="1"/>
      <c r="S60" s="1"/>
      <c r="T60" s="1" t="str">
        <f ca="1">IFERROR(__xludf.DUMMYFUNCTION("""COMPUTED_VALUE"""),"BLONDEAU Chloe")</f>
        <v>BLONDEAU Chloe</v>
      </c>
      <c r="U60" s="1"/>
      <c r="V60" s="1" t="str">
        <f ca="1">IFERROR(__xludf.DUMMYFUNCTION("""COMPUTED_VALUE"""),"chloeblondeau87@gmail.com")</f>
        <v>chloeblondeau87@gmail.com</v>
      </c>
      <c r="W60" s="1"/>
      <c r="X60" s="1" t="str">
        <f ca="1">IFERROR(__xludf.DUMMYFUNCTION("""COMPUTED_VALUE"""),"+221 78 456 15 32")</f>
        <v>+221 78 456 15 32</v>
      </c>
      <c r="Y60" s="1"/>
      <c r="Z60" s="1" t="str">
        <f ca="1">IFERROR(__xludf.DUMMYFUNCTION("""COMPUTED_VALUE"""),"+221")</f>
        <v>+221</v>
      </c>
      <c r="AA60" s="1"/>
      <c r="AB60" s="2">
        <f ca="1">IFERROR(__xludf.DUMMYFUNCTION("""COMPUTED_VALUE"""),31857)</f>
        <v>31857</v>
      </c>
      <c r="AC60" s="1"/>
      <c r="AD60" s="1" t="str">
        <f ca="1">IFERROR(__xludf.DUMMYFUNCTION("""COMPUTED_VALUE"""),"MERE")</f>
        <v>MERE</v>
      </c>
      <c r="AE60" s="1"/>
      <c r="AF60" s="1" t="str">
        <f ca="1">IFERROR(__xludf.DUMMYFUNCTION("""COMPUTED_VALUE"""),"FRANCE")</f>
        <v>FRANCE</v>
      </c>
      <c r="AG60" s="1"/>
      <c r="AH60" s="1"/>
      <c r="AI60" s="1"/>
      <c r="AJ60" s="1" t="str">
        <f ca="1">IFERROR(__xludf.DUMMYFUNCTION("""COMPUTED_VALUE"""),"F1174")</f>
        <v>F1174</v>
      </c>
      <c r="AK60" s="1" t="str">
        <f ca="1">IFERROR(__xludf.DUMMYFUNCTION("""COMPUTED_VALUE"""),"Célibataire")</f>
        <v>Célibataire</v>
      </c>
      <c r="AL60" s="1"/>
      <c r="AM60" s="1" t="str">
        <f ca="1">IFERROR(__xludf.DUMMYFUNCTION("""COMPUTED_VALUE"""),"F1174")</f>
        <v>F1174</v>
      </c>
    </row>
    <row r="61" spans="1:39" ht="15.75" customHeight="1" x14ac:dyDescent="0.15">
      <c r="A61" s="1" t="str">
        <f ca="1">IFERROR(__xludf.DUMMYFUNCTION("""COMPUTED_VALUE"""),"BODELOT Julien Achille")</f>
        <v>BODELOT Julien Achille</v>
      </c>
      <c r="B61" s="1" t="str">
        <f ca="1">IFERROR(__xludf.DUMMYFUNCTION("""COMPUTED_VALUE"""),"BODELOT")</f>
        <v>BODELOT</v>
      </c>
      <c r="C61" s="1" t="str">
        <f ca="1">IFERROR(__xludf.DUMMYFUNCTION("""COMPUTED_VALUE"""),"Julien Achille")</f>
        <v>Julien Achille</v>
      </c>
      <c r="D61" s="1" t="str">
        <f ca="1">IFERROR(__xludf.DUMMYFUNCTION("""COMPUTED_VALUE"""),"1639E1")</f>
        <v>1639E1</v>
      </c>
      <c r="E61" s="2">
        <f ca="1">IFERROR(__xludf.DUMMYFUNCTION("""COMPUTED_VALUE"""),40581)</f>
        <v>40581</v>
      </c>
      <c r="F61" s="1" t="str">
        <f ca="1">IFERROR(__xludf.DUMMYFUNCTION("""COMPUTED_VALUE"""),"3EME2")</f>
        <v>3EME2</v>
      </c>
      <c r="G61" s="1" t="str">
        <f ca="1">IFERROR(__xludf.DUMMYFUNCTION("""COMPUTED_VALUE"""),"3ème")</f>
        <v>3ème</v>
      </c>
      <c r="H61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61" s="1" t="str">
        <f ca="1">IFERROR(__xludf.DUMMYFUNCTION("""COMPUTED_VALUE"""),"LVA Anglais")</f>
        <v>LVA Anglais</v>
      </c>
      <c r="J61" s="1" t="str">
        <f ca="1">IFERROR(__xludf.DUMMYFUNCTION("""COMPUTED_VALUE"""),"LVB Espagnol")</f>
        <v>LVB Espagnol</v>
      </c>
      <c r="K61" s="1"/>
      <c r="L61" s="1"/>
      <c r="M61" s="1"/>
      <c r="N61" s="1" t="str">
        <f ca="1">IFERROR(__xludf.DUMMYFUNCTION("""COMPUTED_VALUE"""),"Garçon")</f>
        <v>Garçon</v>
      </c>
      <c r="O61" s="1"/>
      <c r="P61" s="1" t="str">
        <f ca="1">IFERROR(__xludf.DUMMYFUNCTION("""COMPUTED_VALUE"""),"FRANCE")</f>
        <v>FRANCE</v>
      </c>
      <c r="Q61" s="1" t="str">
        <f ca="1">IFERROR(__xludf.DUMMYFUNCTION("""COMPUTED_VALUE"""),"SENEGAL")</f>
        <v>SENEGAL</v>
      </c>
      <c r="R61" s="1" t="str">
        <f ca="1">IFERROR(__xludf.DUMMYFUNCTION("""COMPUTED_VALUE"""),"julien.bodelot@lfjpsaly.org")</f>
        <v>julien.bodelot@lfjpsaly.org</v>
      </c>
      <c r="S61" s="1" t="str">
        <f ca="1">IFERROR(__xludf.DUMMYFUNCTION("""COMPUTED_VALUE"""),"+221 78 661 25 04")</f>
        <v>+221 78 661 25 04</v>
      </c>
      <c r="T61" s="1" t="str">
        <f ca="1">IFERROR(__xludf.DUMMYFUNCTION("""COMPUTED_VALUE"""),"BODELOT Christophe")</f>
        <v>BODELOT Christophe</v>
      </c>
      <c r="U61" s="1" t="str">
        <f ca="1">IFERROR(__xludf.DUMMYFUNCTION("""COMPUTED_VALUE"""),"BODELOT Zeinab")</f>
        <v>BODELOT Zeinab</v>
      </c>
      <c r="V61" s="1" t="str">
        <f ca="1">IFERROR(__xludf.DUMMYFUNCTION("""COMPUTED_VALUE"""),"cbodelot@orange.fr")</f>
        <v>cbodelot@orange.fr</v>
      </c>
      <c r="W61" s="1" t="str">
        <f ca="1">IFERROR(__xludf.DUMMYFUNCTION("""COMPUTED_VALUE"""),"cbodelot@orange.fr")</f>
        <v>cbodelot@orange.fr</v>
      </c>
      <c r="X61" s="1" t="str">
        <f ca="1">IFERROR(__xludf.DUMMYFUNCTION("""COMPUTED_VALUE"""),"+221 78 910 04 40")</f>
        <v>+221 78 910 04 40</v>
      </c>
      <c r="Y61" s="1" t="str">
        <f ca="1">IFERROR(__xludf.DUMMYFUNCTION("""COMPUTED_VALUE"""),"+221 77 742 17 78")</f>
        <v>+221 77 742 17 78</v>
      </c>
      <c r="Z61" s="1" t="str">
        <f ca="1">IFERROR(__xludf.DUMMYFUNCTION("""COMPUTED_VALUE"""),"+33 6 63 27 21 78")</f>
        <v>+33 6 63 27 21 78</v>
      </c>
      <c r="AA61" s="1" t="str">
        <f ca="1">IFERROR(__xludf.DUMMYFUNCTION("""COMPUTED_VALUE"""),"+221 77 742 17 78")</f>
        <v>+221 77 742 17 78</v>
      </c>
      <c r="AB61" s="2">
        <f ca="1">IFERROR(__xludf.DUMMYFUNCTION("""COMPUTED_VALUE"""),23412)</f>
        <v>23412</v>
      </c>
      <c r="AC61" s="2">
        <f ca="1">IFERROR(__xludf.DUMMYFUNCTION("""COMPUTED_VALUE"""),29538)</f>
        <v>29538</v>
      </c>
      <c r="AD61" s="1" t="str">
        <f ca="1">IFERROR(__xludf.DUMMYFUNCTION("""COMPUTED_VALUE"""),"PERE")</f>
        <v>PERE</v>
      </c>
      <c r="AE61" s="1" t="str">
        <f ca="1">IFERROR(__xludf.DUMMYFUNCTION("""COMPUTED_VALUE"""),"MERE")</f>
        <v>MERE</v>
      </c>
      <c r="AF61" s="1" t="str">
        <f ca="1">IFERROR(__xludf.DUMMYFUNCTION("""COMPUTED_VALUE"""),"FRANCE")</f>
        <v>FRANCE</v>
      </c>
      <c r="AG61" s="1" t="str">
        <f ca="1">IFERROR(__xludf.DUMMYFUNCTION("""COMPUTED_VALUE"""),"FRANCE")</f>
        <v>FRANCE</v>
      </c>
      <c r="AH61" s="1"/>
      <c r="AI61" s="1" t="str">
        <f ca="1">IFERROR(__xludf.DUMMYFUNCTION("""COMPUTED_VALUE"""),"SENEGAL")</f>
        <v>SENEGAL</v>
      </c>
      <c r="AJ61" s="1" t="str">
        <f ca="1">IFERROR(__xludf.DUMMYFUNCTION("""COMPUTED_VALUE"""),"F1639")</f>
        <v>F1639</v>
      </c>
      <c r="AK61" s="1" t="str">
        <f ca="1">IFERROR(__xludf.DUMMYFUNCTION("""COMPUTED_VALUE"""),"Marié(e)")</f>
        <v>Marié(e)</v>
      </c>
      <c r="AL61" s="1" t="str">
        <f ca="1">IFERROR(__xludf.DUMMYFUNCTION("""COMPUTED_VALUE"""),"Marié(e)")</f>
        <v>Marié(e)</v>
      </c>
      <c r="AM61" s="1" t="str">
        <f ca="1">IFERROR(__xludf.DUMMYFUNCTION("""COMPUTED_VALUE"""),"F1639")</f>
        <v>F1639</v>
      </c>
    </row>
    <row r="62" spans="1:39" ht="15.75" customHeight="1" x14ac:dyDescent="0.15">
      <c r="A62" s="1" t="str">
        <f ca="1">IFERROR(__xludf.DUMMYFUNCTION("""COMPUTED_VALUE"""),"BONNAIN Kaiys")</f>
        <v>BONNAIN Kaiys</v>
      </c>
      <c r="B62" s="1" t="str">
        <f ca="1">IFERROR(__xludf.DUMMYFUNCTION("""COMPUTED_VALUE"""),"BONNAIN")</f>
        <v>BONNAIN</v>
      </c>
      <c r="C62" s="1" t="str">
        <f ca="1">IFERROR(__xludf.DUMMYFUNCTION("""COMPUTED_VALUE"""),"Kaiys")</f>
        <v>Kaiys</v>
      </c>
      <c r="D62" s="1" t="str">
        <f ca="1">IFERROR(__xludf.DUMMYFUNCTION("""COMPUTED_VALUE"""),"12143S3268")</f>
        <v>12143S3268</v>
      </c>
      <c r="E62" s="2">
        <f ca="1">IFERROR(__xludf.DUMMYFUNCTION("""COMPUTED_VALUE"""),43598)</f>
        <v>43598</v>
      </c>
      <c r="F62" s="1" t="str">
        <f ca="1">IFERROR(__xludf.DUMMYFUNCTION("""COMPUTED_VALUE"""),"CP")</f>
        <v>CP</v>
      </c>
      <c r="G62" s="1" t="str">
        <f ca="1">IFERROR(__xludf.DUMMYFUNCTION("""COMPUTED_VALUE"""),"CP")</f>
        <v>CP</v>
      </c>
      <c r="H62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62" s="1"/>
      <c r="J62" s="1"/>
      <c r="K62" s="1"/>
      <c r="L62" s="1"/>
      <c r="M62" s="1"/>
      <c r="N62" s="1" t="str">
        <f ca="1">IFERROR(__xludf.DUMMYFUNCTION("""COMPUTED_VALUE"""),"Garçon")</f>
        <v>Garçon</v>
      </c>
      <c r="O62" s="1"/>
      <c r="P62" s="1" t="str">
        <f ca="1">IFERROR(__xludf.DUMMYFUNCTION("""COMPUTED_VALUE"""),"FRANCE")</f>
        <v>FRANCE</v>
      </c>
      <c r="Q62" s="1"/>
      <c r="R62" s="1"/>
      <c r="S62" s="1" t="str">
        <f ca="1">IFERROR(__xludf.DUMMYFUNCTION("""COMPUTED_VALUE"""),"+221")</f>
        <v>+221</v>
      </c>
      <c r="T62" s="1" t="str">
        <f ca="1">IFERROR(__xludf.DUMMYFUNCTION("""COMPUTED_VALUE"""),"THERON Melissa")</f>
        <v>THERON Melissa</v>
      </c>
      <c r="U62" s="1" t="str">
        <f ca="1">IFERROR(__xludf.DUMMYFUNCTION("""COMPUTED_VALUE"""),"BONNAIN Lucas")</f>
        <v>BONNAIN Lucas</v>
      </c>
      <c r="V62" s="1" t="str">
        <f ca="1">IFERROR(__xludf.DUMMYFUNCTION("""COMPUTED_VALUE"""),"melissa.theron@hotmail.com")</f>
        <v>melissa.theron@hotmail.com</v>
      </c>
      <c r="W62" s="1" t="str">
        <f ca="1">IFERROR(__xludf.DUMMYFUNCTION("""COMPUTED_VALUE"""),"lucas.bonnain@gmail.com")</f>
        <v>lucas.bonnain@gmail.com</v>
      </c>
      <c r="X62" s="1" t="str">
        <f ca="1">IFERROR(__xludf.DUMMYFUNCTION("""COMPUTED_VALUE"""),"+221 77 284 98 94")</f>
        <v>+221 77 284 98 94</v>
      </c>
      <c r="Y62" s="1" t="str">
        <f ca="1">IFERROR(__xludf.DUMMYFUNCTION("""COMPUTED_VALUE"""),"+221 77 449 80 66")</f>
        <v>+221 77 449 80 66</v>
      </c>
      <c r="Z62" s="1" t="str">
        <f ca="1">IFERROR(__xludf.DUMMYFUNCTION("""COMPUTED_VALUE"""),"+221 77 284 98 94")</f>
        <v>+221 77 284 98 94</v>
      </c>
      <c r="AA62" s="1" t="str">
        <f ca="1">IFERROR(__xludf.DUMMYFUNCTION("""COMPUTED_VALUE"""),"+221")</f>
        <v>+221</v>
      </c>
      <c r="AB62" s="2">
        <f ca="1">IFERROR(__xludf.DUMMYFUNCTION("""COMPUTED_VALUE"""),36035)</f>
        <v>36035</v>
      </c>
      <c r="AC62" s="2">
        <f ca="1">IFERROR(__xludf.DUMMYFUNCTION("""COMPUTED_VALUE"""),35219)</f>
        <v>35219</v>
      </c>
      <c r="AD62" s="1" t="str">
        <f ca="1">IFERROR(__xludf.DUMMYFUNCTION("""COMPUTED_VALUE"""),"MERE")</f>
        <v>MERE</v>
      </c>
      <c r="AE62" s="1" t="str">
        <f ca="1">IFERROR(__xludf.DUMMYFUNCTION("""COMPUTED_VALUE"""),"PERE")</f>
        <v>PERE</v>
      </c>
      <c r="AF62" s="1" t="str">
        <f ca="1">IFERROR(__xludf.DUMMYFUNCTION("""COMPUTED_VALUE"""),"FRANCE")</f>
        <v>FRANCE</v>
      </c>
      <c r="AG62" s="1" t="str">
        <f ca="1">IFERROR(__xludf.DUMMYFUNCTION("""COMPUTED_VALUE"""),"FRANCE")</f>
        <v>FRANCE</v>
      </c>
      <c r="AH62" s="1"/>
      <c r="AI62" s="1"/>
      <c r="AJ62" s="1" t="str">
        <f ca="1">IFERROR(__xludf.DUMMYFUNCTION("""COMPUTED_VALUE"""),"U12143")</f>
        <v>U12143</v>
      </c>
      <c r="AK62" s="1" t="str">
        <f ca="1">IFERROR(__xludf.DUMMYFUNCTION("""COMPUTED_VALUE"""),"CONCUBINAGE")</f>
        <v>CONCUBINAGE</v>
      </c>
      <c r="AL62" s="1" t="str">
        <f ca="1">IFERROR(__xludf.DUMMYFUNCTION("""COMPUTED_VALUE"""),"CONCUBINAGE")</f>
        <v>CONCUBINAGE</v>
      </c>
      <c r="AM62" s="1" t="str">
        <f ca="1">IFERROR(__xludf.DUMMYFUNCTION("""COMPUTED_VALUE"""),"U12143")</f>
        <v>U12143</v>
      </c>
    </row>
    <row r="63" spans="1:39" ht="15.75" customHeight="1" x14ac:dyDescent="0.15">
      <c r="A63" s="1" t="str">
        <f ca="1">IFERROR(__xludf.DUMMYFUNCTION("""COMPUTED_VALUE"""),"BONNAIN Mélia")</f>
        <v>BONNAIN Mélia</v>
      </c>
      <c r="B63" s="1" t="str">
        <f ca="1">IFERROR(__xludf.DUMMYFUNCTION("""COMPUTED_VALUE"""),"BONNAIN")</f>
        <v>BONNAIN</v>
      </c>
      <c r="C63" s="1" t="str">
        <f ca="1">IFERROR(__xludf.DUMMYFUNCTION("""COMPUTED_VALUE"""),"Mélia")</f>
        <v>Mélia</v>
      </c>
      <c r="D63" s="1" t="str">
        <f ca="1">IFERROR(__xludf.DUMMYFUNCTION("""COMPUTED_VALUE"""),"12143S3269")</f>
        <v>12143S3269</v>
      </c>
      <c r="E63" s="2">
        <f ca="1">IFERROR(__xludf.DUMMYFUNCTION("""COMPUTED_VALUE"""),44755)</f>
        <v>44755</v>
      </c>
      <c r="F63" s="1" t="str">
        <f ca="1">IFERROR(__xludf.DUMMYFUNCTION("""COMPUTED_VALUE"""),"Mat 1")</f>
        <v>Mat 1</v>
      </c>
      <c r="G63" s="1" t="str">
        <f ca="1">IFERROR(__xludf.DUMMYFUNCTION("""COMPUTED_VALUE"""),"PS")</f>
        <v>PS</v>
      </c>
      <c r="H63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63" s="1"/>
      <c r="J63" s="1"/>
      <c r="K63" s="1"/>
      <c r="L63" s="1"/>
      <c r="M63" s="1"/>
      <c r="N63" s="1" t="str">
        <f ca="1">IFERROR(__xludf.DUMMYFUNCTION("""COMPUTED_VALUE"""),"Fille")</f>
        <v>Fille</v>
      </c>
      <c r="O63" s="1"/>
      <c r="P63" s="1" t="str">
        <f ca="1">IFERROR(__xludf.DUMMYFUNCTION("""COMPUTED_VALUE"""),"FRANCE")</f>
        <v>FRANCE</v>
      </c>
      <c r="Q63" s="1"/>
      <c r="R63" s="1"/>
      <c r="S63" s="1" t="str">
        <f ca="1">IFERROR(__xludf.DUMMYFUNCTION("""COMPUTED_VALUE"""),"+221")</f>
        <v>+221</v>
      </c>
      <c r="T63" s="1" t="str">
        <f ca="1">IFERROR(__xludf.DUMMYFUNCTION("""COMPUTED_VALUE"""),"THERON Melissa")</f>
        <v>THERON Melissa</v>
      </c>
      <c r="U63" s="1" t="str">
        <f ca="1">IFERROR(__xludf.DUMMYFUNCTION("""COMPUTED_VALUE"""),"BONNAIN Lucas")</f>
        <v>BONNAIN Lucas</v>
      </c>
      <c r="V63" s="1" t="str">
        <f ca="1">IFERROR(__xludf.DUMMYFUNCTION("""COMPUTED_VALUE"""),"melissa.theron@hotmail.com")</f>
        <v>melissa.theron@hotmail.com</v>
      </c>
      <c r="W63" s="1" t="str">
        <f ca="1">IFERROR(__xludf.DUMMYFUNCTION("""COMPUTED_VALUE"""),"lucas.bonnain@gmail.com")</f>
        <v>lucas.bonnain@gmail.com</v>
      </c>
      <c r="X63" s="1" t="str">
        <f ca="1">IFERROR(__xludf.DUMMYFUNCTION("""COMPUTED_VALUE"""),"+221 77 284 98 94")</f>
        <v>+221 77 284 98 94</v>
      </c>
      <c r="Y63" s="1" t="str">
        <f ca="1">IFERROR(__xludf.DUMMYFUNCTION("""COMPUTED_VALUE"""),"+221 77 449 80 66")</f>
        <v>+221 77 449 80 66</v>
      </c>
      <c r="Z63" s="1" t="str">
        <f ca="1">IFERROR(__xludf.DUMMYFUNCTION("""COMPUTED_VALUE"""),"+221 77 284 98 94")</f>
        <v>+221 77 284 98 94</v>
      </c>
      <c r="AA63" s="1" t="str">
        <f ca="1">IFERROR(__xludf.DUMMYFUNCTION("""COMPUTED_VALUE"""),"+221")</f>
        <v>+221</v>
      </c>
      <c r="AB63" s="2">
        <f ca="1">IFERROR(__xludf.DUMMYFUNCTION("""COMPUTED_VALUE"""),36035)</f>
        <v>36035</v>
      </c>
      <c r="AC63" s="2">
        <f ca="1">IFERROR(__xludf.DUMMYFUNCTION("""COMPUTED_VALUE"""),35219)</f>
        <v>35219</v>
      </c>
      <c r="AD63" s="1" t="str">
        <f ca="1">IFERROR(__xludf.DUMMYFUNCTION("""COMPUTED_VALUE"""),"MERE")</f>
        <v>MERE</v>
      </c>
      <c r="AE63" s="1" t="str">
        <f ca="1">IFERROR(__xludf.DUMMYFUNCTION("""COMPUTED_VALUE"""),"PERE")</f>
        <v>PERE</v>
      </c>
      <c r="AF63" s="1" t="str">
        <f ca="1">IFERROR(__xludf.DUMMYFUNCTION("""COMPUTED_VALUE"""),"FRANCE")</f>
        <v>FRANCE</v>
      </c>
      <c r="AG63" s="1" t="str">
        <f ca="1">IFERROR(__xludf.DUMMYFUNCTION("""COMPUTED_VALUE"""),"FRANCE")</f>
        <v>FRANCE</v>
      </c>
      <c r="AH63" s="1"/>
      <c r="AI63" s="1"/>
      <c r="AJ63" s="1" t="str">
        <f ca="1">IFERROR(__xludf.DUMMYFUNCTION("""COMPUTED_VALUE"""),"U12143")</f>
        <v>U12143</v>
      </c>
      <c r="AK63" s="1" t="str">
        <f ca="1">IFERROR(__xludf.DUMMYFUNCTION("""COMPUTED_VALUE"""),"CONCUBINAGE")</f>
        <v>CONCUBINAGE</v>
      </c>
      <c r="AL63" s="1" t="str">
        <f ca="1">IFERROR(__xludf.DUMMYFUNCTION("""COMPUTED_VALUE"""),"CONCUBINAGE")</f>
        <v>CONCUBINAGE</v>
      </c>
      <c r="AM63" s="1" t="str">
        <f ca="1">IFERROR(__xludf.DUMMYFUNCTION("""COMPUTED_VALUE"""),"U12143")</f>
        <v>U12143</v>
      </c>
    </row>
    <row r="64" spans="1:39" ht="15.75" customHeight="1" x14ac:dyDescent="0.15">
      <c r="A64" s="1" t="str">
        <f ca="1">IFERROR(__xludf.DUMMYFUNCTION("""COMPUTED_VALUE"""),"BONNIN Georges Alpha")</f>
        <v>BONNIN Georges Alpha</v>
      </c>
      <c r="B64" s="1" t="str">
        <f ca="1">IFERROR(__xludf.DUMMYFUNCTION("""COMPUTED_VALUE"""),"BONNIN")</f>
        <v>BONNIN</v>
      </c>
      <c r="C64" s="1" t="str">
        <f ca="1">IFERROR(__xludf.DUMMYFUNCTION("""COMPUTED_VALUE"""),"Georges Alpha")</f>
        <v>Georges Alpha</v>
      </c>
      <c r="D64" s="1" t="str">
        <f ca="1">IFERROR(__xludf.DUMMYFUNCTION("""COMPUTED_VALUE"""),"1176E1")</f>
        <v>1176E1</v>
      </c>
      <c r="E64" s="2">
        <f ca="1">IFERROR(__xludf.DUMMYFUNCTION("""COMPUTED_VALUE"""),41001)</f>
        <v>41001</v>
      </c>
      <c r="F64" s="1" t="str">
        <f ca="1">IFERROR(__xludf.DUMMYFUNCTION("""COMPUTED_VALUE"""),"4EME1")</f>
        <v>4EME1</v>
      </c>
      <c r="G64" s="1" t="str">
        <f ca="1">IFERROR(__xludf.DUMMYFUNCTION("""COMPUTED_VALUE"""),"4ème")</f>
        <v>4ème</v>
      </c>
      <c r="H64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64" s="1" t="str">
        <f ca="1">IFERROR(__xludf.DUMMYFUNCTION("""COMPUTED_VALUE"""),"LVA Anglais")</f>
        <v>LVA Anglais</v>
      </c>
      <c r="J64" s="1" t="str">
        <f ca="1">IFERROR(__xludf.DUMMYFUNCTION("""COMPUTED_VALUE"""),"LVB Espagnol")</f>
        <v>LVB Espagnol</v>
      </c>
      <c r="K64" s="1"/>
      <c r="L64" s="1"/>
      <c r="M64" s="1"/>
      <c r="N64" s="1" t="str">
        <f ca="1">IFERROR(__xludf.DUMMYFUNCTION("""COMPUTED_VALUE"""),"Garçon")</f>
        <v>Garçon</v>
      </c>
      <c r="O64" s="1"/>
      <c r="P64" s="1" t="str">
        <f ca="1">IFERROR(__xludf.DUMMYFUNCTION("""COMPUTED_VALUE"""),"FRANCE")</f>
        <v>FRANCE</v>
      </c>
      <c r="Q64" s="1"/>
      <c r="R64" s="1" t="str">
        <f ca="1">IFERROR(__xludf.DUMMYFUNCTION("""COMPUTED_VALUE"""),"georges.bonnin@lfjpsaly.org")</f>
        <v>georges.bonnin@lfjpsaly.org</v>
      </c>
      <c r="S64" s="1" t="str">
        <f ca="1">IFERROR(__xludf.DUMMYFUNCTION("""COMPUTED_VALUE"""),"+221 78 144 54 91")</f>
        <v>+221 78 144 54 91</v>
      </c>
      <c r="T64" s="1" t="str">
        <f ca="1">IFERROR(__xludf.DUMMYFUNCTION("""COMPUTED_VALUE"""),"BONNIN Kadiatou")</f>
        <v>BONNIN Kadiatou</v>
      </c>
      <c r="U64" s="1" t="str">
        <f ca="1">IFERROR(__xludf.DUMMYFUNCTION("""COMPUTED_VALUE"""),"BONNIN Dominique")</f>
        <v>BONNIN Dominique</v>
      </c>
      <c r="V64" s="1" t="str">
        <f ca="1">IFERROR(__xludf.DUMMYFUNCTION("""COMPUTED_VALUE"""),"kadiatoubonnin74@gmail.com")</f>
        <v>kadiatoubonnin74@gmail.com</v>
      </c>
      <c r="W64" s="1" t="str">
        <f ca="1">IFERROR(__xludf.DUMMYFUNCTION("""COMPUTED_VALUE"""),"d_bonnin@yahoo.fr")</f>
        <v>d_bonnin@yahoo.fr</v>
      </c>
      <c r="X64" s="1" t="str">
        <f ca="1">IFERROR(__xludf.DUMMYFUNCTION("""COMPUTED_VALUE"""),"+221 78 144 54 91")</f>
        <v>+221 78 144 54 91</v>
      </c>
      <c r="Y64" s="1" t="str">
        <f ca="1">IFERROR(__xludf.DUMMYFUNCTION("""COMPUTED_VALUE"""),"+221 78 144 54 91")</f>
        <v>+221 78 144 54 91</v>
      </c>
      <c r="Z64" s="1" t="str">
        <f ca="1">IFERROR(__xludf.DUMMYFUNCTION("""COMPUTED_VALUE"""),"+221")</f>
        <v>+221</v>
      </c>
      <c r="AA64" s="1" t="str">
        <f ca="1">IFERROR(__xludf.DUMMYFUNCTION("""COMPUTED_VALUE"""),"+221")</f>
        <v>+221</v>
      </c>
      <c r="AB64" s="2">
        <f ca="1">IFERROR(__xludf.DUMMYFUNCTION("""COMPUTED_VALUE"""),27332)</f>
        <v>27332</v>
      </c>
      <c r="AC64" s="2">
        <f ca="1">IFERROR(__xludf.DUMMYFUNCTION("""COMPUTED_VALUE"""),22452)</f>
        <v>22452</v>
      </c>
      <c r="AD64" s="1" t="str">
        <f ca="1">IFERROR(__xludf.DUMMYFUNCTION("""COMPUTED_VALUE"""),"MERE")</f>
        <v>MERE</v>
      </c>
      <c r="AE64" s="1" t="str">
        <f ca="1">IFERROR(__xludf.DUMMYFUNCTION("""COMPUTED_VALUE"""),"PERE")</f>
        <v>PERE</v>
      </c>
      <c r="AF64" s="1" t="str">
        <f ca="1">IFERROR(__xludf.DUMMYFUNCTION("""COMPUTED_VALUE"""),"FRANCE")</f>
        <v>FRANCE</v>
      </c>
      <c r="AG64" s="1" t="str">
        <f ca="1">IFERROR(__xludf.DUMMYFUNCTION("""COMPUTED_VALUE"""),"FRANCE")</f>
        <v>FRANCE</v>
      </c>
      <c r="AH64" s="1" t="str">
        <f ca="1">IFERROR(__xludf.DUMMYFUNCTION("""COMPUTED_VALUE"""),"GUINEE")</f>
        <v>GUINEE</v>
      </c>
      <c r="AI64" s="1"/>
      <c r="AJ64" s="1" t="str">
        <f ca="1">IFERROR(__xludf.DUMMYFUNCTION("""COMPUTED_VALUE"""),"F1176")</f>
        <v>F1176</v>
      </c>
      <c r="AK64" s="1" t="str">
        <f ca="1">IFERROR(__xludf.DUMMYFUNCTION("""COMPUTED_VALUE"""),"Marié(e)")</f>
        <v>Marié(e)</v>
      </c>
      <c r="AL64" s="1" t="str">
        <f ca="1">IFERROR(__xludf.DUMMYFUNCTION("""COMPUTED_VALUE"""),"Marié(e)")</f>
        <v>Marié(e)</v>
      </c>
      <c r="AM64" s="1" t="str">
        <f ca="1">IFERROR(__xludf.DUMMYFUNCTION("""COMPUTED_VALUE"""),"F1176")</f>
        <v>F1176</v>
      </c>
    </row>
    <row r="65" spans="1:39" ht="15.75" customHeight="1" x14ac:dyDescent="0.15">
      <c r="A65" s="1" t="str">
        <f ca="1">IFERROR(__xludf.DUMMYFUNCTION("""COMPUTED_VALUE"""),"BOUILLON STOJANOV Anastasia")</f>
        <v>BOUILLON STOJANOV Anastasia</v>
      </c>
      <c r="B65" s="1" t="str">
        <f ca="1">IFERROR(__xludf.DUMMYFUNCTION("""COMPUTED_VALUE"""),"BOUILLON STOJANOV")</f>
        <v>BOUILLON STOJANOV</v>
      </c>
      <c r="C65" s="1" t="str">
        <f ca="1">IFERROR(__xludf.DUMMYFUNCTION("""COMPUTED_VALUE"""),"Anastasia")</f>
        <v>Anastasia</v>
      </c>
      <c r="D65" s="1" t="str">
        <f ca="1">IFERROR(__xludf.DUMMYFUNCTION("""COMPUTED_VALUE"""),"1640E1")</f>
        <v>1640E1</v>
      </c>
      <c r="E65" s="2">
        <f ca="1">IFERROR(__xludf.DUMMYFUNCTION("""COMPUTED_VALUE"""),41841)</f>
        <v>41841</v>
      </c>
      <c r="F65" s="1" t="str">
        <f ca="1">IFERROR(__xludf.DUMMYFUNCTION("""COMPUTED_VALUE"""),"5EME1")</f>
        <v>5EME1</v>
      </c>
      <c r="G65" s="1" t="str">
        <f ca="1">IFERROR(__xludf.DUMMYFUNCTION("""COMPUTED_VALUE"""),"5ème")</f>
        <v>5ème</v>
      </c>
      <c r="H65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65" s="1" t="str">
        <f ca="1">IFERROR(__xludf.DUMMYFUNCTION("""COMPUTED_VALUE"""),"LVA Anglais")</f>
        <v>LVA Anglais</v>
      </c>
      <c r="J65" s="1" t="str">
        <f ca="1">IFERROR(__xludf.DUMMYFUNCTION("""COMPUTED_VALUE"""),"LVB Espagnol")</f>
        <v>LVB Espagnol</v>
      </c>
      <c r="K65" s="1"/>
      <c r="L65" s="1"/>
      <c r="M65" s="1"/>
      <c r="N65" s="1" t="str">
        <f ca="1">IFERROR(__xludf.DUMMYFUNCTION("""COMPUTED_VALUE"""),"Fille")</f>
        <v>Fille</v>
      </c>
      <c r="O65" s="1"/>
      <c r="P65" s="1" t="str">
        <f ca="1">IFERROR(__xludf.DUMMYFUNCTION("""COMPUTED_VALUE"""),"BELGIQUE")</f>
        <v>BELGIQUE</v>
      </c>
      <c r="Q65" s="1"/>
      <c r="R65" s="1" t="str">
        <f ca="1">IFERROR(__xludf.DUMMYFUNCTION("""COMPUTED_VALUE"""),"anastasia.bouillon@lfjpsaly.org")</f>
        <v>anastasia.bouillon@lfjpsaly.org</v>
      </c>
      <c r="S65" s="1"/>
      <c r="T65" s="1" t="str">
        <f ca="1">IFERROR(__xludf.DUMMYFUNCTION("""COMPUTED_VALUE"""),"STOJANOV Elena")</f>
        <v>STOJANOV Elena</v>
      </c>
      <c r="U65" s="1" t="str">
        <f ca="1">IFERROR(__xludf.DUMMYFUNCTION("""COMPUTED_VALUE"""),"BOUILLON Thierry")</f>
        <v>BOUILLON Thierry</v>
      </c>
      <c r="V65" s="1" t="str">
        <f ca="1">IFERROR(__xludf.DUMMYFUNCTION("""COMPUTED_VALUE"""),"elena.stojanov@hotmail.fr")</f>
        <v>elena.stojanov@hotmail.fr</v>
      </c>
      <c r="W65" s="1" t="str">
        <f ca="1">IFERROR(__xludf.DUMMYFUNCTION("""COMPUTED_VALUE"""),"thierry.bouillon@hotmail.com")</f>
        <v>thierry.bouillon@hotmail.com</v>
      </c>
      <c r="X65" s="1" t="str">
        <f ca="1">IFERROR(__xludf.DUMMYFUNCTION("""COMPUTED_VALUE"""),"+221 77 828 16 62")</f>
        <v>+221 77 828 16 62</v>
      </c>
      <c r="Y65" s="1" t="str">
        <f ca="1">IFERROR(__xludf.DUMMYFUNCTION("""COMPUTED_VALUE"""),"+221 77 828 16 62")</f>
        <v>+221 77 828 16 62</v>
      </c>
      <c r="Z65" s="1" t="str">
        <f ca="1">IFERROR(__xludf.DUMMYFUNCTION("""COMPUTED_VALUE"""),"+221 77 828 16 62")</f>
        <v>+221 77 828 16 62</v>
      </c>
      <c r="AA65" s="1" t="str">
        <f ca="1">IFERROR(__xludf.DUMMYFUNCTION("""COMPUTED_VALUE"""),"+221 77 828 16 62")</f>
        <v>+221 77 828 16 62</v>
      </c>
      <c r="AB65" s="2">
        <f ca="1">IFERROR(__xludf.DUMMYFUNCTION("""COMPUTED_VALUE"""),25097)</f>
        <v>25097</v>
      </c>
      <c r="AC65" s="2">
        <f ca="1">IFERROR(__xludf.DUMMYFUNCTION("""COMPUTED_VALUE"""),24154)</f>
        <v>24154</v>
      </c>
      <c r="AD65" s="1" t="str">
        <f ca="1">IFERROR(__xludf.DUMMYFUNCTION("""COMPUTED_VALUE"""),"MERE")</f>
        <v>MERE</v>
      </c>
      <c r="AE65" s="1" t="str">
        <f ca="1">IFERROR(__xludf.DUMMYFUNCTION("""COMPUTED_VALUE"""),"PERE")</f>
        <v>PERE</v>
      </c>
      <c r="AF65" s="1" t="str">
        <f ca="1">IFERROR(__xludf.DUMMYFUNCTION("""COMPUTED_VALUE"""),"BELGIQUE")</f>
        <v>BELGIQUE</v>
      </c>
      <c r="AG65" s="1" t="str">
        <f ca="1">IFERROR(__xludf.DUMMYFUNCTION("""COMPUTED_VALUE"""),"BELGIQUE")</f>
        <v>BELGIQUE</v>
      </c>
      <c r="AH65" s="1"/>
      <c r="AI65" s="1"/>
      <c r="AJ65" s="1" t="str">
        <f ca="1">IFERROR(__xludf.DUMMYFUNCTION("""COMPUTED_VALUE"""),"F1640")</f>
        <v>F1640</v>
      </c>
      <c r="AK65" s="1" t="str">
        <f ca="1">IFERROR(__xludf.DUMMYFUNCTION("""COMPUTED_VALUE"""),"Marié(e)")</f>
        <v>Marié(e)</v>
      </c>
      <c r="AL65" s="1" t="str">
        <f ca="1">IFERROR(__xludf.DUMMYFUNCTION("""COMPUTED_VALUE"""),"Marié(e)")</f>
        <v>Marié(e)</v>
      </c>
      <c r="AM65" s="1" t="str">
        <f ca="1">IFERROR(__xludf.DUMMYFUNCTION("""COMPUTED_VALUE"""),"F1640")</f>
        <v>F1640</v>
      </c>
    </row>
    <row r="66" spans="1:39" ht="15.75" customHeight="1" x14ac:dyDescent="0.15">
      <c r="A66" s="1" t="str">
        <f ca="1">IFERROR(__xludf.DUMMYFUNCTION("""COMPUTED_VALUE"""),"BOULINGUEZ Marie-Françoise")</f>
        <v>BOULINGUEZ Marie-Françoise</v>
      </c>
      <c r="B66" s="1" t="str">
        <f ca="1">IFERROR(__xludf.DUMMYFUNCTION("""COMPUTED_VALUE"""),"BOULINGUEZ")</f>
        <v>BOULINGUEZ</v>
      </c>
      <c r="C66" s="1" t="str">
        <f ca="1">IFERROR(__xludf.DUMMYFUNCTION("""COMPUTED_VALUE"""),"Marie-Françoise")</f>
        <v>Marie-Françoise</v>
      </c>
      <c r="D66" s="1" t="str">
        <f ca="1">IFERROR(__xludf.DUMMYFUNCTION("""COMPUTED_VALUE"""),"1178E1")</f>
        <v>1178E1</v>
      </c>
      <c r="E66" s="2">
        <f ca="1">IFERROR(__xludf.DUMMYFUNCTION("""COMPUTED_VALUE"""),43383)</f>
        <v>43383</v>
      </c>
      <c r="F66" s="1" t="str">
        <f ca="1">IFERROR(__xludf.DUMMYFUNCTION("""COMPUTED_VALUE"""),"CE1A")</f>
        <v>CE1A</v>
      </c>
      <c r="G66" s="1" t="str">
        <f ca="1">IFERROR(__xludf.DUMMYFUNCTION("""COMPUTED_VALUE"""),"CE1")</f>
        <v>CE1</v>
      </c>
      <c r="H66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66" s="1"/>
      <c r="J66" s="1"/>
      <c r="K66" s="1"/>
      <c r="L66" s="1"/>
      <c r="M66" s="1"/>
      <c r="N66" s="1" t="str">
        <f ca="1">IFERROR(__xludf.DUMMYFUNCTION("""COMPUTED_VALUE"""),"Fille")</f>
        <v>Fille</v>
      </c>
      <c r="O66" s="1"/>
      <c r="P66" s="1" t="str">
        <f ca="1">IFERROR(__xludf.DUMMYFUNCTION("""COMPUTED_VALUE"""),"FRANCE")</f>
        <v>FRANCE</v>
      </c>
      <c r="Q66" s="1"/>
      <c r="R66" s="1"/>
      <c r="S66" s="1" t="str">
        <f ca="1">IFERROR(__xludf.DUMMYFUNCTION("""COMPUTED_VALUE"""),"+221")</f>
        <v>+221</v>
      </c>
      <c r="T66" s="1" t="str">
        <f ca="1">IFERROR(__xludf.DUMMYFUNCTION("""COMPUTED_VALUE"""),"BOULINGUEZ Francois")</f>
        <v>BOULINGUEZ Francois</v>
      </c>
      <c r="U66" s="1" t="str">
        <f ca="1">IFERROR(__xludf.DUMMYFUNCTION("""COMPUTED_VALUE"""),"BOULINGUEZ Marie Christine")</f>
        <v>BOULINGUEZ Marie Christine</v>
      </c>
      <c r="V66" s="1" t="str">
        <f ca="1">IFERROR(__xludf.DUMMYFUNCTION("""COMPUTED_VALUE"""),"fb.md.france@gmail.com")</f>
        <v>fb.md.france@gmail.com</v>
      </c>
      <c r="W66" s="1" t="str">
        <f ca="1">IFERROR(__xludf.DUMMYFUNCTION("""COMPUTED_VALUE"""),"sarrchristelle5@gmail.com")</f>
        <v>sarrchristelle5@gmail.com</v>
      </c>
      <c r="X66" s="1" t="str">
        <f ca="1">IFERROR(__xludf.DUMMYFUNCTION("""COMPUTED_VALUE"""),"+221 77 626 35 83")</f>
        <v>+221 77 626 35 83</v>
      </c>
      <c r="Y66" s="1" t="str">
        <f ca="1">IFERROR(__xludf.DUMMYFUNCTION("""COMPUTED_VALUE"""),"77 486 82 30")</f>
        <v>77 486 82 30</v>
      </c>
      <c r="Z66" s="1" t="str">
        <f ca="1">IFERROR(__xludf.DUMMYFUNCTION("""COMPUTED_VALUE"""),"+221")</f>
        <v>+221</v>
      </c>
      <c r="AA66" s="1"/>
      <c r="AB66" s="2">
        <f ca="1">IFERROR(__xludf.DUMMYFUNCTION("""COMPUTED_VALUE"""),17724)</f>
        <v>17724</v>
      </c>
      <c r="AC66" s="2">
        <f ca="1">IFERROR(__xludf.DUMMYFUNCTION("""COMPUTED_VALUE"""),34329)</f>
        <v>34329</v>
      </c>
      <c r="AD66" s="1" t="str">
        <f ca="1">IFERROR(__xludf.DUMMYFUNCTION("""COMPUTED_VALUE"""),"PERE")</f>
        <v>PERE</v>
      </c>
      <c r="AE66" s="1" t="str">
        <f ca="1">IFERROR(__xludf.DUMMYFUNCTION("""COMPUTED_VALUE"""),"MERE")</f>
        <v>MERE</v>
      </c>
      <c r="AF66" s="1" t="str">
        <f ca="1">IFERROR(__xludf.DUMMYFUNCTION("""COMPUTED_VALUE"""),"FRANCE")</f>
        <v>FRANCE</v>
      </c>
      <c r="AG66" s="1" t="str">
        <f ca="1">IFERROR(__xludf.DUMMYFUNCTION("""COMPUTED_VALUE"""),"SENEGAL")</f>
        <v>SENEGAL</v>
      </c>
      <c r="AH66" s="1"/>
      <c r="AI66" s="1"/>
      <c r="AJ66" s="1" t="str">
        <f ca="1">IFERROR(__xludf.DUMMYFUNCTION("""COMPUTED_VALUE"""),"F1178")</f>
        <v>F1178</v>
      </c>
      <c r="AK66" s="1" t="str">
        <f ca="1">IFERROR(__xludf.DUMMYFUNCTION("""COMPUTED_VALUE"""),"Marié(e)")</f>
        <v>Marié(e)</v>
      </c>
      <c r="AL66" s="1" t="str">
        <f ca="1">IFERROR(__xludf.DUMMYFUNCTION("""COMPUTED_VALUE"""),"Marié(e)")</f>
        <v>Marié(e)</v>
      </c>
      <c r="AM66" s="1" t="str">
        <f ca="1">IFERROR(__xludf.DUMMYFUNCTION("""COMPUTED_VALUE"""),"F1178")</f>
        <v>F1178</v>
      </c>
    </row>
    <row r="67" spans="1:39" ht="15.75" customHeight="1" x14ac:dyDescent="0.15">
      <c r="A67" s="1" t="str">
        <f ca="1">IFERROR(__xludf.DUMMYFUNCTION("""COMPUTED_VALUE"""),"BOUSSO Coumba")</f>
        <v>BOUSSO Coumba</v>
      </c>
      <c r="B67" s="1" t="str">
        <f ca="1">IFERROR(__xludf.DUMMYFUNCTION("""COMPUTED_VALUE"""),"BOUSSO")</f>
        <v>BOUSSO</v>
      </c>
      <c r="C67" s="1" t="str">
        <f ca="1">IFERROR(__xludf.DUMMYFUNCTION("""COMPUTED_VALUE"""),"Coumba")</f>
        <v>Coumba</v>
      </c>
      <c r="D67" s="1" t="str">
        <f ca="1">IFERROR(__xludf.DUMMYFUNCTION("""COMPUTED_VALUE"""),"11652S2245")</f>
        <v>11652S2245</v>
      </c>
      <c r="E67" s="2">
        <f ca="1">IFERROR(__xludf.DUMMYFUNCTION("""COMPUTED_VALUE"""),40416)</f>
        <v>40416</v>
      </c>
      <c r="F67" s="1" t="str">
        <f ca="1">IFERROR(__xludf.DUMMYFUNCTION("""COMPUTED_VALUE"""),"1ERE1")</f>
        <v>1ERE1</v>
      </c>
      <c r="G67" s="1" t="str">
        <f ca="1">IFERROR(__xludf.DUMMYFUNCTION("""COMPUTED_VALUE"""),"1ère")</f>
        <v>1ère</v>
      </c>
      <c r="H67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67" s="1" t="str">
        <f ca="1">IFERROR(__xludf.DUMMYFUNCTION("""COMPUTED_VALUE"""),"LVA Anglais")</f>
        <v>LVA Anglais</v>
      </c>
      <c r="J67" s="1" t="str">
        <f ca="1">IFERROR(__xludf.DUMMYFUNCTION("""COMPUTED_VALUE"""),"LVB Espagnol")</f>
        <v>LVB Espagnol</v>
      </c>
      <c r="K67" s="1"/>
      <c r="L67" s="1"/>
      <c r="M67" s="1" t="str">
        <f ca="1">IFERROR(__xludf.DUMMYFUNCTION("""COMPUTED_VALUE"""),"SPE HGGSP, SPE MATHS, SPE SES")</f>
        <v>SPE HGGSP, SPE MATHS, SPE SES</v>
      </c>
      <c r="N67" s="1" t="str">
        <f ca="1">IFERROR(__xludf.DUMMYFUNCTION("""COMPUTED_VALUE"""),"Fille")</f>
        <v>Fille</v>
      </c>
      <c r="O67" s="1"/>
      <c r="P67" s="1" t="str">
        <f ca="1">IFERROR(__xludf.DUMMYFUNCTION("""COMPUTED_VALUE"""),"FRANCE")</f>
        <v>FRANCE</v>
      </c>
      <c r="Q67" s="1" t="str">
        <f ca="1">IFERROR(__xludf.DUMMYFUNCTION("""COMPUTED_VALUE"""),"SENEGAL")</f>
        <v>SENEGAL</v>
      </c>
      <c r="R67" s="1" t="str">
        <f ca="1">IFERROR(__xludf.DUMMYFUNCTION("""COMPUTED_VALUE"""),"coumba.bousso@lfjpsaly.org")</f>
        <v>coumba.bousso@lfjpsaly.org</v>
      </c>
      <c r="S67" s="1" t="str">
        <f ca="1">IFERROR(__xludf.DUMMYFUNCTION("""COMPUTED_VALUE"""),"+221+221 78 751 83 73")</f>
        <v>+221+221 78 751 83 73</v>
      </c>
      <c r="T67" s="1" t="str">
        <f ca="1">IFERROR(__xludf.DUMMYFUNCTION("""COMPUTED_VALUE"""),"BOUSSO Sountou")</f>
        <v>BOUSSO Sountou</v>
      </c>
      <c r="U67" s="1" t="str">
        <f ca="1">IFERROR(__xludf.DUMMYFUNCTION("""COMPUTED_VALUE"""),"BOUSSO Gaëlle")</f>
        <v>BOUSSO Gaëlle</v>
      </c>
      <c r="V67" s="1" t="str">
        <f ca="1">IFERROR(__xludf.DUMMYFUNCTION("""COMPUTED_VALUE"""),"sountou@icloud.com")</f>
        <v>sountou@icloud.com</v>
      </c>
      <c r="W67" s="1" t="str">
        <f ca="1">IFERROR(__xludf.DUMMYFUNCTION("""COMPUTED_VALUE"""),"fayegaelle@yahoo.fr")</f>
        <v>fayegaelle@yahoo.fr</v>
      </c>
      <c r="X67" s="1" t="str">
        <f ca="1">IFERROR(__xludf.DUMMYFUNCTION("""COMPUTED_VALUE"""),"+221 77 149 84 58")</f>
        <v>+221 77 149 84 58</v>
      </c>
      <c r="Y67" s="1" t="str">
        <f ca="1">IFERROR(__xludf.DUMMYFUNCTION("""COMPUTED_VALUE"""),"+221 78 751 33 30")</f>
        <v>+221 78 751 33 30</v>
      </c>
      <c r="Z67" s="1" t="str">
        <f ca="1">IFERROR(__xludf.DUMMYFUNCTION("""COMPUTED_VALUE"""),"+221 77 149 84 58")</f>
        <v>+221 77 149 84 58</v>
      </c>
      <c r="AA67" s="1" t="str">
        <f ca="1">IFERROR(__xludf.DUMMYFUNCTION("""COMPUTED_VALUE"""),"+221 78 751 33 30")</f>
        <v>+221 78 751 33 30</v>
      </c>
      <c r="AB67" s="2">
        <f ca="1">IFERROR(__xludf.DUMMYFUNCTION("""COMPUTED_VALUE"""),29201)</f>
        <v>29201</v>
      </c>
      <c r="AC67" s="2">
        <f ca="1">IFERROR(__xludf.DUMMYFUNCTION("""COMPUTED_VALUE"""),28378)</f>
        <v>28378</v>
      </c>
      <c r="AD67" s="1" t="str">
        <f ca="1">IFERROR(__xludf.DUMMYFUNCTION("""COMPUTED_VALUE"""),"PERE")</f>
        <v>PERE</v>
      </c>
      <c r="AE67" s="1" t="str">
        <f ca="1">IFERROR(__xludf.DUMMYFUNCTION("""COMPUTED_VALUE"""),"MERE")</f>
        <v>MERE</v>
      </c>
      <c r="AF67" s="1" t="str">
        <f ca="1">IFERROR(__xludf.DUMMYFUNCTION("""COMPUTED_VALUE"""),"SENEGAL")</f>
        <v>SENEGAL</v>
      </c>
      <c r="AG67" s="1" t="str">
        <f ca="1">IFERROR(__xludf.DUMMYFUNCTION("""COMPUTED_VALUE"""),"FRANCE")</f>
        <v>FRANCE</v>
      </c>
      <c r="AH67" s="1" t="str">
        <f ca="1">IFERROR(__xludf.DUMMYFUNCTION("""COMPUTED_VALUE"""),"FRANCE")</f>
        <v>FRANCE</v>
      </c>
      <c r="AI67" s="1" t="str">
        <f ca="1">IFERROR(__xludf.DUMMYFUNCTION("""COMPUTED_VALUE"""),"SENEGAL")</f>
        <v>SENEGAL</v>
      </c>
      <c r="AJ67" s="1" t="str">
        <f ca="1">IFERROR(__xludf.DUMMYFUNCTION("""COMPUTED_VALUE"""),"U11652")</f>
        <v>U11652</v>
      </c>
      <c r="AK67" s="1" t="str">
        <f ca="1">IFERROR(__xludf.DUMMYFUNCTION("""COMPUTED_VALUE"""),"Marié(e)")</f>
        <v>Marié(e)</v>
      </c>
      <c r="AL67" s="1" t="str">
        <f ca="1">IFERROR(__xludf.DUMMYFUNCTION("""COMPUTED_VALUE"""),"Marié(e)")</f>
        <v>Marié(e)</v>
      </c>
      <c r="AM67" s="1" t="str">
        <f ca="1">IFERROR(__xludf.DUMMYFUNCTION("""COMPUTED_VALUE"""),"U11652")</f>
        <v>U11652</v>
      </c>
    </row>
    <row r="68" spans="1:39" ht="15.75" customHeight="1" x14ac:dyDescent="0.15">
      <c r="A68" s="1" t="str">
        <f ca="1">IFERROR(__xludf.DUMMYFUNCTION("""COMPUTED_VALUE"""),"BOUSSO Diarietou")</f>
        <v>BOUSSO Diarietou</v>
      </c>
      <c r="B68" s="1" t="str">
        <f ca="1">IFERROR(__xludf.DUMMYFUNCTION("""COMPUTED_VALUE"""),"BOUSSO")</f>
        <v>BOUSSO</v>
      </c>
      <c r="C68" s="1" t="str">
        <f ca="1">IFERROR(__xludf.DUMMYFUNCTION("""COMPUTED_VALUE"""),"Diarietou")</f>
        <v>Diarietou</v>
      </c>
      <c r="D68" s="1" t="str">
        <f ca="1">IFERROR(__xludf.DUMMYFUNCTION("""COMPUTED_VALUE"""),"11652S2244")</f>
        <v>11652S2244</v>
      </c>
      <c r="E68" s="2">
        <f ca="1">IFERROR(__xludf.DUMMYFUNCTION("""COMPUTED_VALUE"""),42706)</f>
        <v>42706</v>
      </c>
      <c r="F68" s="1" t="str">
        <f ca="1">IFERROR(__xludf.DUMMYFUNCTION("""COMPUTED_VALUE"""),"CM1B")</f>
        <v>CM1B</v>
      </c>
      <c r="G68" s="1" t="str">
        <f ca="1">IFERROR(__xludf.DUMMYFUNCTION("""COMPUTED_VALUE"""),"CM1")</f>
        <v>CM1</v>
      </c>
      <c r="H68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68" s="1"/>
      <c r="J68" s="1"/>
      <c r="K68" s="1"/>
      <c r="L68" s="1"/>
      <c r="M68" s="1"/>
      <c r="N68" s="1" t="str">
        <f ca="1">IFERROR(__xludf.DUMMYFUNCTION("""COMPUTED_VALUE"""),"Fille")</f>
        <v>Fille</v>
      </c>
      <c r="O68" s="1"/>
      <c r="P68" s="1" t="str">
        <f ca="1">IFERROR(__xludf.DUMMYFUNCTION("""COMPUTED_VALUE"""),"FRANCE")</f>
        <v>FRANCE</v>
      </c>
      <c r="Q68" s="1" t="str">
        <f ca="1">IFERROR(__xludf.DUMMYFUNCTION("""COMPUTED_VALUE"""),"SENEGAL")</f>
        <v>SENEGAL</v>
      </c>
      <c r="R68" s="1"/>
      <c r="S68" s="1" t="str">
        <f ca="1">IFERROR(__xludf.DUMMYFUNCTION("""COMPUTED_VALUE"""),"+221")</f>
        <v>+221</v>
      </c>
      <c r="T68" s="1" t="str">
        <f ca="1">IFERROR(__xludf.DUMMYFUNCTION("""COMPUTED_VALUE"""),"BOUSSO Gaëlle")</f>
        <v>BOUSSO Gaëlle</v>
      </c>
      <c r="U68" s="1" t="str">
        <f ca="1">IFERROR(__xludf.DUMMYFUNCTION("""COMPUTED_VALUE"""),"BOUSSO Sountou")</f>
        <v>BOUSSO Sountou</v>
      </c>
      <c r="V68" s="1" t="str">
        <f ca="1">IFERROR(__xludf.DUMMYFUNCTION("""COMPUTED_VALUE"""),"fayegaelle@yahoo.fr")</f>
        <v>fayegaelle@yahoo.fr</v>
      </c>
      <c r="W68" s="1" t="str">
        <f ca="1">IFERROR(__xludf.DUMMYFUNCTION("""COMPUTED_VALUE"""),"sountou@icloud.com")</f>
        <v>sountou@icloud.com</v>
      </c>
      <c r="X68" s="1" t="str">
        <f ca="1">IFERROR(__xludf.DUMMYFUNCTION("""COMPUTED_VALUE"""),"+221 78 751 33 30")</f>
        <v>+221 78 751 33 30</v>
      </c>
      <c r="Y68" s="1" t="str">
        <f ca="1">IFERROR(__xludf.DUMMYFUNCTION("""COMPUTED_VALUE"""),"+221 77 149 84 58")</f>
        <v>+221 77 149 84 58</v>
      </c>
      <c r="Z68" s="1" t="str">
        <f ca="1">IFERROR(__xludf.DUMMYFUNCTION("""COMPUTED_VALUE"""),"+221 78 751 33 30")</f>
        <v>+221 78 751 33 30</v>
      </c>
      <c r="AA68" s="1" t="str">
        <f ca="1">IFERROR(__xludf.DUMMYFUNCTION("""COMPUTED_VALUE"""),"+221 77 149 84 58")</f>
        <v>+221 77 149 84 58</v>
      </c>
      <c r="AB68" s="2">
        <f ca="1">IFERROR(__xludf.DUMMYFUNCTION("""COMPUTED_VALUE"""),28378)</f>
        <v>28378</v>
      </c>
      <c r="AC68" s="2">
        <f ca="1">IFERROR(__xludf.DUMMYFUNCTION("""COMPUTED_VALUE"""),29201)</f>
        <v>29201</v>
      </c>
      <c r="AD68" s="1" t="str">
        <f ca="1">IFERROR(__xludf.DUMMYFUNCTION("""COMPUTED_VALUE"""),"MERE")</f>
        <v>MERE</v>
      </c>
      <c r="AE68" s="1" t="str">
        <f ca="1">IFERROR(__xludf.DUMMYFUNCTION("""COMPUTED_VALUE"""),"PERE")</f>
        <v>PERE</v>
      </c>
      <c r="AF68" s="1" t="str">
        <f ca="1">IFERROR(__xludf.DUMMYFUNCTION("""COMPUTED_VALUE"""),"FRANCE")</f>
        <v>FRANCE</v>
      </c>
      <c r="AG68" s="1" t="str">
        <f ca="1">IFERROR(__xludf.DUMMYFUNCTION("""COMPUTED_VALUE"""),"SENEGAL")</f>
        <v>SENEGAL</v>
      </c>
      <c r="AH68" s="1" t="str">
        <f ca="1">IFERROR(__xludf.DUMMYFUNCTION("""COMPUTED_VALUE"""),"SENEGAL")</f>
        <v>SENEGAL</v>
      </c>
      <c r="AI68" s="1" t="str">
        <f ca="1">IFERROR(__xludf.DUMMYFUNCTION("""COMPUTED_VALUE"""),"FRANCE")</f>
        <v>FRANCE</v>
      </c>
      <c r="AJ68" s="1" t="str">
        <f ca="1">IFERROR(__xludf.DUMMYFUNCTION("""COMPUTED_VALUE"""),"U11652")</f>
        <v>U11652</v>
      </c>
      <c r="AK68" s="1" t="str">
        <f ca="1">IFERROR(__xludf.DUMMYFUNCTION("""COMPUTED_VALUE"""),"Marié(e)")</f>
        <v>Marié(e)</v>
      </c>
      <c r="AL68" s="1" t="str">
        <f ca="1">IFERROR(__xludf.DUMMYFUNCTION("""COMPUTED_VALUE"""),"Marié(e)")</f>
        <v>Marié(e)</v>
      </c>
      <c r="AM68" s="1" t="str">
        <f ca="1">IFERROR(__xludf.DUMMYFUNCTION("""COMPUTED_VALUE"""),"U11652")</f>
        <v>U11652</v>
      </c>
    </row>
    <row r="69" spans="1:39" ht="15.75" customHeight="1" x14ac:dyDescent="0.15">
      <c r="A69" s="1" t="str">
        <f ca="1">IFERROR(__xludf.DUMMYFUNCTION("""COMPUTED_VALUE"""),"BOUSSO Sarah")</f>
        <v>BOUSSO Sarah</v>
      </c>
      <c r="B69" s="1" t="str">
        <f ca="1">IFERROR(__xludf.DUMMYFUNCTION("""COMPUTED_VALUE"""),"BOUSSO")</f>
        <v>BOUSSO</v>
      </c>
      <c r="C69" s="1" t="str">
        <f ca="1">IFERROR(__xludf.DUMMYFUNCTION("""COMPUTED_VALUE"""),"Sarah")</f>
        <v>Sarah</v>
      </c>
      <c r="D69" s="1" t="str">
        <f ca="1">IFERROR(__xludf.DUMMYFUNCTION("""COMPUTED_VALUE"""),"11652S2210")</f>
        <v>11652S2210</v>
      </c>
      <c r="E69" s="2">
        <f ca="1">IFERROR(__xludf.DUMMYFUNCTION("""COMPUTED_VALUE"""),42155)</f>
        <v>42155</v>
      </c>
      <c r="F69" s="1" t="str">
        <f ca="1">IFERROR(__xludf.DUMMYFUNCTION("""COMPUTED_VALUE"""),"6EME2")</f>
        <v>6EME2</v>
      </c>
      <c r="G69" s="1" t="str">
        <f ca="1">IFERROR(__xludf.DUMMYFUNCTION("""COMPUTED_VALUE"""),"6ème")</f>
        <v>6ème</v>
      </c>
      <c r="H69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69" s="1" t="str">
        <f ca="1">IFERROR(__xludf.DUMMYFUNCTION("""COMPUTED_VALUE"""),"LVA Anglais")</f>
        <v>LVA Anglais</v>
      </c>
      <c r="J69" s="1" t="str">
        <f ca="1">IFERROR(__xludf.DUMMYFUNCTION("""COMPUTED_VALUE"""),"LVB Espagnol")</f>
        <v>LVB Espagnol</v>
      </c>
      <c r="K69" s="1"/>
      <c r="L69" s="1"/>
      <c r="M69" s="1"/>
      <c r="N69" s="1" t="str">
        <f ca="1">IFERROR(__xludf.DUMMYFUNCTION("""COMPUTED_VALUE"""),"Fille")</f>
        <v>Fille</v>
      </c>
      <c r="O69" s="1"/>
      <c r="P69" s="1" t="str">
        <f ca="1">IFERROR(__xludf.DUMMYFUNCTION("""COMPUTED_VALUE"""),"FRANCE")</f>
        <v>FRANCE</v>
      </c>
      <c r="Q69" s="1" t="str">
        <f ca="1">IFERROR(__xludf.DUMMYFUNCTION("""COMPUTED_VALUE"""),"SENEGAL")</f>
        <v>SENEGAL</v>
      </c>
      <c r="R69" s="1" t="str">
        <f ca="1">IFERROR(__xludf.DUMMYFUNCTION("""COMPUTED_VALUE"""),"sarah.bousso@lfjpsaly.org")</f>
        <v>sarah.bousso@lfjpsaly.org</v>
      </c>
      <c r="S69" s="1" t="str">
        <f ca="1">IFERROR(__xludf.DUMMYFUNCTION("""COMPUTED_VALUE"""),"+221 77 149 84 58")</f>
        <v>+221 77 149 84 58</v>
      </c>
      <c r="T69" s="1" t="str">
        <f ca="1">IFERROR(__xludf.DUMMYFUNCTION("""COMPUTED_VALUE"""),"BOUSSO Gaëlle")</f>
        <v>BOUSSO Gaëlle</v>
      </c>
      <c r="U69" s="1" t="str">
        <f ca="1">IFERROR(__xludf.DUMMYFUNCTION("""COMPUTED_VALUE"""),"BOUSSO Sountou")</f>
        <v>BOUSSO Sountou</v>
      </c>
      <c r="V69" s="1" t="str">
        <f ca="1">IFERROR(__xludf.DUMMYFUNCTION("""COMPUTED_VALUE"""),"fayegaelle@yahoo.fr")</f>
        <v>fayegaelle@yahoo.fr</v>
      </c>
      <c r="W69" s="1" t="str">
        <f ca="1">IFERROR(__xludf.DUMMYFUNCTION("""COMPUTED_VALUE"""),"sountou@icloud.com")</f>
        <v>sountou@icloud.com</v>
      </c>
      <c r="X69" s="1" t="str">
        <f ca="1">IFERROR(__xludf.DUMMYFUNCTION("""COMPUTED_VALUE"""),"+221 78 751 33 30")</f>
        <v>+221 78 751 33 30</v>
      </c>
      <c r="Y69" s="1" t="str">
        <f ca="1">IFERROR(__xludf.DUMMYFUNCTION("""COMPUTED_VALUE"""),"+221 77 149 84 58")</f>
        <v>+221 77 149 84 58</v>
      </c>
      <c r="Z69" s="1" t="str">
        <f ca="1">IFERROR(__xludf.DUMMYFUNCTION("""COMPUTED_VALUE"""),"+221 78 751 33 30")</f>
        <v>+221 78 751 33 30</v>
      </c>
      <c r="AA69" s="1" t="str">
        <f ca="1">IFERROR(__xludf.DUMMYFUNCTION("""COMPUTED_VALUE"""),"+221 77 149 84 58")</f>
        <v>+221 77 149 84 58</v>
      </c>
      <c r="AB69" s="2">
        <f ca="1">IFERROR(__xludf.DUMMYFUNCTION("""COMPUTED_VALUE"""),28378)</f>
        <v>28378</v>
      </c>
      <c r="AC69" s="2">
        <f ca="1">IFERROR(__xludf.DUMMYFUNCTION("""COMPUTED_VALUE"""),29201)</f>
        <v>29201</v>
      </c>
      <c r="AD69" s="1" t="str">
        <f ca="1">IFERROR(__xludf.DUMMYFUNCTION("""COMPUTED_VALUE"""),"MERE")</f>
        <v>MERE</v>
      </c>
      <c r="AE69" s="1" t="str">
        <f ca="1">IFERROR(__xludf.DUMMYFUNCTION("""COMPUTED_VALUE"""),"PERE")</f>
        <v>PERE</v>
      </c>
      <c r="AF69" s="1" t="str">
        <f ca="1">IFERROR(__xludf.DUMMYFUNCTION("""COMPUTED_VALUE"""),"FRANCE")</f>
        <v>FRANCE</v>
      </c>
      <c r="AG69" s="1" t="str">
        <f ca="1">IFERROR(__xludf.DUMMYFUNCTION("""COMPUTED_VALUE"""),"SENEGAL")</f>
        <v>SENEGAL</v>
      </c>
      <c r="AH69" s="1" t="str">
        <f ca="1">IFERROR(__xludf.DUMMYFUNCTION("""COMPUTED_VALUE"""),"SENEGAL")</f>
        <v>SENEGAL</v>
      </c>
      <c r="AI69" s="1" t="str">
        <f ca="1">IFERROR(__xludf.DUMMYFUNCTION("""COMPUTED_VALUE"""),"FRANCE")</f>
        <v>FRANCE</v>
      </c>
      <c r="AJ69" s="1" t="str">
        <f ca="1">IFERROR(__xludf.DUMMYFUNCTION("""COMPUTED_VALUE"""),"U11652")</f>
        <v>U11652</v>
      </c>
      <c r="AK69" s="1" t="str">
        <f ca="1">IFERROR(__xludf.DUMMYFUNCTION("""COMPUTED_VALUE"""),"Marié(e)")</f>
        <v>Marié(e)</v>
      </c>
      <c r="AL69" s="1" t="str">
        <f ca="1">IFERROR(__xludf.DUMMYFUNCTION("""COMPUTED_VALUE"""),"Marié(e)")</f>
        <v>Marié(e)</v>
      </c>
      <c r="AM69" s="1" t="str">
        <f ca="1">IFERROR(__xludf.DUMMYFUNCTION("""COMPUTED_VALUE"""),"U11652")</f>
        <v>U11652</v>
      </c>
    </row>
    <row r="70" spans="1:39" ht="15.75" customHeight="1" x14ac:dyDescent="0.15">
      <c r="A70" s="1" t="str">
        <f ca="1">IFERROR(__xludf.DUMMYFUNCTION("""COMPUTED_VALUE"""),"BOUT Lucie Mame Diarra")</f>
        <v>BOUT Lucie Mame Diarra</v>
      </c>
      <c r="B70" s="1" t="str">
        <f ca="1">IFERROR(__xludf.DUMMYFUNCTION("""COMPUTED_VALUE"""),"BOUT")</f>
        <v>BOUT</v>
      </c>
      <c r="C70" s="1" t="str">
        <f ca="1">IFERROR(__xludf.DUMMYFUNCTION("""COMPUTED_VALUE"""),"Lucie Mame Diarra")</f>
        <v>Lucie Mame Diarra</v>
      </c>
      <c r="D70" s="1" t="str">
        <f ca="1">IFERROR(__xludf.DUMMYFUNCTION("""COMPUTED_VALUE"""),"1181E1")</f>
        <v>1181E1</v>
      </c>
      <c r="E70" s="2">
        <f ca="1">IFERROR(__xludf.DUMMYFUNCTION("""COMPUTED_VALUE"""),44274)</f>
        <v>44274</v>
      </c>
      <c r="F70" s="1" t="str">
        <f ca="1">IFERROR(__xludf.DUMMYFUNCTION("""COMPUTED_VALUE"""),"Mat 2")</f>
        <v>Mat 2</v>
      </c>
      <c r="G70" s="1" t="str">
        <f ca="1">IFERROR(__xludf.DUMMYFUNCTION("""COMPUTED_VALUE"""),"MS")</f>
        <v>MS</v>
      </c>
      <c r="H70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70" s="1"/>
      <c r="J70" s="1"/>
      <c r="K70" s="1"/>
      <c r="L70" s="1"/>
      <c r="M70" s="1"/>
      <c r="N70" s="1" t="str">
        <f ca="1">IFERROR(__xludf.DUMMYFUNCTION("""COMPUTED_VALUE"""),"Fille")</f>
        <v>Fille</v>
      </c>
      <c r="O70" s="1"/>
      <c r="P70" s="1" t="str">
        <f ca="1">IFERROR(__xludf.DUMMYFUNCTION("""COMPUTED_VALUE"""),"FRANCE")</f>
        <v>FRANCE</v>
      </c>
      <c r="Q70" s="1" t="str">
        <f ca="1">IFERROR(__xludf.DUMMYFUNCTION("""COMPUTED_VALUE"""),"SENEGAL")</f>
        <v>SENEGAL</v>
      </c>
      <c r="R70" s="1"/>
      <c r="S70" s="1"/>
      <c r="T70" s="1" t="str">
        <f ca="1">IFERROR(__xludf.DUMMYFUNCTION("""COMPUTED_VALUE"""),"KA Mboyo Aly")</f>
        <v>KA Mboyo Aly</v>
      </c>
      <c r="U70" s="1" t="str">
        <f ca="1">IFERROR(__xludf.DUMMYFUNCTION("""COMPUTED_VALUE"""),"BOUT Sylvain")</f>
        <v>BOUT Sylvain</v>
      </c>
      <c r="V70" s="1" t="str">
        <f ca="1">IFERROR(__xludf.DUMMYFUNCTION("""COMPUTED_VALUE"""),"bout.mboya@gmail.com")</f>
        <v>bout.mboya@gmail.com</v>
      </c>
      <c r="W70" s="1" t="str">
        <f ca="1">IFERROR(__xludf.DUMMYFUNCTION("""COMPUTED_VALUE"""),"bout.sylvain@gmail.com")</f>
        <v>bout.sylvain@gmail.com</v>
      </c>
      <c r="X70" s="1" t="str">
        <f ca="1">IFERROR(__xludf.DUMMYFUNCTION("""COMPUTED_VALUE"""),"+221 77 207 24 23")</f>
        <v>+221 77 207 24 23</v>
      </c>
      <c r="Y70" s="1" t="str">
        <f ca="1">IFERROR(__xludf.DUMMYFUNCTION("""COMPUTED_VALUE"""),"778009658")</f>
        <v>778009658</v>
      </c>
      <c r="Z70" s="1" t="str">
        <f ca="1">IFERROR(__xludf.DUMMYFUNCTION("""COMPUTED_VALUE"""),"+221")</f>
        <v>+221</v>
      </c>
      <c r="AA70" s="1"/>
      <c r="AB70" s="2">
        <f ca="1">IFERROR(__xludf.DUMMYFUNCTION("""COMPUTED_VALUE"""),31149)</f>
        <v>31149</v>
      </c>
      <c r="AC70" s="2">
        <f ca="1">IFERROR(__xludf.DUMMYFUNCTION("""COMPUTED_VALUE"""),26528)</f>
        <v>26528</v>
      </c>
      <c r="AD70" s="1" t="str">
        <f ca="1">IFERROR(__xludf.DUMMYFUNCTION("""COMPUTED_VALUE"""),"MERE")</f>
        <v>MERE</v>
      </c>
      <c r="AE70" s="1" t="str">
        <f ca="1">IFERROR(__xludf.DUMMYFUNCTION("""COMPUTED_VALUE"""),"PERE")</f>
        <v>PERE</v>
      </c>
      <c r="AF70" s="1" t="str">
        <f ca="1">IFERROR(__xludf.DUMMYFUNCTION("""COMPUTED_VALUE"""),"SENEGAL")</f>
        <v>SENEGAL</v>
      </c>
      <c r="AG70" s="1" t="str">
        <f ca="1">IFERROR(__xludf.DUMMYFUNCTION("""COMPUTED_VALUE"""),"FRANCE")</f>
        <v>FRANCE</v>
      </c>
      <c r="AH70" s="1"/>
      <c r="AI70" s="1"/>
      <c r="AJ70" s="1" t="str">
        <f ca="1">IFERROR(__xludf.DUMMYFUNCTION("""COMPUTED_VALUE"""),"F1181")</f>
        <v>F1181</v>
      </c>
      <c r="AK70" s="1" t="str">
        <f ca="1">IFERROR(__xludf.DUMMYFUNCTION("""COMPUTED_VALUE"""),"Marié(e)")</f>
        <v>Marié(e)</v>
      </c>
      <c r="AL70" s="1" t="str">
        <f ca="1">IFERROR(__xludf.DUMMYFUNCTION("""COMPUTED_VALUE"""),"Marié(e)")</f>
        <v>Marié(e)</v>
      </c>
      <c r="AM70" s="1" t="str">
        <f ca="1">IFERROR(__xludf.DUMMYFUNCTION("""COMPUTED_VALUE"""),"F1181")</f>
        <v>F1181</v>
      </c>
    </row>
    <row r="71" spans="1:39" ht="15.75" customHeight="1" x14ac:dyDescent="0.15">
      <c r="A71" s="1" t="str">
        <f ca="1">IFERROR(__xludf.DUMMYFUNCTION("""COMPUTED_VALUE"""),"BOUYER Louis Marie")</f>
        <v>BOUYER Louis Marie</v>
      </c>
      <c r="B71" s="1" t="str">
        <f ca="1">IFERROR(__xludf.DUMMYFUNCTION("""COMPUTED_VALUE"""),"BOUYER")</f>
        <v>BOUYER</v>
      </c>
      <c r="C71" s="1" t="str">
        <f ca="1">IFERROR(__xludf.DUMMYFUNCTION("""COMPUTED_VALUE"""),"Louis Marie")</f>
        <v>Louis Marie</v>
      </c>
      <c r="D71" s="1" t="str">
        <f ca="1">IFERROR(__xludf.DUMMYFUNCTION("""COMPUTED_VALUE"""),"1182E1")</f>
        <v>1182E1</v>
      </c>
      <c r="E71" s="2">
        <f ca="1">IFERROR(__xludf.DUMMYFUNCTION("""COMPUTED_VALUE"""),40692)</f>
        <v>40692</v>
      </c>
      <c r="F71" s="1" t="str">
        <f ca="1">IFERROR(__xludf.DUMMYFUNCTION("""COMPUTED_VALUE"""),"3EME1")</f>
        <v>3EME1</v>
      </c>
      <c r="G71" s="1" t="str">
        <f ca="1">IFERROR(__xludf.DUMMYFUNCTION("""COMPUTED_VALUE"""),"3ème")</f>
        <v>3ème</v>
      </c>
      <c r="H71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71" s="1" t="str">
        <f ca="1">IFERROR(__xludf.DUMMYFUNCTION("""COMPUTED_VALUE"""),"LVA Anglais")</f>
        <v>LVA Anglais</v>
      </c>
      <c r="J71" s="1" t="str">
        <f ca="1">IFERROR(__xludf.DUMMYFUNCTION("""COMPUTED_VALUE"""),"LVB Espagnol")</f>
        <v>LVB Espagnol</v>
      </c>
      <c r="K71" s="1"/>
      <c r="L71" s="1"/>
      <c r="M71" s="1"/>
      <c r="N71" s="1" t="str">
        <f ca="1">IFERROR(__xludf.DUMMYFUNCTION("""COMPUTED_VALUE"""),"Garçon")</f>
        <v>Garçon</v>
      </c>
      <c r="O71" s="1"/>
      <c r="P71" s="1" t="str">
        <f ca="1">IFERROR(__xludf.DUMMYFUNCTION("""COMPUTED_VALUE"""),"FRANCE")</f>
        <v>FRANCE</v>
      </c>
      <c r="Q71" s="1"/>
      <c r="R71" s="1" t="str">
        <f ca="1">IFERROR(__xludf.DUMMYFUNCTION("""COMPUTED_VALUE"""),"louis.bouyer@lfjpsaly.org")</f>
        <v>louis.bouyer@lfjpsaly.org</v>
      </c>
      <c r="S71" s="1" t="str">
        <f ca="1">IFERROR(__xludf.DUMMYFUNCTION("""COMPUTED_VALUE"""),"+221 77 679 29 30")</f>
        <v>+221 77 679 29 30</v>
      </c>
      <c r="T71" s="1" t="str">
        <f ca="1">IFERROR(__xludf.DUMMYFUNCTION("""COMPUTED_VALUE"""),"BOUYER Philippe")</f>
        <v>BOUYER Philippe</v>
      </c>
      <c r="U71" s="1" t="str">
        <f ca="1">IFERROR(__xludf.DUMMYFUNCTION("""COMPUTED_VALUE"""),"BOUYER Marie Thérèse")</f>
        <v>BOUYER Marie Thérèse</v>
      </c>
      <c r="V71" s="1" t="str">
        <f ca="1">IFERROR(__xludf.DUMMYFUNCTION("""COMPUTED_VALUE"""),"dolesandou@gmail.com")</f>
        <v>dolesandou@gmail.com</v>
      </c>
      <c r="W71" s="1" t="str">
        <f ca="1">IFERROR(__xludf.DUMMYFUNCTION("""COMPUTED_VALUE"""),"immo2ngap@gmail.com")</f>
        <v>immo2ngap@gmail.com</v>
      </c>
      <c r="X71" s="1" t="str">
        <f ca="1">IFERROR(__xludf.DUMMYFUNCTION("""COMPUTED_VALUE"""),"+221 77 679 29 19")</f>
        <v>+221 77 679 29 19</v>
      </c>
      <c r="Y71" s="1" t="str">
        <f ca="1">IFERROR(__xludf.DUMMYFUNCTION("""COMPUTED_VALUE"""),"+221 77 679 29 30")</f>
        <v>+221 77 679 29 30</v>
      </c>
      <c r="Z71" s="1" t="str">
        <f ca="1">IFERROR(__xludf.DUMMYFUNCTION("""COMPUTED_VALUE"""),"+221 77 679 29 19")</f>
        <v>+221 77 679 29 19</v>
      </c>
      <c r="AA71" s="1"/>
      <c r="AB71" s="2">
        <f ca="1">IFERROR(__xludf.DUMMYFUNCTION("""COMPUTED_VALUE"""),19563)</f>
        <v>19563</v>
      </c>
      <c r="AC71" s="2">
        <f ca="1">IFERROR(__xludf.DUMMYFUNCTION("""COMPUTED_VALUE"""),31407)</f>
        <v>31407</v>
      </c>
      <c r="AD71" s="1" t="str">
        <f ca="1">IFERROR(__xludf.DUMMYFUNCTION("""COMPUTED_VALUE"""),"PERE")</f>
        <v>PERE</v>
      </c>
      <c r="AE71" s="1" t="str">
        <f ca="1">IFERROR(__xludf.DUMMYFUNCTION("""COMPUTED_VALUE"""),"MERE")</f>
        <v>MERE</v>
      </c>
      <c r="AF71" s="1" t="str">
        <f ca="1">IFERROR(__xludf.DUMMYFUNCTION("""COMPUTED_VALUE"""),"FRANCE")</f>
        <v>FRANCE</v>
      </c>
      <c r="AG71" s="1" t="str">
        <f ca="1">IFERROR(__xludf.DUMMYFUNCTION("""COMPUTED_VALUE"""),"FRANCE")</f>
        <v>FRANCE</v>
      </c>
      <c r="AH71" s="1"/>
      <c r="AI71" s="1" t="str">
        <f ca="1">IFERROR(__xludf.DUMMYFUNCTION("""COMPUTED_VALUE"""),"SENEGAL")</f>
        <v>SENEGAL</v>
      </c>
      <c r="AJ71" s="1" t="str">
        <f ca="1">IFERROR(__xludf.DUMMYFUNCTION("""COMPUTED_VALUE"""),"F1182")</f>
        <v>F1182</v>
      </c>
      <c r="AK71" s="1" t="str">
        <f ca="1">IFERROR(__xludf.DUMMYFUNCTION("""COMPUTED_VALUE"""),"Marié(e)")</f>
        <v>Marié(e)</v>
      </c>
      <c r="AL71" s="1" t="str">
        <f ca="1">IFERROR(__xludf.DUMMYFUNCTION("""COMPUTED_VALUE"""),"Marié(e)")</f>
        <v>Marié(e)</v>
      </c>
      <c r="AM71" s="1" t="str">
        <f ca="1">IFERROR(__xludf.DUMMYFUNCTION("""COMPUTED_VALUE"""),"F1182")</f>
        <v>F1182</v>
      </c>
    </row>
    <row r="72" spans="1:39" ht="15.75" customHeight="1" x14ac:dyDescent="0.15">
      <c r="A72" s="1" t="str">
        <f ca="1">IFERROR(__xludf.DUMMYFUNCTION("""COMPUTED_VALUE"""),"BOYER Camille  Laurence  Nella")</f>
        <v>BOYER Camille  Laurence  Nella</v>
      </c>
      <c r="B72" s="1" t="str">
        <f ca="1">IFERROR(__xludf.DUMMYFUNCTION("""COMPUTED_VALUE"""),"BOYER")</f>
        <v>BOYER</v>
      </c>
      <c r="C72" s="1" t="str">
        <f ca="1">IFERROR(__xludf.DUMMYFUNCTION("""COMPUTED_VALUE"""),"Camille  Laurence  Nella")</f>
        <v>Camille  Laurence  Nella</v>
      </c>
      <c r="D72" s="1" t="str">
        <f ca="1">IFERROR(__xludf.DUMMYFUNCTION("""COMPUTED_VALUE"""),"1641E1")</f>
        <v>1641E1</v>
      </c>
      <c r="E72" s="2">
        <f ca="1">IFERROR(__xludf.DUMMYFUNCTION("""COMPUTED_VALUE"""),39850)</f>
        <v>39850</v>
      </c>
      <c r="F72" s="1" t="str">
        <f ca="1">IFERROR(__xludf.DUMMYFUNCTION("""COMPUTED_VALUE"""),"1ERE1")</f>
        <v>1ERE1</v>
      </c>
      <c r="G72" s="1" t="str">
        <f ca="1">IFERROR(__xludf.DUMMYFUNCTION("""COMPUTED_VALUE"""),"1ère")</f>
        <v>1ère</v>
      </c>
      <c r="H72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72" s="1" t="str">
        <f ca="1">IFERROR(__xludf.DUMMYFUNCTION("""COMPUTED_VALUE"""),"LVA Anglais")</f>
        <v>LVA Anglais</v>
      </c>
      <c r="J72" s="1" t="str">
        <f ca="1">IFERROR(__xludf.DUMMYFUNCTION("""COMPUTED_VALUE"""),"LVB Espagnol")</f>
        <v>LVB Espagnol</v>
      </c>
      <c r="K72" s="1"/>
      <c r="L72" s="1"/>
      <c r="M72" s="1" t="str">
        <f ca="1">IFERROR(__xludf.DUMMYFUNCTION("""COMPUTED_VALUE"""),"SPE LLCE AMC, SPE SES, SPE HGGSP")</f>
        <v>SPE LLCE AMC, SPE SES, SPE HGGSP</v>
      </c>
      <c r="N72" s="1" t="str">
        <f ca="1">IFERROR(__xludf.DUMMYFUNCTION("""COMPUTED_VALUE"""),"Garçon")</f>
        <v>Garçon</v>
      </c>
      <c r="O72" s="1"/>
      <c r="P72" s="1" t="str">
        <f ca="1">IFERROR(__xludf.DUMMYFUNCTION("""COMPUTED_VALUE"""),"FRANCE")</f>
        <v>FRANCE</v>
      </c>
      <c r="Q72" s="1"/>
      <c r="R72" s="1" t="str">
        <f ca="1">IFERROR(__xludf.DUMMYFUNCTION("""COMPUTED_VALUE"""),"camille.boyer@lfjpsaly.org")</f>
        <v>camille.boyer@lfjpsaly.org</v>
      </c>
      <c r="S72" s="1" t="str">
        <f ca="1">IFERROR(__xludf.DUMMYFUNCTION("""COMPUTED_VALUE"""),"+221 77 572 75 51")</f>
        <v>+221 77 572 75 51</v>
      </c>
      <c r="T72" s="1" t="str">
        <f ca="1">IFERROR(__xludf.DUMMYFUNCTION("""COMPUTED_VALUE"""),"CUBEDDU BOYER Emmanuelle")</f>
        <v>CUBEDDU BOYER Emmanuelle</v>
      </c>
      <c r="U72" s="1" t="str">
        <f ca="1">IFERROR(__xludf.DUMMYFUNCTION("""COMPUTED_VALUE"""),"BOYER Alexandre")</f>
        <v>BOYER Alexandre</v>
      </c>
      <c r="V72" s="1" t="str">
        <f ca="1">IFERROR(__xludf.DUMMYFUNCTION("""COMPUTED_VALUE"""),"emmacub@yahoo.fr")</f>
        <v>emmacub@yahoo.fr</v>
      </c>
      <c r="W72" s="1" t="str">
        <f ca="1">IFERROR(__xludf.DUMMYFUNCTION("""COMPUTED_VALUE"""),"alexquilondres@yahoo.fr")</f>
        <v>alexquilondres@yahoo.fr</v>
      </c>
      <c r="X72" s="1" t="str">
        <f ca="1">IFERROR(__xludf.DUMMYFUNCTION("""COMPUTED_VALUE"""),"+221 77 145 06 82")</f>
        <v>+221 77 145 06 82</v>
      </c>
      <c r="Y72" s="1" t="str">
        <f ca="1">IFERROR(__xludf.DUMMYFUNCTION("""COMPUTED_VALUE"""),"+221 77 572 75 51")</f>
        <v>+221 77 572 75 51</v>
      </c>
      <c r="Z72" s="1" t="str">
        <f ca="1">IFERROR(__xludf.DUMMYFUNCTION("""COMPUTED_VALUE"""),"+221")</f>
        <v>+221</v>
      </c>
      <c r="AA72" s="1" t="str">
        <f ca="1">IFERROR(__xludf.DUMMYFUNCTION("""COMPUTED_VALUE"""),"+221")</f>
        <v>+221</v>
      </c>
      <c r="AB72" s="2">
        <f ca="1">IFERROR(__xludf.DUMMYFUNCTION("""COMPUTED_VALUE"""),24822)</f>
        <v>24822</v>
      </c>
      <c r="AC72" s="2">
        <f ca="1">IFERROR(__xludf.DUMMYFUNCTION("""COMPUTED_VALUE"""),26336)</f>
        <v>26336</v>
      </c>
      <c r="AD72" s="1" t="str">
        <f ca="1">IFERROR(__xludf.DUMMYFUNCTION("""COMPUTED_VALUE"""),"MERE")</f>
        <v>MERE</v>
      </c>
      <c r="AE72" s="1" t="str">
        <f ca="1">IFERROR(__xludf.DUMMYFUNCTION("""COMPUTED_VALUE"""),"PERE")</f>
        <v>PERE</v>
      </c>
      <c r="AF72" s="1" t="str">
        <f ca="1">IFERROR(__xludf.DUMMYFUNCTION("""COMPUTED_VALUE"""),"FRANCE")</f>
        <v>FRANCE</v>
      </c>
      <c r="AG72" s="1" t="str">
        <f ca="1">IFERROR(__xludf.DUMMYFUNCTION("""COMPUTED_VALUE"""),"FRANCE")</f>
        <v>FRANCE</v>
      </c>
      <c r="AH72" s="1"/>
      <c r="AI72" s="1"/>
      <c r="AJ72" s="1" t="str">
        <f ca="1">IFERROR(__xludf.DUMMYFUNCTION("""COMPUTED_VALUE"""),"F1641")</f>
        <v>F1641</v>
      </c>
      <c r="AK72" s="1" t="str">
        <f ca="1">IFERROR(__xludf.DUMMYFUNCTION("""COMPUTED_VALUE"""),"Marié(e)")</f>
        <v>Marié(e)</v>
      </c>
      <c r="AL72" s="1" t="str">
        <f ca="1">IFERROR(__xludf.DUMMYFUNCTION("""COMPUTED_VALUE"""),"Marié(e)")</f>
        <v>Marié(e)</v>
      </c>
      <c r="AM72" s="1" t="str">
        <f ca="1">IFERROR(__xludf.DUMMYFUNCTION("""COMPUTED_VALUE"""),"F1641")</f>
        <v>F1641</v>
      </c>
    </row>
    <row r="73" spans="1:39" ht="15.75" customHeight="1" x14ac:dyDescent="0.15">
      <c r="A73" s="1" t="str">
        <f ca="1">IFERROR(__xludf.DUMMYFUNCTION("""COMPUTED_VALUE"""),"BRARD Louka")</f>
        <v>BRARD Louka</v>
      </c>
      <c r="B73" s="1" t="str">
        <f ca="1">IFERROR(__xludf.DUMMYFUNCTION("""COMPUTED_VALUE"""),"BRARD")</f>
        <v>BRARD</v>
      </c>
      <c r="C73" s="1" t="str">
        <f ca="1">IFERROR(__xludf.DUMMYFUNCTION("""COMPUTED_VALUE"""),"Louka")</f>
        <v>Louka</v>
      </c>
      <c r="D73" s="1" t="str">
        <f ca="1">IFERROR(__xludf.DUMMYFUNCTION("""COMPUTED_VALUE"""),"1184E1")</f>
        <v>1184E1</v>
      </c>
      <c r="E73" s="2">
        <f ca="1">IFERROR(__xludf.DUMMYFUNCTION("""COMPUTED_VALUE"""),39774)</f>
        <v>39774</v>
      </c>
      <c r="F73" s="1" t="str">
        <f ca="1">IFERROR(__xludf.DUMMYFUNCTION("""COMPUTED_VALUE"""),"TERMINALE2")</f>
        <v>TERMINALE2</v>
      </c>
      <c r="G73" s="1" t="str">
        <f ca="1">IFERROR(__xludf.DUMMYFUNCTION("""COMPUTED_VALUE"""),"Terminale")</f>
        <v>Terminale</v>
      </c>
      <c r="H73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73" s="1" t="str">
        <f ca="1">IFERROR(__xludf.DUMMYFUNCTION("""COMPUTED_VALUE"""),"LVA Anglais")</f>
        <v>LVA Anglais</v>
      </c>
      <c r="J73" s="1" t="str">
        <f ca="1">IFERROR(__xludf.DUMMYFUNCTION("""COMPUTED_VALUE"""),"LVB Espagnol")</f>
        <v>LVB Espagnol</v>
      </c>
      <c r="K73" s="1"/>
      <c r="L73" s="1"/>
      <c r="M73" s="1" t="str">
        <f ca="1">IFERROR(__xludf.DUMMYFUNCTION("""COMPUTED_VALUE"""),"SPE LLCE AMC, SPE SES")</f>
        <v>SPE LLCE AMC, SPE SES</v>
      </c>
      <c r="N73" s="1" t="str">
        <f ca="1">IFERROR(__xludf.DUMMYFUNCTION("""COMPUTED_VALUE"""),"Garçon")</f>
        <v>Garçon</v>
      </c>
      <c r="O73" s="1"/>
      <c r="P73" s="1" t="str">
        <f ca="1">IFERROR(__xludf.DUMMYFUNCTION("""COMPUTED_VALUE"""),"FRANCE")</f>
        <v>FRANCE</v>
      </c>
      <c r="Q73" s="1"/>
      <c r="R73" s="1" t="str">
        <f ca="1">IFERROR(__xludf.DUMMYFUNCTION("""COMPUTED_VALUE"""),"louka.brard@lfjpsaly.org")</f>
        <v>louka.brard@lfjpsaly.org</v>
      </c>
      <c r="S73" s="1"/>
      <c r="T73" s="1" t="str">
        <f ca="1">IFERROR(__xludf.DUMMYFUNCTION("""COMPUTED_VALUE"""),"GORAYEB Yasmine")</f>
        <v>GORAYEB Yasmine</v>
      </c>
      <c r="U73" s="1" t="str">
        <f ca="1">IFERROR(__xludf.DUMMYFUNCTION("""COMPUTED_VALUE"""),"BRARD Julien")</f>
        <v>BRARD Julien</v>
      </c>
      <c r="V73" s="1" t="str">
        <f ca="1">IFERROR(__xludf.DUMMYFUNCTION("""COMPUTED_VALUE"""),"yasmine.gorayeb@outlook.com")</f>
        <v>yasmine.gorayeb@outlook.com</v>
      </c>
      <c r="W73" s="1" t="str">
        <f ca="1">IFERROR(__xludf.DUMMYFUNCTION("""COMPUTED_VALUE"""),"jbju457@hotmail.com")</f>
        <v>jbju457@hotmail.com</v>
      </c>
      <c r="X73" s="1" t="str">
        <f ca="1">IFERROR(__xludf.DUMMYFUNCTION("""COMPUTED_VALUE"""),"+221 77 592 78 24")</f>
        <v>+221 77 592 78 24</v>
      </c>
      <c r="Y73" s="1" t="str">
        <f ca="1">IFERROR(__xludf.DUMMYFUNCTION("""COMPUTED_VALUE"""),"+221 77 450 73 10")</f>
        <v>+221 77 450 73 10</v>
      </c>
      <c r="Z73" s="1"/>
      <c r="AA73" s="1"/>
      <c r="AB73" s="2">
        <f ca="1">IFERROR(__xludf.DUMMYFUNCTION("""COMPUTED_VALUE"""),29881)</f>
        <v>29881</v>
      </c>
      <c r="AC73" s="2">
        <f ca="1">IFERROR(__xludf.DUMMYFUNCTION("""COMPUTED_VALUE"""),29827)</f>
        <v>29827</v>
      </c>
      <c r="AD73" s="1" t="str">
        <f ca="1">IFERROR(__xludf.DUMMYFUNCTION("""COMPUTED_VALUE"""),"MERE")</f>
        <v>MERE</v>
      </c>
      <c r="AE73" s="1" t="str">
        <f ca="1">IFERROR(__xludf.DUMMYFUNCTION("""COMPUTED_VALUE"""),"PERE")</f>
        <v>PERE</v>
      </c>
      <c r="AF73" s="1" t="str">
        <f ca="1">IFERROR(__xludf.DUMMYFUNCTION("""COMPUTED_VALUE"""),"FRANCE")</f>
        <v>FRANCE</v>
      </c>
      <c r="AG73" s="1" t="str">
        <f ca="1">IFERROR(__xludf.DUMMYFUNCTION("""COMPUTED_VALUE"""),"FRANCE")</f>
        <v>FRANCE</v>
      </c>
      <c r="AH73" s="1" t="str">
        <f ca="1">IFERROR(__xludf.DUMMYFUNCTION("""COMPUTED_VALUE"""),"SENEGAL")</f>
        <v>SENEGAL</v>
      </c>
      <c r="AI73" s="1"/>
      <c r="AJ73" s="1" t="str">
        <f ca="1">IFERROR(__xludf.DUMMYFUNCTION("""COMPUTED_VALUE"""),"F1184")</f>
        <v>F1184</v>
      </c>
      <c r="AK73" s="1" t="str">
        <f ca="1">IFERROR(__xludf.DUMMYFUNCTION("""COMPUTED_VALUE"""),"CONCUBINAGE")</f>
        <v>CONCUBINAGE</v>
      </c>
      <c r="AL73" s="1" t="str">
        <f ca="1">IFERROR(__xludf.DUMMYFUNCTION("""COMPUTED_VALUE"""),"CONCUBINAGE")</f>
        <v>CONCUBINAGE</v>
      </c>
      <c r="AM73" s="1" t="str">
        <f ca="1">IFERROR(__xludf.DUMMYFUNCTION("""COMPUTED_VALUE"""),"F1184")</f>
        <v>F1184</v>
      </c>
    </row>
    <row r="74" spans="1:39" ht="15.75" customHeight="1" x14ac:dyDescent="0.15">
      <c r="A74" s="1" t="str">
        <f ca="1">IFERROR(__xludf.DUMMYFUNCTION("""COMPUTED_VALUE"""),"BRESSON Lily Rose")</f>
        <v>BRESSON Lily Rose</v>
      </c>
      <c r="B74" s="1" t="str">
        <f ca="1">IFERROR(__xludf.DUMMYFUNCTION("""COMPUTED_VALUE"""),"BRESSON")</f>
        <v>BRESSON</v>
      </c>
      <c r="C74" s="1" t="str">
        <f ca="1">IFERROR(__xludf.DUMMYFUNCTION("""COMPUTED_VALUE"""),"Lily Rose")</f>
        <v>Lily Rose</v>
      </c>
      <c r="D74" s="1" t="str">
        <f ca="1">IFERROR(__xludf.DUMMYFUNCTION("""COMPUTED_VALUE"""),"1185E1")</f>
        <v>1185E1</v>
      </c>
      <c r="E74" s="2">
        <f ca="1">IFERROR(__xludf.DUMMYFUNCTION("""COMPUTED_VALUE"""),40176)</f>
        <v>40176</v>
      </c>
      <c r="F74" s="1" t="str">
        <f ca="1">IFERROR(__xludf.DUMMYFUNCTION("""COMPUTED_VALUE"""),"2NDE1 COOP")</f>
        <v>2NDE1 COOP</v>
      </c>
      <c r="G74" s="1" t="str">
        <f ca="1">IFERROR(__xludf.DUMMYFUNCTION("""COMPUTED_VALUE"""),"2nde")</f>
        <v>2nde</v>
      </c>
      <c r="H74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74" s="1" t="str">
        <f ca="1">IFERROR(__xludf.DUMMYFUNCTION("""COMPUTED_VALUE"""),"LVA Anglais")</f>
        <v>LVA Anglais</v>
      </c>
      <c r="J74" s="1" t="str">
        <f ca="1">IFERROR(__xludf.DUMMYFUNCTION("""COMPUTED_VALUE"""),"LVB Espagnol")</f>
        <v>LVB Espagnol</v>
      </c>
      <c r="K74" s="1"/>
      <c r="L74" s="1"/>
      <c r="M74" s="1"/>
      <c r="N74" s="1" t="str">
        <f ca="1">IFERROR(__xludf.DUMMYFUNCTION("""COMPUTED_VALUE"""),"Fille")</f>
        <v>Fille</v>
      </c>
      <c r="O74" s="1"/>
      <c r="P74" s="1" t="str">
        <f ca="1">IFERROR(__xludf.DUMMYFUNCTION("""COMPUTED_VALUE"""),"FRANCE")</f>
        <v>FRANCE</v>
      </c>
      <c r="Q74" s="1" t="str">
        <f ca="1">IFERROR(__xludf.DUMMYFUNCTION("""COMPUTED_VALUE"""),"SENEGAL")</f>
        <v>SENEGAL</v>
      </c>
      <c r="R74" s="1" t="str">
        <f ca="1">IFERROR(__xludf.DUMMYFUNCTION("""COMPUTED_VALUE"""),"lily.bresson@lfjpsaly.org")</f>
        <v>lily.bresson@lfjpsaly.org</v>
      </c>
      <c r="S74" s="1" t="str">
        <f ca="1">IFERROR(__xludf.DUMMYFUNCTION("""COMPUTED_VALUE"""),"+221 77 186 98 71")</f>
        <v>+221 77 186 98 71</v>
      </c>
      <c r="T74" s="1" t="str">
        <f ca="1">IFERROR(__xludf.DUMMYFUNCTION("""COMPUTED_VALUE"""),"NDOYE Maty")</f>
        <v>NDOYE Maty</v>
      </c>
      <c r="U74" s="1"/>
      <c r="V74" s="1" t="str">
        <f ca="1">IFERROR(__xludf.DUMMYFUNCTION("""COMPUTED_VALUE"""),"saesenegal@gmail.com")</f>
        <v>saesenegal@gmail.com</v>
      </c>
      <c r="W74" s="1"/>
      <c r="X74" s="1" t="str">
        <f ca="1">IFERROR(__xludf.DUMMYFUNCTION("""COMPUTED_VALUE"""),"+221 77 186 98 71")</f>
        <v>+221 77 186 98 71</v>
      </c>
      <c r="Y74" s="1"/>
      <c r="Z74" s="1" t="str">
        <f ca="1">IFERROR(__xludf.DUMMYFUNCTION("""COMPUTED_VALUE"""),"+221 77 186 98 71")</f>
        <v>+221 77 186 98 71</v>
      </c>
      <c r="AA74" s="1"/>
      <c r="AB74" s="2">
        <f ca="1">IFERROR(__xludf.DUMMYFUNCTION("""COMPUTED_VALUE"""),28565)</f>
        <v>28565</v>
      </c>
      <c r="AC74" s="1"/>
      <c r="AD74" s="1" t="str">
        <f ca="1">IFERROR(__xludf.DUMMYFUNCTION("""COMPUTED_VALUE"""),"MERE")</f>
        <v>MERE</v>
      </c>
      <c r="AE74" s="1"/>
      <c r="AF74" s="1" t="str">
        <f ca="1">IFERROR(__xludf.DUMMYFUNCTION("""COMPUTED_VALUE"""),"SENEGAL")</f>
        <v>SENEGAL</v>
      </c>
      <c r="AG74" s="1"/>
      <c r="AH74" s="1"/>
      <c r="AI74" s="1"/>
      <c r="AJ74" s="1" t="str">
        <f ca="1">IFERROR(__xludf.DUMMYFUNCTION("""COMPUTED_VALUE"""),"F1185")</f>
        <v>F1185</v>
      </c>
      <c r="AK74" s="1" t="str">
        <f ca="1">IFERROR(__xludf.DUMMYFUNCTION("""COMPUTED_VALUE"""),"Divorcée")</f>
        <v>Divorcée</v>
      </c>
      <c r="AL74" s="1"/>
      <c r="AM74" s="1" t="str">
        <f ca="1">IFERROR(__xludf.DUMMYFUNCTION("""COMPUTED_VALUE"""),"F1185")</f>
        <v>F1185</v>
      </c>
    </row>
    <row r="75" spans="1:39" ht="15.75" customHeight="1" x14ac:dyDescent="0.15">
      <c r="A75" s="1" t="str">
        <f ca="1">IFERROR(__xludf.DUMMYFUNCTION("""COMPUTED_VALUE"""),"BRU Marie")</f>
        <v>BRU Marie</v>
      </c>
      <c r="B75" s="1" t="str">
        <f ca="1">IFERROR(__xludf.DUMMYFUNCTION("""COMPUTED_VALUE"""),"BRU")</f>
        <v>BRU</v>
      </c>
      <c r="C75" s="1" t="str">
        <f ca="1">IFERROR(__xludf.DUMMYFUNCTION("""COMPUTED_VALUE"""),"Marie")</f>
        <v>Marie</v>
      </c>
      <c r="D75" s="1" t="str">
        <f ca="1">IFERROR(__xludf.DUMMYFUNCTION("""COMPUTED_VALUE"""),"1188E1")</f>
        <v>1188E1</v>
      </c>
      <c r="E75" s="2">
        <f ca="1">IFERROR(__xludf.DUMMYFUNCTION("""COMPUTED_VALUE"""),39984)</f>
        <v>39984</v>
      </c>
      <c r="F75" s="1" t="str">
        <f ca="1">IFERROR(__xludf.DUMMYFUNCTION("""COMPUTED_VALUE"""),"1ERE1")</f>
        <v>1ERE1</v>
      </c>
      <c r="G75" s="1" t="str">
        <f ca="1">IFERROR(__xludf.DUMMYFUNCTION("""COMPUTED_VALUE"""),"1ère")</f>
        <v>1ère</v>
      </c>
      <c r="H75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75" s="1" t="str">
        <f ca="1">IFERROR(__xludf.DUMMYFUNCTION("""COMPUTED_VALUE"""),"LVA Anglais")</f>
        <v>LVA Anglais</v>
      </c>
      <c r="J75" s="1" t="str">
        <f ca="1">IFERROR(__xludf.DUMMYFUNCTION("""COMPUTED_VALUE"""),"LVB Espagnol")</f>
        <v>LVB Espagnol</v>
      </c>
      <c r="K75" s="1"/>
      <c r="L75" s="1"/>
      <c r="M75" s="1" t="str">
        <f ca="1">IFERROR(__xludf.DUMMYFUNCTION("""COMPUTED_VALUE"""),"SPE HGGSP, SPE LLCE AMC, SPE SES")</f>
        <v>SPE HGGSP, SPE LLCE AMC, SPE SES</v>
      </c>
      <c r="N75" s="1" t="str">
        <f ca="1">IFERROR(__xludf.DUMMYFUNCTION("""COMPUTED_VALUE"""),"Fille")</f>
        <v>Fille</v>
      </c>
      <c r="O75" s="1"/>
      <c r="P75" s="1" t="str">
        <f ca="1">IFERROR(__xludf.DUMMYFUNCTION("""COMPUTED_VALUE"""),"FRANCE")</f>
        <v>FRANCE</v>
      </c>
      <c r="Q75" s="1"/>
      <c r="R75" s="1" t="str">
        <f ca="1">IFERROR(__xludf.DUMMYFUNCTION("""COMPUTED_VALUE"""),"marie.bru@lfjpsaly.org")</f>
        <v>marie.bru@lfjpsaly.org</v>
      </c>
      <c r="S75" s="1" t="str">
        <f ca="1">IFERROR(__xludf.DUMMYFUNCTION("""COMPUTED_VALUE"""),"+221 78 924 80 10")</f>
        <v>+221 78 924 80 10</v>
      </c>
      <c r="T75" s="1" t="str">
        <f ca="1">IFERROR(__xludf.DUMMYFUNCTION("""COMPUTED_VALUE"""),"BRU Didier")</f>
        <v>BRU Didier</v>
      </c>
      <c r="U75" s="1" t="str">
        <f ca="1">IFERROR(__xludf.DUMMYFUNCTION("""COMPUTED_VALUE"""),"BRU Aida")</f>
        <v>BRU Aida</v>
      </c>
      <c r="V75" s="1" t="str">
        <f ca="1">IFERROR(__xludf.DUMMYFUNCTION("""COMPUTED_VALUE"""),"brudidier@hotmail.com")</f>
        <v>brudidier@hotmail.com</v>
      </c>
      <c r="W75" s="1" t="str">
        <f ca="1">IFERROR(__xludf.DUMMYFUNCTION("""COMPUTED_VALUE"""),"bru.aida@hotmail.fr")</f>
        <v>bru.aida@hotmail.fr</v>
      </c>
      <c r="X75" s="1" t="str">
        <f ca="1">IFERROR(__xludf.DUMMYFUNCTION("""COMPUTED_VALUE"""),"+221 78 186 54 36")</f>
        <v>+221 78 186 54 36</v>
      </c>
      <c r="Y75" s="1" t="str">
        <f ca="1">IFERROR(__xludf.DUMMYFUNCTION("""COMPUTED_VALUE"""),"+221 78 309 94 27")</f>
        <v>+221 78 309 94 27</v>
      </c>
      <c r="Z75" s="1"/>
      <c r="AA75" s="1"/>
      <c r="AB75" s="2">
        <f ca="1">IFERROR(__xludf.DUMMYFUNCTION("""COMPUTED_VALUE"""),20853)</f>
        <v>20853</v>
      </c>
      <c r="AC75" s="2">
        <f ca="1">IFERROR(__xludf.DUMMYFUNCTION("""COMPUTED_VALUE"""),28890)</f>
        <v>28890</v>
      </c>
      <c r="AD75" s="1" t="str">
        <f ca="1">IFERROR(__xludf.DUMMYFUNCTION("""COMPUTED_VALUE"""),"PERE")</f>
        <v>PERE</v>
      </c>
      <c r="AE75" s="1" t="str">
        <f ca="1">IFERROR(__xludf.DUMMYFUNCTION("""COMPUTED_VALUE"""),"MERE")</f>
        <v>MERE</v>
      </c>
      <c r="AF75" s="1" t="str">
        <f ca="1">IFERROR(__xludf.DUMMYFUNCTION("""COMPUTED_VALUE"""),"FRANCE")</f>
        <v>FRANCE</v>
      </c>
      <c r="AG75" s="1" t="str">
        <f ca="1">IFERROR(__xludf.DUMMYFUNCTION("""COMPUTED_VALUE"""),"SENEGAL")</f>
        <v>SENEGAL</v>
      </c>
      <c r="AH75" s="1" t="str">
        <f ca="1">IFERROR(__xludf.DUMMYFUNCTION("""COMPUTED_VALUE"""),"SENEGAL")</f>
        <v>SENEGAL</v>
      </c>
      <c r="AI75" s="1"/>
      <c r="AJ75" s="1" t="str">
        <f ca="1">IFERROR(__xludf.DUMMYFUNCTION("""COMPUTED_VALUE"""),"F1188")</f>
        <v>F1188</v>
      </c>
      <c r="AK75" s="1" t="str">
        <f ca="1">IFERROR(__xludf.DUMMYFUNCTION("""COMPUTED_VALUE"""),"Marié(e)")</f>
        <v>Marié(e)</v>
      </c>
      <c r="AL75" s="1" t="str">
        <f ca="1">IFERROR(__xludf.DUMMYFUNCTION("""COMPUTED_VALUE"""),"Marié(e)")</f>
        <v>Marié(e)</v>
      </c>
      <c r="AM75" s="1" t="str">
        <f ca="1">IFERROR(__xludf.DUMMYFUNCTION("""COMPUTED_VALUE"""),"F1188")</f>
        <v>F1188</v>
      </c>
    </row>
    <row r="76" spans="1:39" ht="15.75" customHeight="1" x14ac:dyDescent="0.15">
      <c r="A76" s="1" t="str">
        <f ca="1">IFERROR(__xludf.DUMMYFUNCTION("""COMPUTED_VALUE"""),"BRUNIE Sarah")</f>
        <v>BRUNIE Sarah</v>
      </c>
      <c r="B76" s="1" t="str">
        <f ca="1">IFERROR(__xludf.DUMMYFUNCTION("""COMPUTED_VALUE"""),"BRUNIE")</f>
        <v>BRUNIE</v>
      </c>
      <c r="C76" s="1" t="str">
        <f ca="1">IFERROR(__xludf.DUMMYFUNCTION("""COMPUTED_VALUE"""),"Sarah")</f>
        <v>Sarah</v>
      </c>
      <c r="D76" s="1" t="str">
        <f ca="1">IFERROR(__xludf.DUMMYFUNCTION("""COMPUTED_VALUE"""),"1189E1")</f>
        <v>1189E1</v>
      </c>
      <c r="E76" s="2">
        <f ca="1">IFERROR(__xludf.DUMMYFUNCTION("""COMPUTED_VALUE"""),39783)</f>
        <v>39783</v>
      </c>
      <c r="F76" s="1" t="str">
        <f ca="1">IFERROR(__xludf.DUMMYFUNCTION("""COMPUTED_VALUE"""),"TERMINALE1")</f>
        <v>TERMINALE1</v>
      </c>
      <c r="G76" s="1" t="str">
        <f ca="1">IFERROR(__xludf.DUMMYFUNCTION("""COMPUTED_VALUE"""),"Terminale")</f>
        <v>Terminale</v>
      </c>
      <c r="H76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76" s="1" t="str">
        <f ca="1">IFERROR(__xludf.DUMMYFUNCTION("""COMPUTED_VALUE"""),"LVA Anglais")</f>
        <v>LVA Anglais</v>
      </c>
      <c r="J76" s="1" t="str">
        <f ca="1">IFERROR(__xludf.DUMMYFUNCTION("""COMPUTED_VALUE"""),"LVB Espagnol")</f>
        <v>LVB Espagnol</v>
      </c>
      <c r="K76" s="1"/>
      <c r="L76" s="1"/>
      <c r="M76" s="1" t="str">
        <f ca="1">IFERROR(__xludf.DUMMYFUNCTION("""COMPUTED_VALUE"""),"SPE SES, SPE SVT")</f>
        <v>SPE SES, SPE SVT</v>
      </c>
      <c r="N76" s="1" t="str">
        <f ca="1">IFERROR(__xludf.DUMMYFUNCTION("""COMPUTED_VALUE"""),"Fille")</f>
        <v>Fille</v>
      </c>
      <c r="O76" s="1"/>
      <c r="P76" s="1" t="str">
        <f ca="1">IFERROR(__xludf.DUMMYFUNCTION("""COMPUTED_VALUE"""),"FRANCE")</f>
        <v>FRANCE</v>
      </c>
      <c r="Q76" s="1"/>
      <c r="R76" s="1" t="str">
        <f ca="1">IFERROR(__xludf.DUMMYFUNCTION("""COMPUTED_VALUE"""),"sarah.brunie@lfjpsaly.org")</f>
        <v>sarah.brunie@lfjpsaly.org</v>
      </c>
      <c r="S76" s="1"/>
      <c r="T76" s="1" t="str">
        <f ca="1">IFERROR(__xludf.DUMMYFUNCTION("""COMPUTED_VALUE"""),"BRUNIE Aida")</f>
        <v>BRUNIE Aida</v>
      </c>
      <c r="U76" s="1" t="str">
        <f ca="1">IFERROR(__xludf.DUMMYFUNCTION("""COMPUTED_VALUE"""),"BRUNIE Christian")</f>
        <v>BRUNIE Christian</v>
      </c>
      <c r="V76" s="1" t="str">
        <f ca="1">IFERROR(__xludf.DUMMYFUNCTION("""COMPUTED_VALUE"""),"bruniephoto@gmail.com")</f>
        <v>bruniephoto@gmail.com</v>
      </c>
      <c r="W76" s="1" t="str">
        <f ca="1">IFERROR(__xludf.DUMMYFUNCTION("""COMPUTED_VALUE"""),"bruniephoto@gmail.com")</f>
        <v>bruniephoto@gmail.com</v>
      </c>
      <c r="X76" s="1" t="str">
        <f ca="1">IFERROR(__xludf.DUMMYFUNCTION("""COMPUTED_VALUE"""),"+221 77 420 19 75")</f>
        <v>+221 77 420 19 75</v>
      </c>
      <c r="Y76" s="1" t="str">
        <f ca="1">IFERROR(__xludf.DUMMYFUNCTION("""COMPUTED_VALUE"""),"+221 78 155 11 20")</f>
        <v>+221 78 155 11 20</v>
      </c>
      <c r="Z76" s="1"/>
      <c r="AA76" s="1"/>
      <c r="AB76" s="2">
        <f ca="1">IFERROR(__xludf.DUMMYFUNCTION("""COMPUTED_VALUE"""),27994)</f>
        <v>27994</v>
      </c>
      <c r="AC76" s="2">
        <f ca="1">IFERROR(__xludf.DUMMYFUNCTION("""COMPUTED_VALUE"""),16096)</f>
        <v>16096</v>
      </c>
      <c r="AD76" s="1" t="str">
        <f ca="1">IFERROR(__xludf.DUMMYFUNCTION("""COMPUTED_VALUE"""),"MERE")</f>
        <v>MERE</v>
      </c>
      <c r="AE76" s="1" t="str">
        <f ca="1">IFERROR(__xludf.DUMMYFUNCTION("""COMPUTED_VALUE"""),"PERE")</f>
        <v>PERE</v>
      </c>
      <c r="AF76" s="1" t="str">
        <f ca="1">IFERROR(__xludf.DUMMYFUNCTION("""COMPUTED_VALUE"""),"FRANCE")</f>
        <v>FRANCE</v>
      </c>
      <c r="AG76" s="1" t="str">
        <f ca="1">IFERROR(__xludf.DUMMYFUNCTION("""COMPUTED_VALUE"""),"FRANCE")</f>
        <v>FRANCE</v>
      </c>
      <c r="AH76" s="1"/>
      <c r="AI76" s="1"/>
      <c r="AJ76" s="1" t="str">
        <f ca="1">IFERROR(__xludf.DUMMYFUNCTION("""COMPUTED_VALUE"""),"F1189")</f>
        <v>F1189</v>
      </c>
      <c r="AK76" s="1" t="str">
        <f ca="1">IFERROR(__xludf.DUMMYFUNCTION("""COMPUTED_VALUE"""),"Marié(e)")</f>
        <v>Marié(e)</v>
      </c>
      <c r="AL76" s="1" t="str">
        <f ca="1">IFERROR(__xludf.DUMMYFUNCTION("""COMPUTED_VALUE"""),"Marié(e)")</f>
        <v>Marié(e)</v>
      </c>
      <c r="AM76" s="1" t="str">
        <f ca="1">IFERROR(__xludf.DUMMYFUNCTION("""COMPUTED_VALUE"""),"F1189")</f>
        <v>F1189</v>
      </c>
    </row>
    <row r="77" spans="1:39" ht="15.75" customHeight="1" x14ac:dyDescent="0.15">
      <c r="A77" s="1" t="str">
        <f ca="1">IFERROR(__xludf.DUMMYFUNCTION("""COMPUTED_VALUE"""),"BRUNO Francois")</f>
        <v>BRUNO Francois</v>
      </c>
      <c r="B77" s="1" t="str">
        <f ca="1">IFERROR(__xludf.DUMMYFUNCTION("""COMPUTED_VALUE"""),"BRUNO")</f>
        <v>BRUNO</v>
      </c>
      <c r="C77" s="1" t="str">
        <f ca="1">IFERROR(__xludf.DUMMYFUNCTION("""COMPUTED_VALUE"""),"Francois")</f>
        <v>Francois</v>
      </c>
      <c r="D77" s="1" t="str">
        <f ca="1">IFERROR(__xludf.DUMMYFUNCTION("""COMPUTED_VALUE"""),"1190E1")</f>
        <v>1190E1</v>
      </c>
      <c r="E77" s="2">
        <f ca="1">IFERROR(__xludf.DUMMYFUNCTION("""COMPUTED_VALUE"""),41939)</f>
        <v>41939</v>
      </c>
      <c r="F77" s="1" t="str">
        <f ca="1">IFERROR(__xludf.DUMMYFUNCTION("""COMPUTED_VALUE"""),"CM2B")</f>
        <v>CM2B</v>
      </c>
      <c r="G77" s="1" t="str">
        <f ca="1">IFERROR(__xludf.DUMMYFUNCTION("""COMPUTED_VALUE"""),"CM2")</f>
        <v>CM2</v>
      </c>
      <c r="H77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77" s="1"/>
      <c r="J77" s="1"/>
      <c r="K77" s="1"/>
      <c r="L77" s="1"/>
      <c r="M77" s="1"/>
      <c r="N77" s="1" t="str">
        <f ca="1">IFERROR(__xludf.DUMMYFUNCTION("""COMPUTED_VALUE"""),"Garçon")</f>
        <v>Garçon</v>
      </c>
      <c r="O77" s="1"/>
      <c r="P77" s="1" t="str">
        <f ca="1">IFERROR(__xludf.DUMMYFUNCTION("""COMPUTED_VALUE"""),"FRANCE")</f>
        <v>FRANCE</v>
      </c>
      <c r="Q77" s="1" t="str">
        <f ca="1">IFERROR(__xludf.DUMMYFUNCTION("""COMPUTED_VALUE"""),"SENEGAL")</f>
        <v>SENEGAL</v>
      </c>
      <c r="R77" s="1"/>
      <c r="S77" s="1" t="str">
        <f ca="1">IFERROR(__xludf.DUMMYFUNCTION("""COMPUTED_VALUE"""),"+221 77 851 16 02")</f>
        <v>+221 77 851 16 02</v>
      </c>
      <c r="T77" s="1" t="str">
        <f ca="1">IFERROR(__xludf.DUMMYFUNCTION("""COMPUTED_VALUE"""),"SYLLA Thylo")</f>
        <v>SYLLA Thylo</v>
      </c>
      <c r="U77" s="1" t="str">
        <f ca="1">IFERROR(__xludf.DUMMYFUNCTION("""COMPUTED_VALUE"""),"BRUNO Thylo")</f>
        <v>BRUNO Thylo</v>
      </c>
      <c r="V77" s="1" t="str">
        <f ca="1">IFERROR(__xludf.DUMMYFUNCTION("""COMPUTED_VALUE"""),"thylos@yahoo.com")</f>
        <v>thylos@yahoo.com</v>
      </c>
      <c r="W77" s="1" t="str">
        <f ca="1">IFERROR(__xludf.DUMMYFUNCTION("""COMPUTED_VALUE"""),"thylos@yahoo.com")</f>
        <v>thylos@yahoo.com</v>
      </c>
      <c r="X77" s="1" t="str">
        <f ca="1">IFERROR(__xludf.DUMMYFUNCTION("""COMPUTED_VALUE"""),"+221 77 851 16 03")</f>
        <v>+221 77 851 16 03</v>
      </c>
      <c r="Y77" s="1" t="str">
        <f ca="1">IFERROR(__xludf.DUMMYFUNCTION("""COMPUTED_VALUE"""),"778511603")</f>
        <v>778511603</v>
      </c>
      <c r="Z77" s="1" t="str">
        <f ca="1">IFERROR(__xludf.DUMMYFUNCTION("""COMPUTED_VALUE"""),"+221 77 851 16 03")</f>
        <v>+221 77 851 16 03</v>
      </c>
      <c r="AA77" s="1"/>
      <c r="AB77" s="2">
        <f ca="1">IFERROR(__xludf.DUMMYFUNCTION("""COMPUTED_VALUE"""),32783)</f>
        <v>32783</v>
      </c>
      <c r="AC77" s="2">
        <f ca="1">IFERROR(__xludf.DUMMYFUNCTION("""COMPUTED_VALUE"""),32783)</f>
        <v>32783</v>
      </c>
      <c r="AD77" s="1" t="str">
        <f ca="1">IFERROR(__xludf.DUMMYFUNCTION("""COMPUTED_VALUE"""),"PERE")</f>
        <v>PERE</v>
      </c>
      <c r="AE77" s="1" t="str">
        <f ca="1">IFERROR(__xludf.DUMMYFUNCTION("""COMPUTED_VALUE"""),"MERE")</f>
        <v>MERE</v>
      </c>
      <c r="AF77" s="1" t="str">
        <f ca="1">IFERROR(__xludf.DUMMYFUNCTION("""COMPUTED_VALUE"""),"FRANCE")</f>
        <v>FRANCE</v>
      </c>
      <c r="AG77" s="1" t="str">
        <f ca="1">IFERROR(__xludf.DUMMYFUNCTION("""COMPUTED_VALUE"""),"SENEGAL")</f>
        <v>SENEGAL</v>
      </c>
      <c r="AH77" s="1" t="str">
        <f ca="1">IFERROR(__xludf.DUMMYFUNCTION("""COMPUTED_VALUE"""),"SENEGAL")</f>
        <v>SENEGAL</v>
      </c>
      <c r="AI77" s="1"/>
      <c r="AJ77" s="1" t="str">
        <f ca="1">IFERROR(__xludf.DUMMYFUNCTION("""COMPUTED_VALUE"""),"F1190")</f>
        <v>F1190</v>
      </c>
      <c r="AK77" s="1" t="str">
        <f ca="1">IFERROR(__xludf.DUMMYFUNCTION("""COMPUTED_VALUE"""),"Décédé(e)")</f>
        <v>Décédé(e)</v>
      </c>
      <c r="AL77" s="1" t="str">
        <f ca="1">IFERROR(__xludf.DUMMYFUNCTION("""COMPUTED_VALUE"""),"Veuf(ve)")</f>
        <v>Veuf(ve)</v>
      </c>
      <c r="AM77" s="1" t="str">
        <f ca="1">IFERROR(__xludf.DUMMYFUNCTION("""COMPUTED_VALUE"""),"F1190")</f>
        <v>F1190</v>
      </c>
    </row>
    <row r="78" spans="1:39" ht="15.75" customHeight="1" x14ac:dyDescent="0.15">
      <c r="A78" s="1" t="str">
        <f ca="1">IFERROR(__xludf.DUMMYFUNCTION("""COMPUTED_VALUE"""),"BUORS COLY Mathéo")</f>
        <v>BUORS COLY Mathéo</v>
      </c>
      <c r="B78" s="1" t="str">
        <f ca="1">IFERROR(__xludf.DUMMYFUNCTION("""COMPUTED_VALUE"""),"BUORS COLY")</f>
        <v>BUORS COLY</v>
      </c>
      <c r="C78" s="1" t="str">
        <f ca="1">IFERROR(__xludf.DUMMYFUNCTION("""COMPUTED_VALUE"""),"Mathéo")</f>
        <v>Mathéo</v>
      </c>
      <c r="D78" s="1" t="str">
        <f ca="1">IFERROR(__xludf.DUMMYFUNCTION("""COMPUTED_VALUE"""),"11878S2724")</f>
        <v>11878S2724</v>
      </c>
      <c r="E78" s="2">
        <f ca="1">IFERROR(__xludf.DUMMYFUNCTION("""COMPUTED_VALUE"""),39743)</f>
        <v>39743</v>
      </c>
      <c r="F78" s="1" t="str">
        <f ca="1">IFERROR(__xludf.DUMMYFUNCTION("""COMPUTED_VALUE"""),"2NDE1 COOP")</f>
        <v>2NDE1 COOP</v>
      </c>
      <c r="G78" s="1" t="str">
        <f ca="1">IFERROR(__xludf.DUMMYFUNCTION("""COMPUTED_VALUE"""),"2nde")</f>
        <v>2nde</v>
      </c>
      <c r="H78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78" s="1" t="str">
        <f ca="1">IFERROR(__xludf.DUMMYFUNCTION("""COMPUTED_VALUE"""),"LVA Anglais")</f>
        <v>LVA Anglais</v>
      </c>
      <c r="J78" s="1" t="str">
        <f ca="1">IFERROR(__xludf.DUMMYFUNCTION("""COMPUTED_VALUE"""),"LVB Espagnol")</f>
        <v>LVB Espagnol</v>
      </c>
      <c r="K78" s="1"/>
      <c r="L78" s="1"/>
      <c r="M78" s="1"/>
      <c r="N78" s="1" t="str">
        <f ca="1">IFERROR(__xludf.DUMMYFUNCTION("""COMPUTED_VALUE"""),"Garçon")</f>
        <v>Garçon</v>
      </c>
      <c r="O78" s="1"/>
      <c r="P78" s="1" t="str">
        <f ca="1">IFERROR(__xludf.DUMMYFUNCTION("""COMPUTED_VALUE"""),"FRANCE")</f>
        <v>FRANCE</v>
      </c>
      <c r="Q78" s="1"/>
      <c r="R78" s="1" t="str">
        <f ca="1">IFERROR(__xludf.DUMMYFUNCTION("""COMPUTED_VALUE"""),"matheo.buorscoly@lfjpsaly.org")</f>
        <v>matheo.buorscoly@lfjpsaly.org</v>
      </c>
      <c r="S78" s="1" t="str">
        <f ca="1">IFERROR(__xludf.DUMMYFUNCTION("""COMPUTED_VALUE"""),"+221 77 570 17 86")</f>
        <v>+221 77 570 17 86</v>
      </c>
      <c r="T78" s="1" t="str">
        <f ca="1">IFERROR(__xludf.DUMMYFUNCTION("""COMPUTED_VALUE"""),"LE MORVAN Saly")</f>
        <v>LE MORVAN Saly</v>
      </c>
      <c r="U78" s="1" t="str">
        <f ca="1">IFERROR(__xludf.DUMMYFUNCTION("""COMPUTED_VALUE"""),"BADIANE Tidiane")</f>
        <v>BADIANE Tidiane</v>
      </c>
      <c r="V78" s="1" t="str">
        <f ca="1">IFERROR(__xludf.DUMMYFUNCTION("""COMPUTED_VALUE"""),"colysonko@gmail.com")</f>
        <v>colysonko@gmail.com</v>
      </c>
      <c r="W78" s="1" t="str">
        <f ca="1">IFERROR(__xludf.DUMMYFUNCTION("""COMPUTED_VALUE"""),"tidiane.badiane@gmail.com")</f>
        <v>tidiane.badiane@gmail.com</v>
      </c>
      <c r="X78" s="1" t="str">
        <f ca="1">IFERROR(__xludf.DUMMYFUNCTION("""COMPUTED_VALUE"""),"+33 7 67 66 17 63")</f>
        <v>+33 7 67 66 17 63</v>
      </c>
      <c r="Y78" s="1" t="str">
        <f ca="1">IFERROR(__xludf.DUMMYFUNCTION("""COMPUTED_VALUE"""),"+221 77 570 17 86")</f>
        <v>+221 77 570 17 86</v>
      </c>
      <c r="Z78" s="1" t="str">
        <f ca="1">IFERROR(__xludf.DUMMYFUNCTION("""COMPUTED_VALUE"""),"+33 7 67 66 17 63")</f>
        <v>+33 7 67 66 17 63</v>
      </c>
      <c r="AA78" s="1" t="str">
        <f ca="1">IFERROR(__xludf.DUMMYFUNCTION("""COMPUTED_VALUE"""),"+221")</f>
        <v>+221</v>
      </c>
      <c r="AB78" s="2">
        <f ca="1">IFERROR(__xludf.DUMMYFUNCTION("""COMPUTED_VALUE"""),23601)</f>
        <v>23601</v>
      </c>
      <c r="AC78" s="2">
        <f ca="1">IFERROR(__xludf.DUMMYFUNCTION("""COMPUTED_VALUE"""),29861)</f>
        <v>29861</v>
      </c>
      <c r="AD78" s="1" t="str">
        <f ca="1">IFERROR(__xludf.DUMMYFUNCTION("""COMPUTED_VALUE"""),"MERE")</f>
        <v>MERE</v>
      </c>
      <c r="AE78" s="1" t="str">
        <f ca="1">IFERROR(__xludf.DUMMYFUNCTION("""COMPUTED_VALUE"""),"ONCLE")</f>
        <v>ONCLE</v>
      </c>
      <c r="AF78" s="1" t="str">
        <f ca="1">IFERROR(__xludf.DUMMYFUNCTION("""COMPUTED_VALUE"""),"FRANCE")</f>
        <v>FRANCE</v>
      </c>
      <c r="AG78" s="1" t="str">
        <f ca="1">IFERROR(__xludf.DUMMYFUNCTION("""COMPUTED_VALUE"""),"SENEGAL")</f>
        <v>SENEGAL</v>
      </c>
      <c r="AH78" s="1" t="str">
        <f ca="1">IFERROR(__xludf.DUMMYFUNCTION("""COMPUTED_VALUE"""),"SENEGAL")</f>
        <v>SENEGAL</v>
      </c>
      <c r="AI78" s="1"/>
      <c r="AJ78" s="1" t="str">
        <f ca="1">IFERROR(__xludf.DUMMYFUNCTION("""COMPUTED_VALUE"""),"U11878")</f>
        <v>U11878</v>
      </c>
      <c r="AK78" s="1" t="str">
        <f ca="1">IFERROR(__xludf.DUMMYFUNCTION("""COMPUTED_VALUE"""),"Veuf(ve)")</f>
        <v>Veuf(ve)</v>
      </c>
      <c r="AL78" s="1" t="str">
        <f ca="1">IFERROR(__xludf.DUMMYFUNCTION("""COMPUTED_VALUE"""),"Marié(e)")</f>
        <v>Marié(e)</v>
      </c>
      <c r="AM78" s="1" t="str">
        <f ca="1">IFERROR(__xludf.DUMMYFUNCTION("""COMPUTED_VALUE"""),"U11878")</f>
        <v>U11878</v>
      </c>
    </row>
    <row r="79" spans="1:39" ht="15.75" customHeight="1" x14ac:dyDescent="0.15">
      <c r="A79" s="1" t="str">
        <f ca="1">IFERROR(__xludf.DUMMYFUNCTION("""COMPUTED_VALUE"""),"BUOVOLO Ismael")</f>
        <v>BUOVOLO Ismael</v>
      </c>
      <c r="B79" s="1" t="str">
        <f ca="1">IFERROR(__xludf.DUMMYFUNCTION("""COMPUTED_VALUE"""),"BUOVOLO")</f>
        <v>BUOVOLO</v>
      </c>
      <c r="C79" s="1" t="str">
        <f ca="1">IFERROR(__xludf.DUMMYFUNCTION("""COMPUTED_VALUE"""),"Ismael")</f>
        <v>Ismael</v>
      </c>
      <c r="D79" s="1" t="str">
        <f ca="1">IFERROR(__xludf.DUMMYFUNCTION("""COMPUTED_VALUE"""),"1192E1")</f>
        <v>1192E1</v>
      </c>
      <c r="E79" s="2">
        <f ca="1">IFERROR(__xludf.DUMMYFUNCTION("""COMPUTED_VALUE"""),40631)</f>
        <v>40631</v>
      </c>
      <c r="F79" s="1" t="str">
        <f ca="1">IFERROR(__xludf.DUMMYFUNCTION("""COMPUTED_VALUE"""),"2NDE2")</f>
        <v>2NDE2</v>
      </c>
      <c r="G79" s="1" t="str">
        <f ca="1">IFERROR(__xludf.DUMMYFUNCTION("""COMPUTED_VALUE"""),"2nde")</f>
        <v>2nde</v>
      </c>
      <c r="H79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79" s="1" t="str">
        <f ca="1">IFERROR(__xludf.DUMMYFUNCTION("""COMPUTED_VALUE"""),"LVA Anglais")</f>
        <v>LVA Anglais</v>
      </c>
      <c r="J79" s="1" t="str">
        <f ca="1">IFERROR(__xludf.DUMMYFUNCTION("""COMPUTED_VALUE"""),"LVB Espagnol")</f>
        <v>LVB Espagnol</v>
      </c>
      <c r="K79" s="1"/>
      <c r="L79" s="1"/>
      <c r="M79" s="1"/>
      <c r="N79" s="1" t="str">
        <f ca="1">IFERROR(__xludf.DUMMYFUNCTION("""COMPUTED_VALUE"""),"Garçon")</f>
        <v>Garçon</v>
      </c>
      <c r="O79" s="1"/>
      <c r="P79" s="1" t="str">
        <f ca="1">IFERROR(__xludf.DUMMYFUNCTION("""COMPUTED_VALUE"""),"FRANCE")</f>
        <v>FRANCE</v>
      </c>
      <c r="Q79" s="1"/>
      <c r="R79" s="1" t="str">
        <f ca="1">IFERROR(__xludf.DUMMYFUNCTION("""COMPUTED_VALUE"""),"ismael.buovolo@lfjpsaly.org")</f>
        <v>ismael.buovolo@lfjpsaly.org</v>
      </c>
      <c r="S79" s="1" t="str">
        <f ca="1">IFERROR(__xludf.DUMMYFUNCTION("""COMPUTED_VALUE"""),"+221 77 630 49 12")</f>
        <v>+221 77 630 49 12</v>
      </c>
      <c r="T79" s="1" t="str">
        <f ca="1">IFERROR(__xludf.DUMMYFUNCTION("""COMPUTED_VALUE"""),"BUOVOLO Emmanuel")</f>
        <v>BUOVOLO Emmanuel</v>
      </c>
      <c r="U79" s="1" t="str">
        <f ca="1">IFERROR(__xludf.DUMMYFUNCTION("""COMPUTED_VALUE"""),"BARO Noura")</f>
        <v>BARO Noura</v>
      </c>
      <c r="V79" s="1" t="str">
        <f ca="1">IFERROR(__xludf.DUMMYFUNCTION("""COMPUTED_VALUE"""),"buovolo.emmanuel@yahoo.fr")</f>
        <v>buovolo.emmanuel@yahoo.fr</v>
      </c>
      <c r="W79" s="1" t="str">
        <f ca="1">IFERROR(__xludf.DUMMYFUNCTION("""COMPUTED_VALUE"""),"nourabarro@yahoo.fr")</f>
        <v>nourabarro@yahoo.fr</v>
      </c>
      <c r="X79" s="1" t="str">
        <f ca="1">IFERROR(__xludf.DUMMYFUNCTION("""COMPUTED_VALUE"""),"+221 77 630 49 12")</f>
        <v>+221 77 630 49 12</v>
      </c>
      <c r="Y79" s="1" t="str">
        <f ca="1">IFERROR(__xludf.DUMMYFUNCTION("""COMPUTED_VALUE"""),"+221 78 115 56 80")</f>
        <v>+221 78 115 56 80</v>
      </c>
      <c r="Z79" s="1"/>
      <c r="AA79" s="1" t="str">
        <f ca="1">IFERROR(__xludf.DUMMYFUNCTION("""COMPUTED_VALUE"""),"+221")</f>
        <v>+221</v>
      </c>
      <c r="AB79" s="2">
        <f ca="1">IFERROR(__xludf.DUMMYFUNCTION("""COMPUTED_VALUE"""),28418)</f>
        <v>28418</v>
      </c>
      <c r="AC79" s="2">
        <f ca="1">IFERROR(__xludf.DUMMYFUNCTION("""COMPUTED_VALUE"""),30196)</f>
        <v>30196</v>
      </c>
      <c r="AD79" s="1" t="str">
        <f ca="1">IFERROR(__xludf.DUMMYFUNCTION("""COMPUTED_VALUE"""),"PERE")</f>
        <v>PERE</v>
      </c>
      <c r="AE79" s="1" t="str">
        <f ca="1">IFERROR(__xludf.DUMMYFUNCTION("""COMPUTED_VALUE"""),"MERE")</f>
        <v>MERE</v>
      </c>
      <c r="AF79" s="1" t="str">
        <f ca="1">IFERROR(__xludf.DUMMYFUNCTION("""COMPUTED_VALUE"""),"FRANCE")</f>
        <v>FRANCE</v>
      </c>
      <c r="AG79" s="1" t="str">
        <f ca="1">IFERROR(__xludf.DUMMYFUNCTION("""COMPUTED_VALUE"""),"FRANCE")</f>
        <v>FRANCE</v>
      </c>
      <c r="AH79" s="1"/>
      <c r="AI79" s="1" t="str">
        <f ca="1">IFERROR(__xludf.DUMMYFUNCTION("""COMPUTED_VALUE"""),"MAURITANIE")</f>
        <v>MAURITANIE</v>
      </c>
      <c r="AJ79" s="1" t="str">
        <f ca="1">IFERROR(__xludf.DUMMYFUNCTION("""COMPUTED_VALUE"""),"F1192")</f>
        <v>F1192</v>
      </c>
      <c r="AK79" s="1" t="str">
        <f ca="1">IFERROR(__xludf.DUMMYFUNCTION("""COMPUTED_VALUE"""),"Marié(e)")</f>
        <v>Marié(e)</v>
      </c>
      <c r="AL79" s="1" t="str">
        <f ca="1">IFERROR(__xludf.DUMMYFUNCTION("""COMPUTED_VALUE"""),"Marié(e)")</f>
        <v>Marié(e)</v>
      </c>
      <c r="AM79" s="1" t="str">
        <f ca="1">IFERROR(__xludf.DUMMYFUNCTION("""COMPUTED_VALUE"""),"F1192")</f>
        <v>F1192</v>
      </c>
    </row>
    <row r="80" spans="1:39" ht="15.75" customHeight="1" x14ac:dyDescent="0.15">
      <c r="A80" s="1" t="str">
        <f ca="1">IFERROR(__xludf.DUMMYFUNCTION("""COMPUTED_VALUE"""),"BUOVOLO Mariam")</f>
        <v>BUOVOLO Mariam</v>
      </c>
      <c r="B80" s="1" t="str">
        <f ca="1">IFERROR(__xludf.DUMMYFUNCTION("""COMPUTED_VALUE"""),"BUOVOLO")</f>
        <v>BUOVOLO</v>
      </c>
      <c r="C80" s="1" t="str">
        <f ca="1">IFERROR(__xludf.DUMMYFUNCTION("""COMPUTED_VALUE"""),"Mariam")</f>
        <v>Mariam</v>
      </c>
      <c r="D80" s="1" t="str">
        <f ca="1">IFERROR(__xludf.DUMMYFUNCTION("""COMPUTED_VALUE"""),"1192E2")</f>
        <v>1192E2</v>
      </c>
      <c r="E80" s="2">
        <f ca="1">IFERROR(__xludf.DUMMYFUNCTION("""COMPUTED_VALUE"""),39917)</f>
        <v>39917</v>
      </c>
      <c r="F80" s="1" t="str">
        <f ca="1">IFERROR(__xludf.DUMMYFUNCTION("""COMPUTED_VALUE"""),"TERMINALE1")</f>
        <v>TERMINALE1</v>
      </c>
      <c r="G80" s="1" t="str">
        <f ca="1">IFERROR(__xludf.DUMMYFUNCTION("""COMPUTED_VALUE"""),"Terminale")</f>
        <v>Terminale</v>
      </c>
      <c r="H80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80" s="1" t="str">
        <f ca="1">IFERROR(__xludf.DUMMYFUNCTION("""COMPUTED_VALUE"""),"LVA Anglais")</f>
        <v>LVA Anglais</v>
      </c>
      <c r="J80" s="1" t="str">
        <f ca="1">IFERROR(__xludf.DUMMYFUNCTION("""COMPUTED_VALUE"""),"LVB Espagnol")</f>
        <v>LVB Espagnol</v>
      </c>
      <c r="K80" s="1" t="str">
        <f ca="1">IFERROR(__xludf.DUMMYFUNCTION("""COMPUTED_VALUE"""),"MATHS EXPERTES")</f>
        <v>MATHS EXPERTES</v>
      </c>
      <c r="L80" s="1"/>
      <c r="M80" s="1" t="str">
        <f ca="1">IFERROR(__xludf.DUMMYFUNCTION("""COMPUTED_VALUE"""),"SPE MATHS, SPE SPC")</f>
        <v>SPE MATHS, SPE SPC</v>
      </c>
      <c r="N80" s="1" t="str">
        <f ca="1">IFERROR(__xludf.DUMMYFUNCTION("""COMPUTED_VALUE"""),"Fille")</f>
        <v>Fille</v>
      </c>
      <c r="O80" s="1"/>
      <c r="P80" s="1" t="str">
        <f ca="1">IFERROR(__xludf.DUMMYFUNCTION("""COMPUTED_VALUE"""),"FRANCE")</f>
        <v>FRANCE</v>
      </c>
      <c r="Q80" s="1"/>
      <c r="R80" s="1" t="str">
        <f ca="1">IFERROR(__xludf.DUMMYFUNCTION("""COMPUTED_VALUE"""),"mariam.buovolo@lfjpsaly.org")</f>
        <v>mariam.buovolo@lfjpsaly.org</v>
      </c>
      <c r="S80" s="1"/>
      <c r="T80" s="1" t="str">
        <f ca="1">IFERROR(__xludf.DUMMYFUNCTION("""COMPUTED_VALUE"""),"BUOVOLO Emmanuel")</f>
        <v>BUOVOLO Emmanuel</v>
      </c>
      <c r="U80" s="1" t="str">
        <f ca="1">IFERROR(__xludf.DUMMYFUNCTION("""COMPUTED_VALUE"""),"BARO Noura")</f>
        <v>BARO Noura</v>
      </c>
      <c r="V80" s="1" t="str">
        <f ca="1">IFERROR(__xludf.DUMMYFUNCTION("""COMPUTED_VALUE"""),"buovolo.emmanuel@yahoo.fr")</f>
        <v>buovolo.emmanuel@yahoo.fr</v>
      </c>
      <c r="W80" s="1" t="str">
        <f ca="1">IFERROR(__xludf.DUMMYFUNCTION("""COMPUTED_VALUE"""),"nourabarro@yahoo.fr")</f>
        <v>nourabarro@yahoo.fr</v>
      </c>
      <c r="X80" s="1" t="str">
        <f ca="1">IFERROR(__xludf.DUMMYFUNCTION("""COMPUTED_VALUE"""),"+221 77 630 49 12")</f>
        <v>+221 77 630 49 12</v>
      </c>
      <c r="Y80" s="1" t="str">
        <f ca="1">IFERROR(__xludf.DUMMYFUNCTION("""COMPUTED_VALUE"""),"+221 78 115 56 80")</f>
        <v>+221 78 115 56 80</v>
      </c>
      <c r="Z80" s="1"/>
      <c r="AA80" s="1" t="str">
        <f ca="1">IFERROR(__xludf.DUMMYFUNCTION("""COMPUTED_VALUE"""),"+221")</f>
        <v>+221</v>
      </c>
      <c r="AB80" s="2">
        <f ca="1">IFERROR(__xludf.DUMMYFUNCTION("""COMPUTED_VALUE"""),28418)</f>
        <v>28418</v>
      </c>
      <c r="AC80" s="2">
        <f ca="1">IFERROR(__xludf.DUMMYFUNCTION("""COMPUTED_VALUE"""),30196)</f>
        <v>30196</v>
      </c>
      <c r="AD80" s="1" t="str">
        <f ca="1">IFERROR(__xludf.DUMMYFUNCTION("""COMPUTED_VALUE"""),"PERE")</f>
        <v>PERE</v>
      </c>
      <c r="AE80" s="1" t="str">
        <f ca="1">IFERROR(__xludf.DUMMYFUNCTION("""COMPUTED_VALUE"""),"MERE")</f>
        <v>MERE</v>
      </c>
      <c r="AF80" s="1" t="str">
        <f ca="1">IFERROR(__xludf.DUMMYFUNCTION("""COMPUTED_VALUE"""),"FRANCE")</f>
        <v>FRANCE</v>
      </c>
      <c r="AG80" s="1" t="str">
        <f ca="1">IFERROR(__xludf.DUMMYFUNCTION("""COMPUTED_VALUE"""),"FRANCE")</f>
        <v>FRANCE</v>
      </c>
      <c r="AH80" s="1"/>
      <c r="AI80" s="1" t="str">
        <f ca="1">IFERROR(__xludf.DUMMYFUNCTION("""COMPUTED_VALUE"""),"MAURITANIE")</f>
        <v>MAURITANIE</v>
      </c>
      <c r="AJ80" s="1" t="str">
        <f ca="1">IFERROR(__xludf.DUMMYFUNCTION("""COMPUTED_VALUE"""),"F1192")</f>
        <v>F1192</v>
      </c>
      <c r="AK80" s="1" t="str">
        <f ca="1">IFERROR(__xludf.DUMMYFUNCTION("""COMPUTED_VALUE"""),"Marié(e)")</f>
        <v>Marié(e)</v>
      </c>
      <c r="AL80" s="1" t="str">
        <f ca="1">IFERROR(__xludf.DUMMYFUNCTION("""COMPUTED_VALUE"""),"Marié(e)")</f>
        <v>Marié(e)</v>
      </c>
      <c r="AM80" s="1" t="str">
        <f ca="1">IFERROR(__xludf.DUMMYFUNCTION("""COMPUTED_VALUE"""),"F1192")</f>
        <v>F1192</v>
      </c>
    </row>
    <row r="81" spans="1:39" ht="15.75" customHeight="1" x14ac:dyDescent="0.15">
      <c r="A81" s="1" t="str">
        <f ca="1">IFERROR(__xludf.DUMMYFUNCTION("""COMPUTED_VALUE"""),"BUOVOLO Moctar")</f>
        <v>BUOVOLO Moctar</v>
      </c>
      <c r="B81" s="1" t="str">
        <f ca="1">IFERROR(__xludf.DUMMYFUNCTION("""COMPUTED_VALUE"""),"BUOVOLO")</f>
        <v>BUOVOLO</v>
      </c>
      <c r="C81" s="1" t="str">
        <f ca="1">IFERROR(__xludf.DUMMYFUNCTION("""COMPUTED_VALUE"""),"Moctar")</f>
        <v>Moctar</v>
      </c>
      <c r="D81" s="1" t="str">
        <f ca="1">IFERROR(__xludf.DUMMYFUNCTION("""COMPUTED_VALUE"""),"1192E3")</f>
        <v>1192E3</v>
      </c>
      <c r="E81" s="2">
        <f ca="1">IFERROR(__xludf.DUMMYFUNCTION("""COMPUTED_VALUE"""),44208)</f>
        <v>44208</v>
      </c>
      <c r="F81" s="1" t="str">
        <f ca="1">IFERROR(__xludf.DUMMYFUNCTION("""COMPUTED_VALUE"""),"Mat 3")</f>
        <v>Mat 3</v>
      </c>
      <c r="G81" s="1" t="str">
        <f ca="1">IFERROR(__xludf.DUMMYFUNCTION("""COMPUTED_VALUE"""),"MS")</f>
        <v>MS</v>
      </c>
      <c r="H81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81" s="1"/>
      <c r="J81" s="1"/>
      <c r="K81" s="1"/>
      <c r="L81" s="1"/>
      <c r="M81" s="1"/>
      <c r="N81" s="1" t="str">
        <f ca="1">IFERROR(__xludf.DUMMYFUNCTION("""COMPUTED_VALUE"""),"Garçon")</f>
        <v>Garçon</v>
      </c>
      <c r="O81" s="1"/>
      <c r="P81" s="1" t="str">
        <f ca="1">IFERROR(__xludf.DUMMYFUNCTION("""COMPUTED_VALUE"""),"FRANCE")</f>
        <v>FRANCE</v>
      </c>
      <c r="Q81" s="1"/>
      <c r="R81" s="1"/>
      <c r="S81" s="1"/>
      <c r="T81" s="1" t="str">
        <f ca="1">IFERROR(__xludf.DUMMYFUNCTION("""COMPUTED_VALUE"""),"BUOVOLO Emmanuel")</f>
        <v>BUOVOLO Emmanuel</v>
      </c>
      <c r="U81" s="1" t="str">
        <f ca="1">IFERROR(__xludf.DUMMYFUNCTION("""COMPUTED_VALUE"""),"BARO Noura")</f>
        <v>BARO Noura</v>
      </c>
      <c r="V81" s="1" t="str">
        <f ca="1">IFERROR(__xludf.DUMMYFUNCTION("""COMPUTED_VALUE"""),"buovolo.emmanuel@yahoo.fr")</f>
        <v>buovolo.emmanuel@yahoo.fr</v>
      </c>
      <c r="W81" s="1" t="str">
        <f ca="1">IFERROR(__xludf.DUMMYFUNCTION("""COMPUTED_VALUE"""),"nourabarro@yahoo.fr")</f>
        <v>nourabarro@yahoo.fr</v>
      </c>
      <c r="X81" s="1" t="str">
        <f ca="1">IFERROR(__xludf.DUMMYFUNCTION("""COMPUTED_VALUE"""),"+221 77 630 49 12")</f>
        <v>+221 77 630 49 12</v>
      </c>
      <c r="Y81" s="1" t="str">
        <f ca="1">IFERROR(__xludf.DUMMYFUNCTION("""COMPUTED_VALUE"""),"+221 78 115 56 80")</f>
        <v>+221 78 115 56 80</v>
      </c>
      <c r="Z81" s="1"/>
      <c r="AA81" s="1" t="str">
        <f ca="1">IFERROR(__xludf.DUMMYFUNCTION("""COMPUTED_VALUE"""),"+221")</f>
        <v>+221</v>
      </c>
      <c r="AB81" s="2">
        <f ca="1">IFERROR(__xludf.DUMMYFUNCTION("""COMPUTED_VALUE"""),28418)</f>
        <v>28418</v>
      </c>
      <c r="AC81" s="2">
        <f ca="1">IFERROR(__xludf.DUMMYFUNCTION("""COMPUTED_VALUE"""),30196)</f>
        <v>30196</v>
      </c>
      <c r="AD81" s="1" t="str">
        <f ca="1">IFERROR(__xludf.DUMMYFUNCTION("""COMPUTED_VALUE"""),"PERE")</f>
        <v>PERE</v>
      </c>
      <c r="AE81" s="1" t="str">
        <f ca="1">IFERROR(__xludf.DUMMYFUNCTION("""COMPUTED_VALUE"""),"MERE")</f>
        <v>MERE</v>
      </c>
      <c r="AF81" s="1" t="str">
        <f ca="1">IFERROR(__xludf.DUMMYFUNCTION("""COMPUTED_VALUE"""),"FRANCE")</f>
        <v>FRANCE</v>
      </c>
      <c r="AG81" s="1" t="str">
        <f ca="1">IFERROR(__xludf.DUMMYFUNCTION("""COMPUTED_VALUE"""),"FRANCE")</f>
        <v>FRANCE</v>
      </c>
      <c r="AH81" s="1"/>
      <c r="AI81" s="1" t="str">
        <f ca="1">IFERROR(__xludf.DUMMYFUNCTION("""COMPUTED_VALUE"""),"MAURITANIE")</f>
        <v>MAURITANIE</v>
      </c>
      <c r="AJ81" s="1" t="str">
        <f ca="1">IFERROR(__xludf.DUMMYFUNCTION("""COMPUTED_VALUE"""),"F1192")</f>
        <v>F1192</v>
      </c>
      <c r="AK81" s="1" t="str">
        <f ca="1">IFERROR(__xludf.DUMMYFUNCTION("""COMPUTED_VALUE"""),"Marié(e)")</f>
        <v>Marié(e)</v>
      </c>
      <c r="AL81" s="1" t="str">
        <f ca="1">IFERROR(__xludf.DUMMYFUNCTION("""COMPUTED_VALUE"""),"Marié(e)")</f>
        <v>Marié(e)</v>
      </c>
      <c r="AM81" s="1" t="str">
        <f ca="1">IFERROR(__xludf.DUMMYFUNCTION("""COMPUTED_VALUE"""),"F1192")</f>
        <v>F1192</v>
      </c>
    </row>
    <row r="82" spans="1:39" ht="15.75" customHeight="1" x14ac:dyDescent="0.15">
      <c r="A82" s="1" t="str">
        <f ca="1">IFERROR(__xludf.DUMMYFUNCTION("""COMPUTED_VALUE"""),"CAGIRCI Mercan Deniz")</f>
        <v>CAGIRCI Mercan Deniz</v>
      </c>
      <c r="B82" s="1" t="str">
        <f ca="1">IFERROR(__xludf.DUMMYFUNCTION("""COMPUTED_VALUE"""),"CAGIRCI")</f>
        <v>CAGIRCI</v>
      </c>
      <c r="C82" s="1" t="str">
        <f ca="1">IFERROR(__xludf.DUMMYFUNCTION("""COMPUTED_VALUE"""),"Mercan Deniz")</f>
        <v>Mercan Deniz</v>
      </c>
      <c r="D82" s="1" t="str">
        <f ca="1">IFERROR(__xludf.DUMMYFUNCTION("""COMPUTED_VALUE"""),"11695S2329")</f>
        <v>11695S2329</v>
      </c>
      <c r="E82" s="2">
        <f ca="1">IFERROR(__xludf.DUMMYFUNCTION("""COMPUTED_VALUE"""),44721)</f>
        <v>44721</v>
      </c>
      <c r="F82" s="1" t="str">
        <f ca="1">IFERROR(__xludf.DUMMYFUNCTION("""COMPUTED_VALUE"""),"Mat 1")</f>
        <v>Mat 1</v>
      </c>
      <c r="G82" s="1" t="str">
        <f ca="1">IFERROR(__xludf.DUMMYFUNCTION("""COMPUTED_VALUE"""),"PS")</f>
        <v>PS</v>
      </c>
      <c r="H82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82" s="1"/>
      <c r="J82" s="1"/>
      <c r="K82" s="1"/>
      <c r="L82" s="1"/>
      <c r="M82" s="1"/>
      <c r="N82" s="1" t="str">
        <f ca="1">IFERROR(__xludf.DUMMYFUNCTION("""COMPUTED_VALUE"""),"Fille")</f>
        <v>Fille</v>
      </c>
      <c r="O82" s="1"/>
      <c r="P82" s="1" t="str">
        <f ca="1">IFERROR(__xludf.DUMMYFUNCTION("""COMPUTED_VALUE"""),"TURQUIE")</f>
        <v>TURQUIE</v>
      </c>
      <c r="Q82" s="1"/>
      <c r="R82" s="1"/>
      <c r="S82" s="1" t="str">
        <f ca="1">IFERROR(__xludf.DUMMYFUNCTION("""COMPUTED_VALUE"""),"+221")</f>
        <v>+221</v>
      </c>
      <c r="T82" s="1" t="str">
        <f ca="1">IFERROR(__xludf.DUMMYFUNCTION("""COMPUTED_VALUE"""),"CAGIRCI Tahir")</f>
        <v>CAGIRCI Tahir</v>
      </c>
      <c r="U82" s="1" t="str">
        <f ca="1">IFERROR(__xludf.DUMMYFUNCTION("""COMPUTED_VALUE"""),"CAGIRCI Esra")</f>
        <v>CAGIRCI Esra</v>
      </c>
      <c r="V82" s="1" t="str">
        <f ca="1">IFERROR(__xludf.DUMMYFUNCTION("""COMPUTED_VALUE"""),"tcagirci@thy.com")</f>
        <v>tcagirci@thy.com</v>
      </c>
      <c r="W82" s="1" t="str">
        <f ca="1">IFERROR(__xludf.DUMMYFUNCTION("""COMPUTED_VALUE"""),"ecagirci@thy.com")</f>
        <v>ecagirci@thy.com</v>
      </c>
      <c r="X82" s="1" t="str">
        <f ca="1">IFERROR(__xludf.DUMMYFUNCTION("""COMPUTED_VALUE"""),"+221 77 819 75 01")</f>
        <v>+221 77 819 75 01</v>
      </c>
      <c r="Y82" s="1" t="str">
        <f ca="1">IFERROR(__xludf.DUMMYFUNCTION("""COMPUTED_VALUE"""),"+221 77 819 75 01")</f>
        <v>+221 77 819 75 01</v>
      </c>
      <c r="Z82" s="1" t="str">
        <f ca="1">IFERROR(__xludf.DUMMYFUNCTION("""COMPUTED_VALUE"""),"+90 506 028 13 22")</f>
        <v>+90 506 028 13 22</v>
      </c>
      <c r="AA82" s="1" t="str">
        <f ca="1">IFERROR(__xludf.DUMMYFUNCTION("""COMPUTED_VALUE"""),"+221")</f>
        <v>+221</v>
      </c>
      <c r="AB82" s="2">
        <f ca="1">IFERROR(__xludf.DUMMYFUNCTION("""COMPUTED_VALUE"""),32009)</f>
        <v>32009</v>
      </c>
      <c r="AC82" s="2">
        <f ca="1">IFERROR(__xludf.DUMMYFUNCTION("""COMPUTED_VALUE"""),32757)</f>
        <v>32757</v>
      </c>
      <c r="AD82" s="1" t="str">
        <f ca="1">IFERROR(__xludf.DUMMYFUNCTION("""COMPUTED_VALUE"""),"PERE")</f>
        <v>PERE</v>
      </c>
      <c r="AE82" s="1" t="str">
        <f ca="1">IFERROR(__xludf.DUMMYFUNCTION("""COMPUTED_VALUE"""),"MERE")</f>
        <v>MERE</v>
      </c>
      <c r="AF82" s="1" t="str">
        <f ca="1">IFERROR(__xludf.DUMMYFUNCTION("""COMPUTED_VALUE"""),"TURQUIE")</f>
        <v>TURQUIE</v>
      </c>
      <c r="AG82" s="1" t="str">
        <f ca="1">IFERROR(__xludf.DUMMYFUNCTION("""COMPUTED_VALUE"""),"TURQUIE")</f>
        <v>TURQUIE</v>
      </c>
      <c r="AH82" s="1"/>
      <c r="AI82" s="1"/>
      <c r="AJ82" s="1" t="str">
        <f ca="1">IFERROR(__xludf.DUMMYFUNCTION("""COMPUTED_VALUE"""),"U11695")</f>
        <v>U11695</v>
      </c>
      <c r="AK82" s="1" t="str">
        <f ca="1">IFERROR(__xludf.DUMMYFUNCTION("""COMPUTED_VALUE"""),"Marié(e)")</f>
        <v>Marié(e)</v>
      </c>
      <c r="AL82" s="1" t="str">
        <f ca="1">IFERROR(__xludf.DUMMYFUNCTION("""COMPUTED_VALUE"""),"Marié(e)")</f>
        <v>Marié(e)</v>
      </c>
      <c r="AM82" s="1" t="str">
        <f ca="1">IFERROR(__xludf.DUMMYFUNCTION("""COMPUTED_VALUE"""),"U11695")</f>
        <v>U11695</v>
      </c>
    </row>
    <row r="83" spans="1:39" ht="15.75" customHeight="1" x14ac:dyDescent="0.15">
      <c r="A83" s="1" t="str">
        <f ca="1">IFERROR(__xludf.DUMMYFUNCTION("""COMPUTED_VALUE"""),"CALDEIRA Giovanna")</f>
        <v>CALDEIRA Giovanna</v>
      </c>
      <c r="B83" s="1" t="str">
        <f ca="1">IFERROR(__xludf.DUMMYFUNCTION("""COMPUTED_VALUE"""),"CALDEIRA")</f>
        <v>CALDEIRA</v>
      </c>
      <c r="C83" s="1" t="str">
        <f ca="1">IFERROR(__xludf.DUMMYFUNCTION("""COMPUTED_VALUE"""),"Giovanna")</f>
        <v>Giovanna</v>
      </c>
      <c r="D83" s="1" t="str">
        <f ca="1">IFERROR(__xludf.DUMMYFUNCTION("""COMPUTED_VALUE"""),"1194E1")</f>
        <v>1194E1</v>
      </c>
      <c r="E83" s="2">
        <f ca="1">IFERROR(__xludf.DUMMYFUNCTION("""COMPUTED_VALUE"""),39799)</f>
        <v>39799</v>
      </c>
      <c r="F83" s="1" t="str">
        <f ca="1">IFERROR(__xludf.DUMMYFUNCTION("""COMPUTED_VALUE"""),"1ERE2")</f>
        <v>1ERE2</v>
      </c>
      <c r="G83" s="1" t="str">
        <f ca="1">IFERROR(__xludf.DUMMYFUNCTION("""COMPUTED_VALUE"""),"1ère")</f>
        <v>1ère</v>
      </c>
      <c r="H83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83" s="1" t="str">
        <f ca="1">IFERROR(__xludf.DUMMYFUNCTION("""COMPUTED_VALUE"""),"LVA Anglais")</f>
        <v>LVA Anglais</v>
      </c>
      <c r="J83" s="1" t="str">
        <f ca="1">IFERROR(__xludf.DUMMYFUNCTION("""COMPUTED_VALUE"""),"LVB Espagnol")</f>
        <v>LVB Espagnol</v>
      </c>
      <c r="K83" s="1"/>
      <c r="L83" s="1"/>
      <c r="M83" s="1" t="str">
        <f ca="1">IFERROR(__xludf.DUMMYFUNCTION("""COMPUTED_VALUE"""),"SPE LLCE AMC, SPE MATHS, SPE SES")</f>
        <v>SPE LLCE AMC, SPE MATHS, SPE SES</v>
      </c>
      <c r="N83" s="1" t="str">
        <f ca="1">IFERROR(__xludf.DUMMYFUNCTION("""COMPUTED_VALUE"""),"Fille")</f>
        <v>Fille</v>
      </c>
      <c r="O83" s="1"/>
      <c r="P83" s="1" t="str">
        <f ca="1">IFERROR(__xludf.DUMMYFUNCTION("""COMPUTED_VALUE"""),"BRESIL")</f>
        <v>BRESIL</v>
      </c>
      <c r="Q83" s="1"/>
      <c r="R83" s="1" t="str">
        <f ca="1">IFERROR(__xludf.DUMMYFUNCTION("""COMPUTED_VALUE"""),"giovanna.caldeira@lfjpsaly.org")</f>
        <v>giovanna.caldeira@lfjpsaly.org</v>
      </c>
      <c r="S83" s="1" t="str">
        <f ca="1">IFERROR(__xludf.DUMMYFUNCTION("""COMPUTED_VALUE"""),"+221 78 378 54 87")</f>
        <v>+221 78 378 54 87</v>
      </c>
      <c r="T83" s="1" t="str">
        <f ca="1">IFERROR(__xludf.DUMMYFUNCTION("""COMPUTED_VALUE"""),"VITAL Carla")</f>
        <v>VITAL Carla</v>
      </c>
      <c r="U83" s="1" t="str">
        <f ca="1">IFERROR(__xludf.DUMMYFUNCTION("""COMPUTED_VALUE"""),"CALDEIRA Elton Marques")</f>
        <v>CALDEIRA Elton Marques</v>
      </c>
      <c r="V83" s="1" t="str">
        <f ca="1">IFERROR(__xludf.DUMMYFUNCTION("""COMPUTED_VALUE"""),"carlavital1724@gmail.com")</f>
        <v>carlavital1724@gmail.com</v>
      </c>
      <c r="W83" s="1" t="str">
        <f ca="1">IFERROR(__xludf.DUMMYFUNCTION("""COMPUTED_VALUE"""),"eltonmcaldeira@hotmail.com")</f>
        <v>eltonmcaldeira@hotmail.com</v>
      </c>
      <c r="X83" s="1" t="str">
        <f ca="1">IFERROR(__xludf.DUMMYFUNCTION("""COMPUTED_VALUE"""),"+221 77 129 11 76")</f>
        <v>+221 77 129 11 76</v>
      </c>
      <c r="Y83" s="1" t="str">
        <f ca="1">IFERROR(__xludf.DUMMYFUNCTION("""COMPUTED_VALUE"""),"+221 78 378 54 87")</f>
        <v>+221 78 378 54 87</v>
      </c>
      <c r="Z83" s="1" t="str">
        <f ca="1">IFERROR(__xludf.DUMMYFUNCTION("""COMPUTED_VALUE"""),"+221")</f>
        <v>+221</v>
      </c>
      <c r="AA83" s="1"/>
      <c r="AB83" s="2">
        <f ca="1">IFERROR(__xludf.DUMMYFUNCTION("""COMPUTED_VALUE"""),29700)</f>
        <v>29700</v>
      </c>
      <c r="AC83" s="2">
        <f ca="1">IFERROR(__xludf.DUMMYFUNCTION("""COMPUTED_VALUE"""),30208)</f>
        <v>30208</v>
      </c>
      <c r="AD83" s="1" t="str">
        <f ca="1">IFERROR(__xludf.DUMMYFUNCTION("""COMPUTED_VALUE"""),"MERE")</f>
        <v>MERE</v>
      </c>
      <c r="AE83" s="1" t="str">
        <f ca="1">IFERROR(__xludf.DUMMYFUNCTION("""COMPUTED_VALUE"""),"PERE")</f>
        <v>PERE</v>
      </c>
      <c r="AF83" s="1" t="str">
        <f ca="1">IFERROR(__xludf.DUMMYFUNCTION("""COMPUTED_VALUE"""),"BRESIL")</f>
        <v>BRESIL</v>
      </c>
      <c r="AG83" s="1" t="str">
        <f ca="1">IFERROR(__xludf.DUMMYFUNCTION("""COMPUTED_VALUE"""),"BRESIL")</f>
        <v>BRESIL</v>
      </c>
      <c r="AH83" s="1"/>
      <c r="AI83" s="1"/>
      <c r="AJ83" s="1" t="str">
        <f ca="1">IFERROR(__xludf.DUMMYFUNCTION("""COMPUTED_VALUE"""),"F1194")</f>
        <v>F1194</v>
      </c>
      <c r="AK83" s="1" t="str">
        <f ca="1">IFERROR(__xludf.DUMMYFUNCTION("""COMPUTED_VALUE"""),"Marié(e)")</f>
        <v>Marié(e)</v>
      </c>
      <c r="AL83" s="1" t="str">
        <f ca="1">IFERROR(__xludf.DUMMYFUNCTION("""COMPUTED_VALUE"""),"Marié(e)")</f>
        <v>Marié(e)</v>
      </c>
      <c r="AM83" s="1" t="str">
        <f ca="1">IFERROR(__xludf.DUMMYFUNCTION("""COMPUTED_VALUE"""),"F1194")</f>
        <v>F1194</v>
      </c>
    </row>
    <row r="84" spans="1:39" ht="15.75" customHeight="1" x14ac:dyDescent="0.15">
      <c r="A84" s="1" t="str">
        <f ca="1">IFERROR(__xludf.DUMMYFUNCTION("""COMPUTED_VALUE"""),"CAPEL Zoé")</f>
        <v>CAPEL Zoé</v>
      </c>
      <c r="B84" s="1" t="str">
        <f ca="1">IFERROR(__xludf.DUMMYFUNCTION("""COMPUTED_VALUE"""),"CAPEL")</f>
        <v>CAPEL</v>
      </c>
      <c r="C84" s="1" t="str">
        <f ca="1">IFERROR(__xludf.DUMMYFUNCTION("""COMPUTED_VALUE"""),"Zoé")</f>
        <v>Zoé</v>
      </c>
      <c r="D84" s="1" t="str">
        <f ca="1">IFERROR(__xludf.DUMMYFUNCTION("""COMPUTED_VALUE"""),"1196E1")</f>
        <v>1196E1</v>
      </c>
      <c r="E84" s="2">
        <f ca="1">IFERROR(__xludf.DUMMYFUNCTION("""COMPUTED_VALUE"""),43586)</f>
        <v>43586</v>
      </c>
      <c r="F84" s="1" t="str">
        <f ca="1">IFERROR(__xludf.DUMMYFUNCTION("""COMPUTED_VALUE"""),"CP-CE2")</f>
        <v>CP-CE2</v>
      </c>
      <c r="G84" s="1" t="str">
        <f ca="1">IFERROR(__xludf.DUMMYFUNCTION("""COMPUTED_VALUE"""),"CP")</f>
        <v>CP</v>
      </c>
      <c r="H84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84" s="1"/>
      <c r="J84" s="1"/>
      <c r="K84" s="1"/>
      <c r="L84" s="1"/>
      <c r="M84" s="1"/>
      <c r="N84" s="1" t="str">
        <f ca="1">IFERROR(__xludf.DUMMYFUNCTION("""COMPUTED_VALUE"""),"Fille")</f>
        <v>Fille</v>
      </c>
      <c r="O84" s="1"/>
      <c r="P84" s="1" t="str">
        <f ca="1">IFERROR(__xludf.DUMMYFUNCTION("""COMPUTED_VALUE"""),"FRANCE")</f>
        <v>FRANCE</v>
      </c>
      <c r="Q84" s="1"/>
      <c r="R84" s="1"/>
      <c r="S84" s="1"/>
      <c r="T84" s="1" t="str">
        <f ca="1">IFERROR(__xludf.DUMMYFUNCTION("""COMPUTED_VALUE"""),"CAPEL Bastien")</f>
        <v>CAPEL Bastien</v>
      </c>
      <c r="U84" s="1" t="str">
        <f ca="1">IFERROR(__xludf.DUMMYFUNCTION("""COMPUTED_VALUE"""),"CAPEL Eve")</f>
        <v>CAPEL Eve</v>
      </c>
      <c r="V84" s="1" t="str">
        <f ca="1">IFERROR(__xludf.DUMMYFUNCTION("""COMPUTED_VALUE"""),"bastiencapel@gmail.com")</f>
        <v>bastiencapel@gmail.com</v>
      </c>
      <c r="W84" s="1" t="str">
        <f ca="1">IFERROR(__xludf.DUMMYFUNCTION("""COMPUTED_VALUE"""),"lucas_eve@hotmail.fr")</f>
        <v>lucas_eve@hotmail.fr</v>
      </c>
      <c r="X84" s="1" t="str">
        <f ca="1">IFERROR(__xludf.DUMMYFUNCTION("""COMPUTED_VALUE"""),"+33 6 12 82 06 17")</f>
        <v>+33 6 12 82 06 17</v>
      </c>
      <c r="Y84" s="1" t="str">
        <f ca="1">IFERROR(__xludf.DUMMYFUNCTION("""COMPUTED_VALUE"""),"688889196")</f>
        <v>688889196</v>
      </c>
      <c r="Z84" s="1"/>
      <c r="AA84" s="1"/>
      <c r="AB84" s="2">
        <f ca="1">IFERROR(__xludf.DUMMYFUNCTION("""COMPUTED_VALUE"""),30783)</f>
        <v>30783</v>
      </c>
      <c r="AC84" s="2">
        <f ca="1">IFERROR(__xludf.DUMMYFUNCTION("""COMPUTED_VALUE"""),30386)</f>
        <v>30386</v>
      </c>
      <c r="AD84" s="1" t="str">
        <f ca="1">IFERROR(__xludf.DUMMYFUNCTION("""COMPUTED_VALUE"""),"PERE")</f>
        <v>PERE</v>
      </c>
      <c r="AE84" s="1" t="str">
        <f ca="1">IFERROR(__xludf.DUMMYFUNCTION("""COMPUTED_VALUE"""),"MERE")</f>
        <v>MERE</v>
      </c>
      <c r="AF84" s="1" t="str">
        <f ca="1">IFERROR(__xludf.DUMMYFUNCTION("""COMPUTED_VALUE"""),"FRANCE")</f>
        <v>FRANCE</v>
      </c>
      <c r="AG84" s="1" t="str">
        <f ca="1">IFERROR(__xludf.DUMMYFUNCTION("""COMPUTED_VALUE"""),"FRANCE")</f>
        <v>FRANCE</v>
      </c>
      <c r="AH84" s="1"/>
      <c r="AI84" s="1"/>
      <c r="AJ84" s="1" t="str">
        <f ca="1">IFERROR(__xludf.DUMMYFUNCTION("""COMPUTED_VALUE"""),"F1196")</f>
        <v>F1196</v>
      </c>
      <c r="AK84" s="1" t="str">
        <f ca="1">IFERROR(__xludf.DUMMYFUNCTION("""COMPUTED_VALUE"""),"Marié(e)")</f>
        <v>Marié(e)</v>
      </c>
      <c r="AL84" s="1" t="str">
        <f ca="1">IFERROR(__xludf.DUMMYFUNCTION("""COMPUTED_VALUE"""),"Marié(e)")</f>
        <v>Marié(e)</v>
      </c>
      <c r="AM84" s="1" t="str">
        <f ca="1">IFERROR(__xludf.DUMMYFUNCTION("""COMPUTED_VALUE"""),"F1196")</f>
        <v>F1196</v>
      </c>
    </row>
    <row r="85" spans="1:39" ht="15.75" customHeight="1" x14ac:dyDescent="0.15">
      <c r="A85" s="1" t="str">
        <f ca="1">IFERROR(__xludf.DUMMYFUNCTION("""COMPUTED_VALUE"""),"CERNEJESKI Hugo")</f>
        <v>CERNEJESKI Hugo</v>
      </c>
      <c r="B85" s="1" t="str">
        <f ca="1">IFERROR(__xludf.DUMMYFUNCTION("""COMPUTED_VALUE"""),"CERNEJESKI")</f>
        <v>CERNEJESKI</v>
      </c>
      <c r="C85" s="1" t="str">
        <f ca="1">IFERROR(__xludf.DUMMYFUNCTION("""COMPUTED_VALUE"""),"Hugo")</f>
        <v>Hugo</v>
      </c>
      <c r="D85" s="1" t="str">
        <f ca="1">IFERROR(__xludf.DUMMYFUNCTION("""COMPUTED_VALUE"""),"1564E1")</f>
        <v>1564E1</v>
      </c>
      <c r="E85" s="2">
        <f ca="1">IFERROR(__xludf.DUMMYFUNCTION("""COMPUTED_VALUE"""),39512)</f>
        <v>39512</v>
      </c>
      <c r="F85" s="1" t="str">
        <f ca="1">IFERROR(__xludf.DUMMYFUNCTION("""COMPUTED_VALUE"""),"TERMINALE2")</f>
        <v>TERMINALE2</v>
      </c>
      <c r="G85" s="1" t="str">
        <f ca="1">IFERROR(__xludf.DUMMYFUNCTION("""COMPUTED_VALUE"""),"Terminale")</f>
        <v>Terminale</v>
      </c>
      <c r="H85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85" s="1" t="str">
        <f ca="1">IFERROR(__xludf.DUMMYFUNCTION("""COMPUTED_VALUE"""),"LVA Anglais")</f>
        <v>LVA Anglais</v>
      </c>
      <c r="J85" s="1" t="str">
        <f ca="1">IFERROR(__xludf.DUMMYFUNCTION("""COMPUTED_VALUE"""),"LVB Espagnol")</f>
        <v>LVB Espagnol</v>
      </c>
      <c r="K85" s="1" t="str">
        <f ca="1">IFERROR(__xludf.DUMMYFUNCTION("""COMPUTED_VALUE"""),"MATHS COMPLEMENTAIRE")</f>
        <v>MATHS COMPLEMENTAIRE</v>
      </c>
      <c r="L85" s="1"/>
      <c r="M85" s="1" t="str">
        <f ca="1">IFERROR(__xludf.DUMMYFUNCTION("""COMPUTED_VALUE"""),"SPE HGGSP, SPE SES")</f>
        <v>SPE HGGSP, SPE SES</v>
      </c>
      <c r="N85" s="1" t="str">
        <f ca="1">IFERROR(__xludf.DUMMYFUNCTION("""COMPUTED_VALUE"""),"Garçon")</f>
        <v>Garçon</v>
      </c>
      <c r="O85" s="1"/>
      <c r="P85" s="1" t="str">
        <f ca="1">IFERROR(__xludf.DUMMYFUNCTION("""COMPUTED_VALUE"""),"FRANCE")</f>
        <v>FRANCE</v>
      </c>
      <c r="Q85" s="1"/>
      <c r="R85" s="1" t="str">
        <f ca="1">IFERROR(__xludf.DUMMYFUNCTION("""COMPUTED_VALUE"""),"hugo.cernejeski@lfjpsaly.org")</f>
        <v>hugo.cernejeski@lfjpsaly.org</v>
      </c>
      <c r="S85" s="1"/>
      <c r="T85" s="1" t="str">
        <f ca="1">IFERROR(__xludf.DUMMYFUNCTION("""COMPUTED_VALUE"""),"STRIVE Valérie Raphoz")</f>
        <v>STRIVE Valérie Raphoz</v>
      </c>
      <c r="U85" s="1" t="str">
        <f ca="1">IFERROR(__xludf.DUMMYFUNCTION("""COMPUTED_VALUE"""),"SOUMAHORO Djenebou")</f>
        <v>SOUMAHORO Djenebou</v>
      </c>
      <c r="V85" s="1" t="str">
        <f ca="1">IFERROR(__xludf.DUMMYFUNCTION("""COMPUTED_VALUE"""),"vraphoz@strivefootballgroup.com")</f>
        <v>vraphoz@strivefootballgroup.com</v>
      </c>
      <c r="W85" s="1" t="str">
        <f ca="1">IFERROR(__xludf.DUMMYFUNCTION("""COMPUTED_VALUE"""),"soumahorozeinab2@gmail.com")</f>
        <v>soumahorozeinab2@gmail.com</v>
      </c>
      <c r="X85" s="1" t="str">
        <f ca="1">IFERROR(__xludf.DUMMYFUNCTION("""COMPUTED_VALUE"""),"+33 6 50 85 20 71")</f>
        <v>+33 6 50 85 20 71</v>
      </c>
      <c r="Y85" s="1" t="str">
        <f ca="1">IFERROR(__xludf.DUMMYFUNCTION("""COMPUTED_VALUE"""),"+221 78 733 82 89")</f>
        <v>+221 78 733 82 89</v>
      </c>
      <c r="Z85" s="1" t="str">
        <f ca="1">IFERROR(__xludf.DUMMYFUNCTION("""COMPUTED_VALUE"""),"+221")</f>
        <v>+221</v>
      </c>
      <c r="AA85" s="1" t="str">
        <f ca="1">IFERROR(__xludf.DUMMYFUNCTION("""COMPUTED_VALUE"""),"+221")</f>
        <v>+221</v>
      </c>
      <c r="AB85" s="2">
        <f ca="1">IFERROR(__xludf.DUMMYFUNCTION("""COMPUTED_VALUE"""),44754)</f>
        <v>44754</v>
      </c>
      <c r="AC85" s="2">
        <f ca="1">IFERROR(__xludf.DUMMYFUNCTION("""COMPUTED_VALUE"""),35883)</f>
        <v>35883</v>
      </c>
      <c r="AD85" s="1" t="str">
        <f ca="1">IFERROR(__xludf.DUMMYFUNCTION("""COMPUTED_VALUE"""),"TUTEUR")</f>
        <v>TUTEUR</v>
      </c>
      <c r="AE85" s="1" t="str">
        <f ca="1">IFERROR(__xludf.DUMMYFUNCTION("""COMPUTED_VALUE"""),"TUTEUR")</f>
        <v>TUTEUR</v>
      </c>
      <c r="AF85" s="1" t="str">
        <f ca="1">IFERROR(__xludf.DUMMYFUNCTION("""COMPUTED_VALUE"""),"FRANCE")</f>
        <v>FRANCE</v>
      </c>
      <c r="AG85" s="1" t="str">
        <f ca="1">IFERROR(__xludf.DUMMYFUNCTION("""COMPUTED_VALUE"""),"COTE D'IVOIRE")</f>
        <v>COTE D'IVOIRE</v>
      </c>
      <c r="AH85" s="1" t="str">
        <f ca="1">IFERROR(__xludf.DUMMYFUNCTION("""COMPUTED_VALUE"""),"FRANCE")</f>
        <v>FRANCE</v>
      </c>
      <c r="AI85" s="1"/>
      <c r="AJ85" s="1" t="str">
        <f ca="1">IFERROR(__xludf.DUMMYFUNCTION("""COMPUTED_VALUE"""),"F1575")</f>
        <v>F1575</v>
      </c>
      <c r="AK85" s="1" t="str">
        <f ca="1">IFERROR(__xludf.DUMMYFUNCTION("""COMPUTED_VALUE"""),"Marié(e)")</f>
        <v>Marié(e)</v>
      </c>
      <c r="AL85" s="1" t="str">
        <f ca="1">IFERROR(__xludf.DUMMYFUNCTION("""COMPUTED_VALUE"""),"Marié(e)")</f>
        <v>Marié(e)</v>
      </c>
      <c r="AM85" s="1" t="str">
        <f ca="1">IFERROR(__xludf.DUMMYFUNCTION("""COMPUTED_VALUE"""),"F1575")</f>
        <v>F1575</v>
      </c>
    </row>
    <row r="86" spans="1:39" ht="15.75" customHeight="1" x14ac:dyDescent="0.15">
      <c r="A86" s="1" t="str">
        <f ca="1">IFERROR(__xludf.DUMMYFUNCTION("""COMPUTED_VALUE"""),"CHAOUY Rabia")</f>
        <v>CHAOUY Rabia</v>
      </c>
      <c r="B86" s="1" t="str">
        <f ca="1">IFERROR(__xludf.DUMMYFUNCTION("""COMPUTED_VALUE"""),"CHAOUY")</f>
        <v>CHAOUY</v>
      </c>
      <c r="C86" s="1" t="str">
        <f ca="1">IFERROR(__xludf.DUMMYFUNCTION("""COMPUTED_VALUE"""),"Rabia")</f>
        <v>Rabia</v>
      </c>
      <c r="D86" s="1" t="str">
        <f ca="1">IFERROR(__xludf.DUMMYFUNCTION("""COMPUTED_VALUE"""),"1200E1")</f>
        <v>1200E1</v>
      </c>
      <c r="E86" s="2">
        <f ca="1">IFERROR(__xludf.DUMMYFUNCTION("""COMPUTED_VALUE"""),41361)</f>
        <v>41361</v>
      </c>
      <c r="F86" s="1" t="str">
        <f ca="1">IFERROR(__xludf.DUMMYFUNCTION("""COMPUTED_VALUE"""),"5EME2")</f>
        <v>5EME2</v>
      </c>
      <c r="G86" s="1" t="str">
        <f ca="1">IFERROR(__xludf.DUMMYFUNCTION("""COMPUTED_VALUE"""),"5ème")</f>
        <v>5ème</v>
      </c>
      <c r="H86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86" s="1" t="str">
        <f ca="1">IFERROR(__xludf.DUMMYFUNCTION("""COMPUTED_VALUE"""),"LVA Anglais")</f>
        <v>LVA Anglais</v>
      </c>
      <c r="J86" s="1" t="str">
        <f ca="1">IFERROR(__xludf.DUMMYFUNCTION("""COMPUTED_VALUE"""),"LVB Espagnol")</f>
        <v>LVB Espagnol</v>
      </c>
      <c r="K86" s="1"/>
      <c r="L86" s="1"/>
      <c r="M86" s="1"/>
      <c r="N86" s="1" t="str">
        <f ca="1">IFERROR(__xludf.DUMMYFUNCTION("""COMPUTED_VALUE"""),"Fille")</f>
        <v>Fille</v>
      </c>
      <c r="O86" s="1"/>
      <c r="P86" s="1" t="str">
        <f ca="1">IFERROR(__xludf.DUMMYFUNCTION("""COMPUTED_VALUE"""),"FRANCE")</f>
        <v>FRANCE</v>
      </c>
      <c r="Q86" s="1" t="str">
        <f ca="1">IFERROR(__xludf.DUMMYFUNCTION("""COMPUTED_VALUE"""),"SENEGAL")</f>
        <v>SENEGAL</v>
      </c>
      <c r="R86" s="1" t="str">
        <f ca="1">IFERROR(__xludf.DUMMYFUNCTION("""COMPUTED_VALUE"""),"rabia.chaouy@lfjpsaly.org")</f>
        <v>rabia.chaouy@lfjpsaly.org</v>
      </c>
      <c r="S86" s="1" t="str">
        <f ca="1">IFERROR(__xludf.DUMMYFUNCTION("""COMPUTED_VALUE"""),"+221")</f>
        <v>+221</v>
      </c>
      <c r="T86" s="1" t="str">
        <f ca="1">IFERROR(__xludf.DUMMYFUNCTION("""COMPUTED_VALUE"""),"CISSE Maty")</f>
        <v>CISSE Maty</v>
      </c>
      <c r="U86" s="1" t="str">
        <f ca="1">IFERROR(__xludf.DUMMYFUNCTION("""COMPUTED_VALUE"""),"CHAOUY Badredine")</f>
        <v>CHAOUY Badredine</v>
      </c>
      <c r="V86" s="1" t="str">
        <f ca="1">IFERROR(__xludf.DUMMYFUNCTION("""COMPUTED_VALUE"""),"cissematy82@gmail.com")</f>
        <v>cissematy82@gmail.com</v>
      </c>
      <c r="W86" s="1" t="str">
        <f ca="1">IFERROR(__xludf.DUMMYFUNCTION("""COMPUTED_VALUE"""),"badredinechaouy47@gmail.com")</f>
        <v>badredinechaouy47@gmail.com</v>
      </c>
      <c r="X86" s="1" t="str">
        <f ca="1">IFERROR(__xludf.DUMMYFUNCTION("""COMPUTED_VALUE"""),"+221 77 522 44 13")</f>
        <v>+221 77 522 44 13</v>
      </c>
      <c r="Y86" s="1" t="str">
        <f ca="1">IFERROR(__xludf.DUMMYFUNCTION("""COMPUTED_VALUE"""),"+221 78 458 20 71")</f>
        <v>+221 78 458 20 71</v>
      </c>
      <c r="Z86" s="1" t="str">
        <f ca="1">IFERROR(__xludf.DUMMYFUNCTION("""COMPUTED_VALUE"""),"+221")</f>
        <v>+221</v>
      </c>
      <c r="AA86" s="1" t="str">
        <f ca="1">IFERROR(__xludf.DUMMYFUNCTION("""COMPUTED_VALUE"""),"+221 77 745 46 51")</f>
        <v>+221 77 745 46 51</v>
      </c>
      <c r="AB86" s="2">
        <f ca="1">IFERROR(__xludf.DUMMYFUNCTION("""COMPUTED_VALUE"""),29275)</f>
        <v>29275</v>
      </c>
      <c r="AC86" s="2">
        <f ca="1">IFERROR(__xludf.DUMMYFUNCTION("""COMPUTED_VALUE"""),19298)</f>
        <v>19298</v>
      </c>
      <c r="AD86" s="1" t="str">
        <f ca="1">IFERROR(__xludf.DUMMYFUNCTION("""COMPUTED_VALUE"""),"MERE")</f>
        <v>MERE</v>
      </c>
      <c r="AE86" s="1" t="str">
        <f ca="1">IFERROR(__xludf.DUMMYFUNCTION("""COMPUTED_VALUE"""),"PERE")</f>
        <v>PERE</v>
      </c>
      <c r="AF86" s="1" t="str">
        <f ca="1">IFERROR(__xludf.DUMMYFUNCTION("""COMPUTED_VALUE"""),"SENEGAL")</f>
        <v>SENEGAL</v>
      </c>
      <c r="AG86" s="1" t="str">
        <f ca="1">IFERROR(__xludf.DUMMYFUNCTION("""COMPUTED_VALUE"""),"SENEGAL")</f>
        <v>SENEGAL</v>
      </c>
      <c r="AH86" s="1"/>
      <c r="AI86" s="1"/>
      <c r="AJ86" s="1" t="str">
        <f ca="1">IFERROR(__xludf.DUMMYFUNCTION("""COMPUTED_VALUE"""),"F1200")</f>
        <v>F1200</v>
      </c>
      <c r="AK86" s="1" t="str">
        <f ca="1">IFERROR(__xludf.DUMMYFUNCTION("""COMPUTED_VALUE"""),"Marié(e)")</f>
        <v>Marié(e)</v>
      </c>
      <c r="AL86" s="1" t="str">
        <f ca="1">IFERROR(__xludf.DUMMYFUNCTION("""COMPUTED_VALUE"""),"Marié(e)")</f>
        <v>Marié(e)</v>
      </c>
      <c r="AM86" s="1" t="str">
        <f ca="1">IFERROR(__xludf.DUMMYFUNCTION("""COMPUTED_VALUE"""),"F1200")</f>
        <v>F1200</v>
      </c>
    </row>
    <row r="87" spans="1:39" ht="15.75" customHeight="1" x14ac:dyDescent="0.15">
      <c r="A87" s="1" t="str">
        <f ca="1">IFERROR(__xludf.DUMMYFUNCTION("""COMPUTED_VALUE"""),"CHAOUY Rokhaya-Halima")</f>
        <v>CHAOUY Rokhaya-Halima</v>
      </c>
      <c r="B87" s="1" t="str">
        <f ca="1">IFERROR(__xludf.DUMMYFUNCTION("""COMPUTED_VALUE"""),"CHAOUY")</f>
        <v>CHAOUY</v>
      </c>
      <c r="C87" s="1" t="str">
        <f ca="1">IFERROR(__xludf.DUMMYFUNCTION("""COMPUTED_VALUE"""),"Rokhaya-Halima")</f>
        <v>Rokhaya-Halima</v>
      </c>
      <c r="D87" s="1" t="str">
        <f ca="1">IFERROR(__xludf.DUMMYFUNCTION("""COMPUTED_VALUE"""),"1200E2")</f>
        <v>1200E2</v>
      </c>
      <c r="E87" s="2">
        <f ca="1">IFERROR(__xludf.DUMMYFUNCTION("""COMPUTED_VALUE"""),42908)</f>
        <v>42908</v>
      </c>
      <c r="F87" s="1" t="str">
        <f ca="1">IFERROR(__xludf.DUMMYFUNCTION("""COMPUTED_VALUE"""),"CE2")</f>
        <v>CE2</v>
      </c>
      <c r="G87" s="1" t="str">
        <f ca="1">IFERROR(__xludf.DUMMYFUNCTION("""COMPUTED_VALUE"""),"CE2")</f>
        <v>CE2</v>
      </c>
      <c r="H87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87" s="1"/>
      <c r="J87" s="1"/>
      <c r="K87" s="1"/>
      <c r="L87" s="1"/>
      <c r="M87" s="1"/>
      <c r="N87" s="1" t="str">
        <f ca="1">IFERROR(__xludf.DUMMYFUNCTION("""COMPUTED_VALUE"""),"Fille")</f>
        <v>Fille</v>
      </c>
      <c r="O87" s="1"/>
      <c r="P87" s="1" t="str">
        <f ca="1">IFERROR(__xludf.DUMMYFUNCTION("""COMPUTED_VALUE"""),"FRANCE")</f>
        <v>FRANCE</v>
      </c>
      <c r="Q87" s="1"/>
      <c r="R87" s="1"/>
      <c r="S87" s="1" t="str">
        <f ca="1">IFERROR(__xludf.DUMMYFUNCTION("""COMPUTED_VALUE"""),"+221")</f>
        <v>+221</v>
      </c>
      <c r="T87" s="1" t="str">
        <f ca="1">IFERROR(__xludf.DUMMYFUNCTION("""COMPUTED_VALUE"""),"CISSE Maty")</f>
        <v>CISSE Maty</v>
      </c>
      <c r="U87" s="1" t="str">
        <f ca="1">IFERROR(__xludf.DUMMYFUNCTION("""COMPUTED_VALUE"""),"CHAOUY Badredine")</f>
        <v>CHAOUY Badredine</v>
      </c>
      <c r="V87" s="1" t="str">
        <f ca="1">IFERROR(__xludf.DUMMYFUNCTION("""COMPUTED_VALUE"""),"cissematy82@gmail.com")</f>
        <v>cissematy82@gmail.com</v>
      </c>
      <c r="W87" s="1" t="str">
        <f ca="1">IFERROR(__xludf.DUMMYFUNCTION("""COMPUTED_VALUE"""),"badredinechaouy47@gmail.com")</f>
        <v>badredinechaouy47@gmail.com</v>
      </c>
      <c r="X87" s="1" t="str">
        <f ca="1">IFERROR(__xludf.DUMMYFUNCTION("""COMPUTED_VALUE"""),"+221 77 522 44 13")</f>
        <v>+221 77 522 44 13</v>
      </c>
      <c r="Y87" s="1" t="str">
        <f ca="1">IFERROR(__xludf.DUMMYFUNCTION("""COMPUTED_VALUE"""),"+221 78 458 20 71")</f>
        <v>+221 78 458 20 71</v>
      </c>
      <c r="Z87" s="1" t="str">
        <f ca="1">IFERROR(__xludf.DUMMYFUNCTION("""COMPUTED_VALUE"""),"+221")</f>
        <v>+221</v>
      </c>
      <c r="AA87" s="1" t="str">
        <f ca="1">IFERROR(__xludf.DUMMYFUNCTION("""COMPUTED_VALUE"""),"+221 77 745 46 51")</f>
        <v>+221 77 745 46 51</v>
      </c>
      <c r="AB87" s="2">
        <f ca="1">IFERROR(__xludf.DUMMYFUNCTION("""COMPUTED_VALUE"""),29275)</f>
        <v>29275</v>
      </c>
      <c r="AC87" s="2">
        <f ca="1">IFERROR(__xludf.DUMMYFUNCTION("""COMPUTED_VALUE"""),19298)</f>
        <v>19298</v>
      </c>
      <c r="AD87" s="1" t="str">
        <f ca="1">IFERROR(__xludf.DUMMYFUNCTION("""COMPUTED_VALUE"""),"MERE")</f>
        <v>MERE</v>
      </c>
      <c r="AE87" s="1" t="str">
        <f ca="1">IFERROR(__xludf.DUMMYFUNCTION("""COMPUTED_VALUE"""),"PERE")</f>
        <v>PERE</v>
      </c>
      <c r="AF87" s="1" t="str">
        <f ca="1">IFERROR(__xludf.DUMMYFUNCTION("""COMPUTED_VALUE"""),"SENEGAL")</f>
        <v>SENEGAL</v>
      </c>
      <c r="AG87" s="1" t="str">
        <f ca="1">IFERROR(__xludf.DUMMYFUNCTION("""COMPUTED_VALUE"""),"SENEGAL")</f>
        <v>SENEGAL</v>
      </c>
      <c r="AH87" s="1"/>
      <c r="AI87" s="1"/>
      <c r="AJ87" s="1" t="str">
        <f ca="1">IFERROR(__xludf.DUMMYFUNCTION("""COMPUTED_VALUE"""),"F1200")</f>
        <v>F1200</v>
      </c>
      <c r="AK87" s="1" t="str">
        <f ca="1">IFERROR(__xludf.DUMMYFUNCTION("""COMPUTED_VALUE"""),"Marié(e)")</f>
        <v>Marié(e)</v>
      </c>
      <c r="AL87" s="1" t="str">
        <f ca="1">IFERROR(__xludf.DUMMYFUNCTION("""COMPUTED_VALUE"""),"Marié(e)")</f>
        <v>Marié(e)</v>
      </c>
      <c r="AM87" s="1" t="str">
        <f ca="1">IFERROR(__xludf.DUMMYFUNCTION("""COMPUTED_VALUE"""),"F1200")</f>
        <v>F1200</v>
      </c>
    </row>
    <row r="88" spans="1:39" ht="15.75" customHeight="1" x14ac:dyDescent="0.15">
      <c r="A88" s="1" t="str">
        <f ca="1">IFERROR(__xludf.DUMMYFUNCTION("""COMPUTED_VALUE"""),"CHARAT Joséphine Awa Michele")</f>
        <v>CHARAT Joséphine Awa Michele</v>
      </c>
      <c r="B88" s="1" t="str">
        <f ca="1">IFERROR(__xludf.DUMMYFUNCTION("""COMPUTED_VALUE"""),"CHARAT")</f>
        <v>CHARAT</v>
      </c>
      <c r="C88" s="1" t="str">
        <f ca="1">IFERROR(__xludf.DUMMYFUNCTION("""COMPUTED_VALUE"""),"Joséphine Awa Michele")</f>
        <v>Joséphine Awa Michele</v>
      </c>
      <c r="D88" s="1" t="str">
        <f ca="1">IFERROR(__xludf.DUMMYFUNCTION("""COMPUTED_VALUE"""),"1201E1")</f>
        <v>1201E1</v>
      </c>
      <c r="E88" s="2">
        <f ca="1">IFERROR(__xludf.DUMMYFUNCTION("""COMPUTED_VALUE"""),40735)</f>
        <v>40735</v>
      </c>
      <c r="F88" s="1" t="str">
        <f ca="1">IFERROR(__xludf.DUMMYFUNCTION("""COMPUTED_VALUE"""),"3EME2")</f>
        <v>3EME2</v>
      </c>
      <c r="G88" s="1" t="str">
        <f ca="1">IFERROR(__xludf.DUMMYFUNCTION("""COMPUTED_VALUE"""),"3ème")</f>
        <v>3ème</v>
      </c>
      <c r="H88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88" s="1" t="str">
        <f ca="1">IFERROR(__xludf.DUMMYFUNCTION("""COMPUTED_VALUE"""),"LVA Anglais")</f>
        <v>LVA Anglais</v>
      </c>
      <c r="J88" s="1" t="str">
        <f ca="1">IFERROR(__xludf.DUMMYFUNCTION("""COMPUTED_VALUE"""),"LVB Espagnol")</f>
        <v>LVB Espagnol</v>
      </c>
      <c r="K88" s="1"/>
      <c r="L88" s="1"/>
      <c r="M88" s="1"/>
      <c r="N88" s="1" t="str">
        <f ca="1">IFERROR(__xludf.DUMMYFUNCTION("""COMPUTED_VALUE"""),"Fille")</f>
        <v>Fille</v>
      </c>
      <c r="O88" s="1"/>
      <c r="P88" s="1" t="str">
        <f ca="1">IFERROR(__xludf.DUMMYFUNCTION("""COMPUTED_VALUE"""),"FRANCE")</f>
        <v>FRANCE</v>
      </c>
      <c r="Q88" s="1" t="str">
        <f ca="1">IFERROR(__xludf.DUMMYFUNCTION("""COMPUTED_VALUE"""),"SENEGAL")</f>
        <v>SENEGAL</v>
      </c>
      <c r="R88" s="1" t="str">
        <f ca="1">IFERROR(__xludf.DUMMYFUNCTION("""COMPUTED_VALUE"""),"josephine.charat@lfjpsaly.org")</f>
        <v>josephine.charat@lfjpsaly.org</v>
      </c>
      <c r="S88" s="1" t="str">
        <f ca="1">IFERROR(__xludf.DUMMYFUNCTION("""COMPUTED_VALUE"""),"+221 77 842 39 22")</f>
        <v>+221 77 842 39 22</v>
      </c>
      <c r="T88" s="1" t="str">
        <f ca="1">IFERROR(__xludf.DUMMYFUNCTION("""COMPUTED_VALUE"""),"CHARAT Bertrand")</f>
        <v>CHARAT Bertrand</v>
      </c>
      <c r="U88" s="1"/>
      <c r="V88" s="1" t="str">
        <f ca="1">IFERROR(__xludf.DUMMYFUNCTION("""COMPUTED_VALUE"""),"bertrandcharat@gmail.com")</f>
        <v>bertrandcharat@gmail.com</v>
      </c>
      <c r="W88" s="1"/>
      <c r="X88" s="1" t="str">
        <f ca="1">IFERROR(__xludf.DUMMYFUNCTION("""COMPUTED_VALUE"""),"+221 77 333 52 52")</f>
        <v>+221 77 333 52 52</v>
      </c>
      <c r="Y88" s="1"/>
      <c r="Z88" s="1" t="str">
        <f ca="1">IFERROR(__xludf.DUMMYFUNCTION("""COMPUTED_VALUE"""),"+221 77 333 52 52")</f>
        <v>+221 77 333 52 52</v>
      </c>
      <c r="AA88" s="1"/>
      <c r="AB88" s="2">
        <f ca="1">IFERROR(__xludf.DUMMYFUNCTION("""COMPUTED_VALUE"""),23689)</f>
        <v>23689</v>
      </c>
      <c r="AC88" s="1"/>
      <c r="AD88" s="1" t="str">
        <f ca="1">IFERROR(__xludf.DUMMYFUNCTION("""COMPUTED_VALUE"""),"PERE")</f>
        <v>PERE</v>
      </c>
      <c r="AE88" s="1"/>
      <c r="AF88" s="1" t="str">
        <f ca="1">IFERROR(__xludf.DUMMYFUNCTION("""COMPUTED_VALUE"""),"FRANCE")</f>
        <v>FRANCE</v>
      </c>
      <c r="AG88" s="1"/>
      <c r="AH88" s="1" t="str">
        <f ca="1">IFERROR(__xludf.DUMMYFUNCTION("""COMPUTED_VALUE"""),"FRANCE")</f>
        <v>FRANCE</v>
      </c>
      <c r="AI88" s="1"/>
      <c r="AJ88" s="1" t="str">
        <f ca="1">IFERROR(__xludf.DUMMYFUNCTION("""COMPUTED_VALUE"""),"F1201")</f>
        <v>F1201</v>
      </c>
      <c r="AK88" s="1" t="str">
        <f ca="1">IFERROR(__xludf.DUMMYFUNCTION("""COMPUTED_VALUE"""),"Divorcée")</f>
        <v>Divorcée</v>
      </c>
      <c r="AL88" s="1"/>
      <c r="AM88" s="1" t="str">
        <f ca="1">IFERROR(__xludf.DUMMYFUNCTION("""COMPUTED_VALUE"""),"F1201")</f>
        <v>F1201</v>
      </c>
    </row>
    <row r="89" spans="1:39" ht="15.75" customHeight="1" x14ac:dyDescent="0.15">
      <c r="A89" s="1" t="str">
        <f ca="1">IFERROR(__xludf.DUMMYFUNCTION("""COMPUTED_VALUE"""),"CHAUSSÉNÉRY Jessica  Océane  Gracia")</f>
        <v>CHAUSSÉNÉRY Jessica  Océane  Gracia</v>
      </c>
      <c r="B89" s="1" t="str">
        <f ca="1">IFERROR(__xludf.DUMMYFUNCTION("""COMPUTED_VALUE"""),"CHAUSSÉNÉRY")</f>
        <v>CHAUSSÉNÉRY</v>
      </c>
      <c r="C89" s="1" t="str">
        <f ca="1">IFERROR(__xludf.DUMMYFUNCTION("""COMPUTED_VALUE"""),"Jessica  Océane  Gracia")</f>
        <v>Jessica  Océane  Gracia</v>
      </c>
      <c r="D89" s="1" t="str">
        <f ca="1">IFERROR(__xludf.DUMMYFUNCTION("""COMPUTED_VALUE"""),"1202E1")</f>
        <v>1202E1</v>
      </c>
      <c r="E89" s="2">
        <f ca="1">IFERROR(__xludf.DUMMYFUNCTION("""COMPUTED_VALUE"""),41832)</f>
        <v>41832</v>
      </c>
      <c r="F89" s="1" t="str">
        <f ca="1">IFERROR(__xludf.DUMMYFUNCTION("""COMPUTED_VALUE"""),"6EME1")</f>
        <v>6EME1</v>
      </c>
      <c r="G89" s="1" t="str">
        <f ca="1">IFERROR(__xludf.DUMMYFUNCTION("""COMPUTED_VALUE"""),"6ème")</f>
        <v>6ème</v>
      </c>
      <c r="H89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89" s="1" t="str">
        <f ca="1">IFERROR(__xludf.DUMMYFUNCTION("""COMPUTED_VALUE"""),"LVA Anglais")</f>
        <v>LVA Anglais</v>
      </c>
      <c r="J89" s="1" t="str">
        <f ca="1">IFERROR(__xludf.DUMMYFUNCTION("""COMPUTED_VALUE"""),"LVB Espagnol")</f>
        <v>LVB Espagnol</v>
      </c>
      <c r="K89" s="1"/>
      <c r="L89" s="1"/>
      <c r="M89" s="1"/>
      <c r="N89" s="1" t="str">
        <f ca="1">IFERROR(__xludf.DUMMYFUNCTION("""COMPUTED_VALUE"""),"Fille")</f>
        <v>Fille</v>
      </c>
      <c r="O89" s="1"/>
      <c r="P89" s="1" t="str">
        <f ca="1">IFERROR(__xludf.DUMMYFUNCTION("""COMPUTED_VALUE"""),"FRANCE")</f>
        <v>FRANCE</v>
      </c>
      <c r="Q89" s="1" t="str">
        <f ca="1">IFERROR(__xludf.DUMMYFUNCTION("""COMPUTED_VALUE"""),"BURKINA")</f>
        <v>BURKINA</v>
      </c>
      <c r="R89" s="1" t="str">
        <f ca="1">IFERROR(__xludf.DUMMYFUNCTION("""COMPUTED_VALUE"""),"jessica.chaussenery@lfjpsaly.org")</f>
        <v>jessica.chaussenery@lfjpsaly.org</v>
      </c>
      <c r="S89" s="1" t="str">
        <f ca="1">IFERROR(__xludf.DUMMYFUNCTION("""COMPUTED_VALUE"""),"+221 78 107 64 74")</f>
        <v>+221 78 107 64 74</v>
      </c>
      <c r="T89" s="1" t="str">
        <f ca="1">IFERROR(__xludf.DUMMYFUNCTION("""COMPUTED_VALUE"""),"CHAUSSÉNÉRY André-Louis Romain René")</f>
        <v>CHAUSSÉNÉRY André-Louis Romain René</v>
      </c>
      <c r="U89" s="1" t="str">
        <f ca="1">IFERROR(__xludf.DUMMYFUNCTION("""COMPUTED_VALUE"""),"KEKE Essivi-Ba")</f>
        <v>KEKE Essivi-Ba</v>
      </c>
      <c r="V89" s="1" t="str">
        <f ca="1">IFERROR(__xludf.DUMMYFUNCTION("""COMPUTED_VALUE"""),"alchaussenery@hotmail.com")</f>
        <v>alchaussenery@hotmail.com</v>
      </c>
      <c r="W89" s="1" t="str">
        <f ca="1">IFERROR(__xludf.DUMMYFUNCTION("""COMPUTED_VALUE"""),"essi.keke@hotmail.fr")</f>
        <v>essi.keke@hotmail.fr</v>
      </c>
      <c r="X89" s="1" t="str">
        <f ca="1">IFERROR(__xludf.DUMMYFUNCTION("""COMPUTED_VALUE"""),"+221 78 107 64 74")</f>
        <v>+221 78 107 64 74</v>
      </c>
      <c r="Y89" s="1" t="str">
        <f ca="1">IFERROR(__xludf.DUMMYFUNCTION("""COMPUTED_VALUE"""),"+221 77 692 73 69")</f>
        <v>+221 77 692 73 69</v>
      </c>
      <c r="Z89" s="1" t="str">
        <f ca="1">IFERROR(__xludf.DUMMYFUNCTION("""COMPUTED_VALUE"""),"+33 7 68 88 44 69")</f>
        <v>+33 7 68 88 44 69</v>
      </c>
      <c r="AA89" s="1" t="str">
        <f ca="1">IFERROR(__xludf.DUMMYFUNCTION("""COMPUTED_VALUE"""),"+221 77 692 73 69")</f>
        <v>+221 77 692 73 69</v>
      </c>
      <c r="AB89" s="2">
        <f ca="1">IFERROR(__xludf.DUMMYFUNCTION("""COMPUTED_VALUE"""),20745)</f>
        <v>20745</v>
      </c>
      <c r="AC89" s="2">
        <f ca="1">IFERROR(__xludf.DUMMYFUNCTION("""COMPUTED_VALUE"""),29737)</f>
        <v>29737</v>
      </c>
      <c r="AD89" s="1" t="str">
        <f ca="1">IFERROR(__xludf.DUMMYFUNCTION("""COMPUTED_VALUE"""),"PERE")</f>
        <v>PERE</v>
      </c>
      <c r="AE89" s="1" t="str">
        <f ca="1">IFERROR(__xludf.DUMMYFUNCTION("""COMPUTED_VALUE"""),"MERE")</f>
        <v>MERE</v>
      </c>
      <c r="AF89" s="1" t="str">
        <f ca="1">IFERROR(__xludf.DUMMYFUNCTION("""COMPUTED_VALUE"""),"FRANCE")</f>
        <v>FRANCE</v>
      </c>
      <c r="AG89" s="1" t="str">
        <f ca="1">IFERROR(__xludf.DUMMYFUNCTION("""COMPUTED_VALUE"""),"BURKINA")</f>
        <v>BURKINA</v>
      </c>
      <c r="AH89" s="1"/>
      <c r="AI89" s="1"/>
      <c r="AJ89" s="1" t="str">
        <f ca="1">IFERROR(__xludf.DUMMYFUNCTION("""COMPUTED_VALUE"""),"F1202")</f>
        <v>F1202</v>
      </c>
      <c r="AK89" s="1" t="str">
        <f ca="1">IFERROR(__xludf.DUMMYFUNCTION("""COMPUTED_VALUE"""),"Marié(e)")</f>
        <v>Marié(e)</v>
      </c>
      <c r="AL89" s="1" t="str">
        <f ca="1">IFERROR(__xludf.DUMMYFUNCTION("""COMPUTED_VALUE"""),"Marié(e)")</f>
        <v>Marié(e)</v>
      </c>
      <c r="AM89" s="1" t="str">
        <f ca="1">IFERROR(__xludf.DUMMYFUNCTION("""COMPUTED_VALUE"""),"F1202")</f>
        <v>F1202</v>
      </c>
    </row>
    <row r="90" spans="1:39" ht="15.75" customHeight="1" x14ac:dyDescent="0.15">
      <c r="A90" s="1" t="str">
        <f ca="1">IFERROR(__xludf.DUMMYFUNCTION("""COMPUTED_VALUE"""),"CISSE Combé")</f>
        <v>CISSE Combé</v>
      </c>
      <c r="B90" s="1" t="str">
        <f ca="1">IFERROR(__xludf.DUMMYFUNCTION("""COMPUTED_VALUE"""),"CISSE")</f>
        <v>CISSE</v>
      </c>
      <c r="C90" s="1" t="str">
        <f ca="1">IFERROR(__xludf.DUMMYFUNCTION("""COMPUTED_VALUE"""),"Combé")</f>
        <v>Combé</v>
      </c>
      <c r="D90" s="1" t="str">
        <f ca="1">IFERROR(__xludf.DUMMYFUNCTION("""COMPUTED_VALUE"""),"1206E1")</f>
        <v>1206E1</v>
      </c>
      <c r="E90" s="2">
        <f ca="1">IFERROR(__xludf.DUMMYFUNCTION("""COMPUTED_VALUE"""),39457)</f>
        <v>39457</v>
      </c>
      <c r="F90" s="1" t="str">
        <f ca="1">IFERROR(__xludf.DUMMYFUNCTION("""COMPUTED_VALUE"""),"TERMINALE1")</f>
        <v>TERMINALE1</v>
      </c>
      <c r="G90" s="1" t="str">
        <f ca="1">IFERROR(__xludf.DUMMYFUNCTION("""COMPUTED_VALUE"""),"Terminale")</f>
        <v>Terminale</v>
      </c>
      <c r="H90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90" s="1" t="str">
        <f ca="1">IFERROR(__xludf.DUMMYFUNCTION("""COMPUTED_VALUE"""),"LVA Anglais")</f>
        <v>LVA Anglais</v>
      </c>
      <c r="J90" s="1" t="str">
        <f ca="1">IFERROR(__xludf.DUMMYFUNCTION("""COMPUTED_VALUE"""),"LVB Espagnol")</f>
        <v>LVB Espagnol</v>
      </c>
      <c r="K90" s="1"/>
      <c r="L90" s="1"/>
      <c r="M90" s="1" t="str">
        <f ca="1">IFERROR(__xludf.DUMMYFUNCTION("""COMPUTED_VALUE"""),"SPE MATHS, SPE SPC")</f>
        <v>SPE MATHS, SPE SPC</v>
      </c>
      <c r="N90" s="1" t="str">
        <f ca="1">IFERROR(__xludf.DUMMYFUNCTION("""COMPUTED_VALUE"""),"Fille")</f>
        <v>Fille</v>
      </c>
      <c r="O90" s="1"/>
      <c r="P90" s="1" t="str">
        <f ca="1">IFERROR(__xludf.DUMMYFUNCTION("""COMPUTED_VALUE"""),"SENEGAL")</f>
        <v>SENEGAL</v>
      </c>
      <c r="Q90" s="1"/>
      <c r="R90" s="1" t="str">
        <f ca="1">IFERROR(__xludf.DUMMYFUNCTION("""COMPUTED_VALUE"""),"combe.cisse@lfjpsaly.org")</f>
        <v>combe.cisse@lfjpsaly.org</v>
      </c>
      <c r="S90" s="1"/>
      <c r="T90" s="1" t="str">
        <f ca="1">IFERROR(__xludf.DUMMYFUNCTION("""COMPUTED_VALUE"""),"CISSÉ Babacar Robert")</f>
        <v>CISSÉ Babacar Robert</v>
      </c>
      <c r="U90" s="1" t="str">
        <f ca="1">IFERROR(__xludf.DUMMYFUNCTION("""COMPUTED_VALUE"""),"LEYE CISSE Khadidiatou")</f>
        <v>LEYE CISSE Khadidiatou</v>
      </c>
      <c r="V90" s="1" t="str">
        <f ca="1">IFERROR(__xludf.DUMMYFUNCTION("""COMPUTED_VALUE"""),"cisse.ophtalmo@gmail.com")</f>
        <v>cisse.ophtalmo@gmail.com</v>
      </c>
      <c r="W90" s="1" t="str">
        <f ca="1">IFERROR(__xludf.DUMMYFUNCTION("""COMPUTED_VALUE"""),"khadycisse@grandmotherproject.org")</f>
        <v>khadycisse@grandmotherproject.org</v>
      </c>
      <c r="X90" s="1" t="str">
        <f ca="1">IFERROR(__xludf.DUMMYFUNCTION("""COMPUTED_VALUE"""),"+221 77 647 50 40")</f>
        <v>+221 77 647 50 40</v>
      </c>
      <c r="Y90" s="1" t="str">
        <f ca="1">IFERROR(__xludf.DUMMYFUNCTION("""COMPUTED_VALUE"""),"+221 77 630 10 35")</f>
        <v>+221 77 630 10 35</v>
      </c>
      <c r="Z90" s="1"/>
      <c r="AA90" s="1"/>
      <c r="AB90" s="2">
        <f ca="1">IFERROR(__xludf.DUMMYFUNCTION("""COMPUTED_VALUE"""),20958)</f>
        <v>20958</v>
      </c>
      <c r="AC90" s="2">
        <f ca="1">IFERROR(__xludf.DUMMYFUNCTION("""COMPUTED_VALUE"""),25567)</f>
        <v>25567</v>
      </c>
      <c r="AD90" s="1" t="str">
        <f ca="1">IFERROR(__xludf.DUMMYFUNCTION("""COMPUTED_VALUE"""),"PERE")</f>
        <v>PERE</v>
      </c>
      <c r="AE90" s="1" t="str">
        <f ca="1">IFERROR(__xludf.DUMMYFUNCTION("""COMPUTED_VALUE"""),"MERE")</f>
        <v>MERE</v>
      </c>
      <c r="AF90" s="1" t="str">
        <f ca="1">IFERROR(__xludf.DUMMYFUNCTION("""COMPUTED_VALUE"""),"SENEGAL")</f>
        <v>SENEGAL</v>
      </c>
      <c r="AG90" s="1" t="str">
        <f ca="1">IFERROR(__xludf.DUMMYFUNCTION("""COMPUTED_VALUE"""),"FRANCE")</f>
        <v>FRANCE</v>
      </c>
      <c r="AH90" s="1"/>
      <c r="AI90" s="1"/>
      <c r="AJ90" s="1" t="str">
        <f ca="1">IFERROR(__xludf.DUMMYFUNCTION("""COMPUTED_VALUE"""),"F1206")</f>
        <v>F1206</v>
      </c>
      <c r="AK90" s="1" t="str">
        <f ca="1">IFERROR(__xludf.DUMMYFUNCTION("""COMPUTED_VALUE"""),"Marié(e)")</f>
        <v>Marié(e)</v>
      </c>
      <c r="AL90" s="1" t="str">
        <f ca="1">IFERROR(__xludf.DUMMYFUNCTION("""COMPUTED_VALUE"""),"Marié(e)")</f>
        <v>Marié(e)</v>
      </c>
      <c r="AM90" s="1" t="str">
        <f ca="1">IFERROR(__xludf.DUMMYFUNCTION("""COMPUTED_VALUE"""),"F1206")</f>
        <v>F1206</v>
      </c>
    </row>
    <row r="91" spans="1:39" ht="15.75" customHeight="1" x14ac:dyDescent="0.15">
      <c r="A91" s="1" t="str">
        <f ca="1">IFERROR(__xludf.DUMMYFUNCTION("""COMPUTED_VALUE"""),"CISSE Ibrahima")</f>
        <v>CISSE Ibrahima</v>
      </c>
      <c r="B91" s="1" t="str">
        <f ca="1">IFERROR(__xludf.DUMMYFUNCTION("""COMPUTED_VALUE"""),"CISSE")</f>
        <v>CISSE</v>
      </c>
      <c r="C91" s="1" t="str">
        <f ca="1">IFERROR(__xludf.DUMMYFUNCTION("""COMPUTED_VALUE"""),"Ibrahima")</f>
        <v>Ibrahima</v>
      </c>
      <c r="D91" s="1" t="str">
        <f ca="1">IFERROR(__xludf.DUMMYFUNCTION("""COMPUTED_VALUE"""),"1208E1")</f>
        <v>1208E1</v>
      </c>
      <c r="E91" s="2">
        <f ca="1">IFERROR(__xludf.DUMMYFUNCTION("""COMPUTED_VALUE"""),39534)</f>
        <v>39534</v>
      </c>
      <c r="F91" s="1" t="str">
        <f ca="1">IFERROR(__xludf.DUMMYFUNCTION("""COMPUTED_VALUE"""),"TERMINALE2")</f>
        <v>TERMINALE2</v>
      </c>
      <c r="G91" s="1" t="str">
        <f ca="1">IFERROR(__xludf.DUMMYFUNCTION("""COMPUTED_VALUE"""),"Terminale")</f>
        <v>Terminale</v>
      </c>
      <c r="H91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91" s="1" t="str">
        <f ca="1">IFERROR(__xludf.DUMMYFUNCTION("""COMPUTED_VALUE"""),"LVA Anglais")</f>
        <v>LVA Anglais</v>
      </c>
      <c r="J91" s="1" t="str">
        <f ca="1">IFERROR(__xludf.DUMMYFUNCTION("""COMPUTED_VALUE"""),"LVB Espagnol")</f>
        <v>LVB Espagnol</v>
      </c>
      <c r="K91" s="1"/>
      <c r="L91" s="1"/>
      <c r="M91" s="1" t="str">
        <f ca="1">IFERROR(__xludf.DUMMYFUNCTION("""COMPUTED_VALUE"""),"SPE HGGSP, SPE SES")</f>
        <v>SPE HGGSP, SPE SES</v>
      </c>
      <c r="N91" s="1" t="str">
        <f ca="1">IFERROR(__xludf.DUMMYFUNCTION("""COMPUTED_VALUE"""),"Garçon")</f>
        <v>Garçon</v>
      </c>
      <c r="O91" s="1"/>
      <c r="P91" s="1" t="str">
        <f ca="1">IFERROR(__xludf.DUMMYFUNCTION("""COMPUTED_VALUE"""),"FRANCE")</f>
        <v>FRANCE</v>
      </c>
      <c r="Q91" s="1"/>
      <c r="R91" s="1" t="str">
        <f ca="1">IFERROR(__xludf.DUMMYFUNCTION("""COMPUTED_VALUE"""),"ibrahima.cisse@lfjpsaly.org")</f>
        <v>ibrahima.cisse@lfjpsaly.org</v>
      </c>
      <c r="S91" s="1" t="str">
        <f ca="1">IFERROR(__xludf.DUMMYFUNCTION("""COMPUTED_VALUE"""),"+221 77 534 56 81")</f>
        <v>+221 77 534 56 81</v>
      </c>
      <c r="T91" s="1" t="str">
        <f ca="1">IFERROR(__xludf.DUMMYFUNCTION("""COMPUTED_VALUE"""),"DELABRE Cynthia")</f>
        <v>DELABRE Cynthia</v>
      </c>
      <c r="U91" s="1" t="str">
        <f ca="1">IFERROR(__xludf.DUMMYFUNCTION("""COMPUTED_VALUE"""),"CISSE Souleymane")</f>
        <v>CISSE Souleymane</v>
      </c>
      <c r="V91" s="1" t="str">
        <f ca="1">IFERROR(__xludf.DUMMYFUNCTION("""COMPUTED_VALUE"""),"cynthia.delabre@gmail.com")</f>
        <v>cynthia.delabre@gmail.com</v>
      </c>
      <c r="W91" s="1" t="str">
        <f ca="1">IFERROR(__xludf.DUMMYFUNCTION("""COMPUTED_VALUE"""),"julescisse@gmail.com")</f>
        <v>julescisse@gmail.com</v>
      </c>
      <c r="X91" s="1" t="str">
        <f ca="1">IFERROR(__xludf.DUMMYFUNCTION("""COMPUTED_VALUE"""),"+221 77 534 56 81")</f>
        <v>+221 77 534 56 81</v>
      </c>
      <c r="Y91" s="1" t="str">
        <f ca="1">IFERROR(__xludf.DUMMYFUNCTION("""COMPUTED_VALUE"""),"+221 78 016 28 12")</f>
        <v>+221 78 016 28 12</v>
      </c>
      <c r="Z91" s="1"/>
      <c r="AA91" s="1"/>
      <c r="AB91" s="2">
        <f ca="1">IFERROR(__xludf.DUMMYFUNCTION("""COMPUTED_VALUE"""),28876)</f>
        <v>28876</v>
      </c>
      <c r="AC91" s="2">
        <f ca="1">IFERROR(__xludf.DUMMYFUNCTION("""COMPUTED_VALUE"""),27853)</f>
        <v>27853</v>
      </c>
      <c r="AD91" s="1" t="str">
        <f ca="1">IFERROR(__xludf.DUMMYFUNCTION("""COMPUTED_VALUE"""),"MERE")</f>
        <v>MERE</v>
      </c>
      <c r="AE91" s="1" t="str">
        <f ca="1">IFERROR(__xludf.DUMMYFUNCTION("""COMPUTED_VALUE"""),"PERE")</f>
        <v>PERE</v>
      </c>
      <c r="AF91" s="1" t="str">
        <f ca="1">IFERROR(__xludf.DUMMYFUNCTION("""COMPUTED_VALUE"""),"FRANCE")</f>
        <v>FRANCE</v>
      </c>
      <c r="AG91" s="1" t="str">
        <f ca="1">IFERROR(__xludf.DUMMYFUNCTION("""COMPUTED_VALUE"""),"SENEGAL")</f>
        <v>SENEGAL</v>
      </c>
      <c r="AH91" s="1"/>
      <c r="AI91" s="1"/>
      <c r="AJ91" s="1" t="str">
        <f ca="1">IFERROR(__xludf.DUMMYFUNCTION("""COMPUTED_VALUE"""),"F1208")</f>
        <v>F1208</v>
      </c>
      <c r="AK91" s="1" t="str">
        <f ca="1">IFERROR(__xludf.DUMMYFUNCTION("""COMPUTED_VALUE"""),"CONCUBINAGE")</f>
        <v>CONCUBINAGE</v>
      </c>
      <c r="AL91" s="1" t="str">
        <f ca="1">IFERROR(__xludf.DUMMYFUNCTION("""COMPUTED_VALUE"""),"CONCUBINAGE")</f>
        <v>CONCUBINAGE</v>
      </c>
      <c r="AM91" s="1" t="str">
        <f ca="1">IFERROR(__xludf.DUMMYFUNCTION("""COMPUTED_VALUE"""),"F1208")</f>
        <v>F1208</v>
      </c>
    </row>
    <row r="92" spans="1:39" ht="15.75" customHeight="1" x14ac:dyDescent="0.15">
      <c r="A92" s="1" t="str">
        <f ca="1">IFERROR(__xludf.DUMMYFUNCTION("""COMPUTED_VALUE"""),"CISSÉ Idrissa  Idy")</f>
        <v>CISSÉ Idrissa  Idy</v>
      </c>
      <c r="B92" s="1" t="str">
        <f ca="1">IFERROR(__xludf.DUMMYFUNCTION("""COMPUTED_VALUE"""),"CISSÉ")</f>
        <v>CISSÉ</v>
      </c>
      <c r="C92" s="1" t="str">
        <f ca="1">IFERROR(__xludf.DUMMYFUNCTION("""COMPUTED_VALUE"""),"Idrissa  Idy")</f>
        <v>Idrissa  Idy</v>
      </c>
      <c r="D92" s="1" t="str">
        <f ca="1">IFERROR(__xludf.DUMMYFUNCTION("""COMPUTED_VALUE"""),"1209E1")</f>
        <v>1209E1</v>
      </c>
      <c r="E92" s="2">
        <f ca="1">IFERROR(__xludf.DUMMYFUNCTION("""COMPUTED_VALUE"""),43585)</f>
        <v>43585</v>
      </c>
      <c r="F92" s="1" t="str">
        <f ca="1">IFERROR(__xludf.DUMMYFUNCTION("""COMPUTED_VALUE"""),"CM1B")</f>
        <v>CM1B</v>
      </c>
      <c r="G92" s="1" t="str">
        <f ca="1">IFERROR(__xludf.DUMMYFUNCTION("""COMPUTED_VALUE"""),"CM1")</f>
        <v>CM1</v>
      </c>
      <c r="H92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92" s="1"/>
      <c r="J92" s="1"/>
      <c r="K92" s="1"/>
      <c r="L92" s="1"/>
      <c r="M92" s="1"/>
      <c r="N92" s="1" t="str">
        <f ca="1">IFERROR(__xludf.DUMMYFUNCTION("""COMPUTED_VALUE"""),"Garçon")</f>
        <v>Garçon</v>
      </c>
      <c r="O92" s="1"/>
      <c r="P92" s="1" t="str">
        <f ca="1">IFERROR(__xludf.DUMMYFUNCTION("""COMPUTED_VALUE"""),"SENEGAL")</f>
        <v>SENEGAL</v>
      </c>
      <c r="Q92" s="1" t="str">
        <f ca="1">IFERROR(__xludf.DUMMYFUNCTION("""COMPUTED_VALUE"""),"FRANCE")</f>
        <v>FRANCE</v>
      </c>
      <c r="R92" s="1"/>
      <c r="S92" s="1"/>
      <c r="T92" s="1" t="str">
        <f ca="1">IFERROR(__xludf.DUMMYFUNCTION("""COMPUTED_VALUE"""),"BOUZET Jean Paul Louis")</f>
        <v>BOUZET Jean Paul Louis</v>
      </c>
      <c r="U92" s="1" t="str">
        <f ca="1">IFERROR(__xludf.DUMMYFUNCTION("""COMPUTED_VALUE"""),"MBAYE Fatou")</f>
        <v>MBAYE Fatou</v>
      </c>
      <c r="V92" s="1" t="str">
        <f ca="1">IFERROR(__xludf.DUMMYFUNCTION("""COMPUTED_VALUE"""),"bouzet.papy@free.fr")</f>
        <v>bouzet.papy@free.fr</v>
      </c>
      <c r="W92" s="1" t="str">
        <f ca="1">IFERROR(__xludf.DUMMYFUNCTION("""COMPUTED_VALUE"""),"fatoumbaye020894@gmail.com")</f>
        <v>fatoumbaye020894@gmail.com</v>
      </c>
      <c r="X92" s="1" t="str">
        <f ca="1">IFERROR(__xludf.DUMMYFUNCTION("""COMPUTED_VALUE"""),"+221 77 742 12 28")</f>
        <v>+221 77 742 12 28</v>
      </c>
      <c r="Y92" s="1" t="str">
        <f ca="1">IFERROR(__xludf.DUMMYFUNCTION("""COMPUTED_VALUE"""),"784573708")</f>
        <v>784573708</v>
      </c>
      <c r="Z92" s="1" t="str">
        <f ca="1">IFERROR(__xludf.DUMMYFUNCTION("""COMPUTED_VALUE"""),"+221")</f>
        <v>+221</v>
      </c>
      <c r="AA92" s="1"/>
      <c r="AB92" s="2">
        <f ca="1">IFERROR(__xludf.DUMMYFUNCTION("""COMPUTED_VALUE"""),18663)</f>
        <v>18663</v>
      </c>
      <c r="AC92" s="2">
        <f ca="1">IFERROR(__xludf.DUMMYFUNCTION("""COMPUTED_VALUE"""),34548)</f>
        <v>34548</v>
      </c>
      <c r="AD92" s="1" t="str">
        <f ca="1">IFERROR(__xludf.DUMMYFUNCTION("""COMPUTED_VALUE"""),"AUTRE LIEN")</f>
        <v>AUTRE LIEN</v>
      </c>
      <c r="AE92" s="1" t="str">
        <f ca="1">IFERROR(__xludf.DUMMYFUNCTION("""COMPUTED_VALUE"""),"MERE")</f>
        <v>MERE</v>
      </c>
      <c r="AF92" s="1" t="str">
        <f ca="1">IFERROR(__xludf.DUMMYFUNCTION("""COMPUTED_VALUE"""),"FRANCE")</f>
        <v>FRANCE</v>
      </c>
      <c r="AG92" s="1" t="str">
        <f ca="1">IFERROR(__xludf.DUMMYFUNCTION("""COMPUTED_VALUE"""),"SENEGAL")</f>
        <v>SENEGAL</v>
      </c>
      <c r="AH92" s="1"/>
      <c r="AI92" s="1" t="str">
        <f ca="1">IFERROR(__xludf.DUMMYFUNCTION("""COMPUTED_VALUE"""),"FRANCE")</f>
        <v>FRANCE</v>
      </c>
      <c r="AJ92" s="1" t="str">
        <f ca="1">IFERROR(__xludf.DUMMYFUNCTION("""COMPUTED_VALUE"""),"F1209")</f>
        <v>F1209</v>
      </c>
      <c r="AK92" s="1" t="str">
        <f ca="1">IFERROR(__xludf.DUMMYFUNCTION("""COMPUTED_VALUE"""),"Marié(e)")</f>
        <v>Marié(e)</v>
      </c>
      <c r="AL92" s="1" t="str">
        <f ca="1">IFERROR(__xludf.DUMMYFUNCTION("""COMPUTED_VALUE"""),"Marié(e)")</f>
        <v>Marié(e)</v>
      </c>
      <c r="AM92" s="1" t="str">
        <f ca="1">IFERROR(__xludf.DUMMYFUNCTION("""COMPUTED_VALUE"""),"F1209")</f>
        <v>F1209</v>
      </c>
    </row>
    <row r="93" spans="1:39" ht="15.75" customHeight="1" x14ac:dyDescent="0.15">
      <c r="A93" s="1" t="str">
        <f ca="1">IFERROR(__xludf.DUMMYFUNCTION("""COMPUTED_VALUE"""),"CISSE Lina")</f>
        <v>CISSE Lina</v>
      </c>
      <c r="B93" s="1" t="str">
        <f ca="1">IFERROR(__xludf.DUMMYFUNCTION("""COMPUTED_VALUE"""),"CISSE")</f>
        <v>CISSE</v>
      </c>
      <c r="C93" s="1" t="str">
        <f ca="1">IFERROR(__xludf.DUMMYFUNCTION("""COMPUTED_VALUE"""),"Lina")</f>
        <v>Lina</v>
      </c>
      <c r="D93" s="1" t="str">
        <f ca="1">IFERROR(__xludf.DUMMYFUNCTION("""COMPUTED_VALUE"""),"1207E2")</f>
        <v>1207E2</v>
      </c>
      <c r="E93" s="2">
        <f ca="1">IFERROR(__xludf.DUMMYFUNCTION("""COMPUTED_VALUE"""),41426)</f>
        <v>41426</v>
      </c>
      <c r="F93" s="1" t="str">
        <f ca="1">IFERROR(__xludf.DUMMYFUNCTION("""COMPUTED_VALUE"""),"5EME1")</f>
        <v>5EME1</v>
      </c>
      <c r="G93" s="1" t="str">
        <f ca="1">IFERROR(__xludf.DUMMYFUNCTION("""COMPUTED_VALUE"""),"5ème")</f>
        <v>5ème</v>
      </c>
      <c r="H93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93" s="1" t="str">
        <f ca="1">IFERROR(__xludf.DUMMYFUNCTION("""COMPUTED_VALUE"""),"LVA Anglais")</f>
        <v>LVA Anglais</v>
      </c>
      <c r="J93" s="1" t="str">
        <f ca="1">IFERROR(__xludf.DUMMYFUNCTION("""COMPUTED_VALUE"""),"LVB Espagnol")</f>
        <v>LVB Espagnol</v>
      </c>
      <c r="K93" s="1"/>
      <c r="L93" s="1"/>
      <c r="M93" s="1"/>
      <c r="N93" s="1" t="str">
        <f ca="1">IFERROR(__xludf.DUMMYFUNCTION("""COMPUTED_VALUE"""),"Fille")</f>
        <v>Fille</v>
      </c>
      <c r="O93" s="1"/>
      <c r="P93" s="1" t="str">
        <f ca="1">IFERROR(__xludf.DUMMYFUNCTION("""COMPUTED_VALUE"""),"BELGIQUE")</f>
        <v>BELGIQUE</v>
      </c>
      <c r="Q93" s="1"/>
      <c r="R93" s="1" t="str">
        <f ca="1">IFERROR(__xludf.DUMMYFUNCTION("""COMPUTED_VALUE"""),"lina.cisse@lfjpsaly.org")</f>
        <v>lina.cisse@lfjpsaly.org</v>
      </c>
      <c r="S93" s="1"/>
      <c r="T93" s="1" t="str">
        <f ca="1">IFERROR(__xludf.DUMMYFUNCTION("""COMPUTED_VALUE"""),"LAMBILLOTTE Sandra Carole")</f>
        <v>LAMBILLOTTE Sandra Carole</v>
      </c>
      <c r="U93" s="1" t="str">
        <f ca="1">IFERROR(__xludf.DUMMYFUNCTION("""COMPUTED_VALUE"""),"CISSÉ Issa")</f>
        <v>CISSÉ Issa</v>
      </c>
      <c r="V93" s="1" t="str">
        <f ca="1">IFERROR(__xludf.DUMMYFUNCTION("""COMPUTED_VALUE"""),"sandra.lambillotte@gmail.com")</f>
        <v>sandra.lambillotte@gmail.com</v>
      </c>
      <c r="W93" s="1" t="str">
        <f ca="1">IFERROR(__xludf.DUMMYFUNCTION("""COMPUTED_VALUE"""),"issaguide@hotmail.com")</f>
        <v>issaguide@hotmail.com</v>
      </c>
      <c r="X93" s="1" t="str">
        <f ca="1">IFERROR(__xludf.DUMMYFUNCTION("""COMPUTED_VALUE"""),"+221 78 542 28 82")</f>
        <v>+221 78 542 28 82</v>
      </c>
      <c r="Y93" s="1" t="str">
        <f ca="1">IFERROR(__xludf.DUMMYFUNCTION("""COMPUTED_VALUE"""),"+32 471 05 04 39")</f>
        <v>+32 471 05 04 39</v>
      </c>
      <c r="Z93" s="1" t="str">
        <f ca="1">IFERROR(__xludf.DUMMYFUNCTION("""COMPUTED_VALUE"""),"+221")</f>
        <v>+221</v>
      </c>
      <c r="AA93" s="1" t="str">
        <f ca="1">IFERROR(__xludf.DUMMYFUNCTION("""COMPUTED_VALUE"""),"+221")</f>
        <v>+221</v>
      </c>
      <c r="AB93" s="2">
        <f ca="1">IFERROR(__xludf.DUMMYFUNCTION("""COMPUTED_VALUE"""),29424)</f>
        <v>29424</v>
      </c>
      <c r="AC93" s="2">
        <f ca="1">IFERROR(__xludf.DUMMYFUNCTION("""COMPUTED_VALUE"""),31047)</f>
        <v>31047</v>
      </c>
      <c r="AD93" s="1" t="str">
        <f ca="1">IFERROR(__xludf.DUMMYFUNCTION("""COMPUTED_VALUE"""),"MERE")</f>
        <v>MERE</v>
      </c>
      <c r="AE93" s="1" t="str">
        <f ca="1">IFERROR(__xludf.DUMMYFUNCTION("""COMPUTED_VALUE"""),"PERE")</f>
        <v>PERE</v>
      </c>
      <c r="AF93" s="1" t="str">
        <f ca="1">IFERROR(__xludf.DUMMYFUNCTION("""COMPUTED_VALUE"""),"BELGIQUE")</f>
        <v>BELGIQUE</v>
      </c>
      <c r="AG93" s="1" t="str">
        <f ca="1">IFERROR(__xludf.DUMMYFUNCTION("""COMPUTED_VALUE"""),"MALI")</f>
        <v>MALI</v>
      </c>
      <c r="AH93" s="1"/>
      <c r="AI93" s="1"/>
      <c r="AJ93" s="1" t="str">
        <f ca="1">IFERROR(__xludf.DUMMYFUNCTION("""COMPUTED_VALUE"""),"F1207")</f>
        <v>F1207</v>
      </c>
      <c r="AK93" s="1" t="str">
        <f ca="1">IFERROR(__xludf.DUMMYFUNCTION("""COMPUTED_VALUE"""),"Divorcée")</f>
        <v>Divorcée</v>
      </c>
      <c r="AL93" s="1" t="str">
        <f ca="1">IFERROR(__xludf.DUMMYFUNCTION("""COMPUTED_VALUE"""),"Divorcée")</f>
        <v>Divorcée</v>
      </c>
      <c r="AM93" s="1" t="str">
        <f ca="1">IFERROR(__xludf.DUMMYFUNCTION("""COMPUTED_VALUE"""),"F1207")</f>
        <v>F1207</v>
      </c>
    </row>
    <row r="94" spans="1:39" ht="15.75" customHeight="1" x14ac:dyDescent="0.15">
      <c r="A94" s="1" t="str">
        <f ca="1">IFERROR(__xludf.DUMMYFUNCTION("""COMPUTED_VALUE"""),"CISSE-SOHM Elah-Khayta")</f>
        <v>CISSE-SOHM Elah-Khayta</v>
      </c>
      <c r="B94" s="1" t="str">
        <f ca="1">IFERROR(__xludf.DUMMYFUNCTION("""COMPUTED_VALUE"""),"CISSE-SOHM")</f>
        <v>CISSE-SOHM</v>
      </c>
      <c r="C94" s="1" t="str">
        <f ca="1">IFERROR(__xludf.DUMMYFUNCTION("""COMPUTED_VALUE"""),"Elah-Khayta")</f>
        <v>Elah-Khayta</v>
      </c>
      <c r="D94" s="1" t="str">
        <f ca="1">IFERROR(__xludf.DUMMYFUNCTION("""COMPUTED_VALUE"""),"1204E1")</f>
        <v>1204E1</v>
      </c>
      <c r="E94" s="2">
        <f ca="1">IFERROR(__xludf.DUMMYFUNCTION("""COMPUTED_VALUE"""),39960)</f>
        <v>39960</v>
      </c>
      <c r="F94" s="1" t="str">
        <f ca="1">IFERROR(__xludf.DUMMYFUNCTION("""COMPUTED_VALUE"""),"1ERE2")</f>
        <v>1ERE2</v>
      </c>
      <c r="G94" s="1" t="str">
        <f ca="1">IFERROR(__xludf.DUMMYFUNCTION("""COMPUTED_VALUE"""),"1ère")</f>
        <v>1ère</v>
      </c>
      <c r="H94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94" s="1" t="str">
        <f ca="1">IFERROR(__xludf.DUMMYFUNCTION("""COMPUTED_VALUE"""),"LVA Anglais")</f>
        <v>LVA Anglais</v>
      </c>
      <c r="J94" s="1" t="str">
        <f ca="1">IFERROR(__xludf.DUMMYFUNCTION("""COMPUTED_VALUE"""),"LVB Espagnol")</f>
        <v>LVB Espagnol</v>
      </c>
      <c r="K94" s="1"/>
      <c r="L94" s="1"/>
      <c r="M94" s="1" t="str">
        <f ca="1">IFERROR(__xludf.DUMMYFUNCTION("""COMPUTED_VALUE"""),"SPE MATHS, SPE SPC, SPE SVT")</f>
        <v>SPE MATHS, SPE SPC, SPE SVT</v>
      </c>
      <c r="N94" s="1" t="str">
        <f ca="1">IFERROR(__xludf.DUMMYFUNCTION("""COMPUTED_VALUE"""),"Fille")</f>
        <v>Fille</v>
      </c>
      <c r="O94" s="1"/>
      <c r="P94" s="1" t="str">
        <f ca="1">IFERROR(__xludf.DUMMYFUNCTION("""COMPUTED_VALUE"""),"FRANCE")</f>
        <v>FRANCE</v>
      </c>
      <c r="Q94" s="1" t="str">
        <f ca="1">IFERROR(__xludf.DUMMYFUNCTION("""COMPUTED_VALUE"""),"SENEGAL")</f>
        <v>SENEGAL</v>
      </c>
      <c r="R94" s="1" t="str">
        <f ca="1">IFERROR(__xludf.DUMMYFUNCTION("""COMPUTED_VALUE"""),"elah-khayta.cisse-sohm@lfjpsaly.org")</f>
        <v>elah-khayta.cisse-sohm@lfjpsaly.org</v>
      </c>
      <c r="S94" s="1"/>
      <c r="T94" s="1" t="str">
        <f ca="1">IFERROR(__xludf.DUMMYFUNCTION("""COMPUTED_VALUE"""),"CISSE Djilane")</f>
        <v>CISSE Djilane</v>
      </c>
      <c r="U94" s="1" t="str">
        <f ca="1">IFERROR(__xludf.DUMMYFUNCTION("""COMPUTED_VALUE"""),"SOHM Jimmy")</f>
        <v>SOHM Jimmy</v>
      </c>
      <c r="V94" s="1" t="str">
        <f ca="1">IFERROR(__xludf.DUMMYFUNCTION("""COMPUTED_VALUE"""),"cdjilanes@gmail.com")</f>
        <v>cdjilanes@gmail.com</v>
      </c>
      <c r="W94" s="1" t="str">
        <f ca="1">IFERROR(__xludf.DUMMYFUNCTION("""COMPUTED_VALUE"""),"ji.sohm@gmail.com")</f>
        <v>ji.sohm@gmail.com</v>
      </c>
      <c r="X94" s="1" t="str">
        <f ca="1">IFERROR(__xludf.DUMMYFUNCTION("""COMPUTED_VALUE"""),"+221 77 332 63 14")</f>
        <v>+221 77 332 63 14</v>
      </c>
      <c r="Y94" s="1" t="str">
        <f ca="1">IFERROR(__xludf.DUMMYFUNCTION("""COMPUTED_VALUE"""),"+221 77 348 39 81")</f>
        <v>+221 77 348 39 81</v>
      </c>
      <c r="Z94" s="1"/>
      <c r="AA94" s="1"/>
      <c r="AB94" s="2">
        <f ca="1">IFERROR(__xludf.DUMMYFUNCTION("""COMPUTED_VALUE"""),29462)</f>
        <v>29462</v>
      </c>
      <c r="AC94" s="2">
        <f ca="1">IFERROR(__xludf.DUMMYFUNCTION("""COMPUTED_VALUE"""),29708)</f>
        <v>29708</v>
      </c>
      <c r="AD94" s="1" t="str">
        <f ca="1">IFERROR(__xludf.DUMMYFUNCTION("""COMPUTED_VALUE"""),"MERE")</f>
        <v>MERE</v>
      </c>
      <c r="AE94" s="1" t="str">
        <f ca="1">IFERROR(__xludf.DUMMYFUNCTION("""COMPUTED_VALUE"""),"PERE")</f>
        <v>PERE</v>
      </c>
      <c r="AF94" s="1" t="str">
        <f ca="1">IFERROR(__xludf.DUMMYFUNCTION("""COMPUTED_VALUE"""),"SENEGAL")</f>
        <v>SENEGAL</v>
      </c>
      <c r="AG94" s="1" t="str">
        <f ca="1">IFERROR(__xludf.DUMMYFUNCTION("""COMPUTED_VALUE"""),"FRANCE")</f>
        <v>FRANCE</v>
      </c>
      <c r="AH94" s="1" t="str">
        <f ca="1">IFERROR(__xludf.DUMMYFUNCTION("""COMPUTED_VALUE"""),"FRANCE")</f>
        <v>FRANCE</v>
      </c>
      <c r="AI94" s="1"/>
      <c r="AJ94" s="1" t="str">
        <f ca="1">IFERROR(__xludf.DUMMYFUNCTION("""COMPUTED_VALUE"""),"F1204")</f>
        <v>F1204</v>
      </c>
      <c r="AK94" s="1" t="str">
        <f ca="1">IFERROR(__xludf.DUMMYFUNCTION("""COMPUTED_VALUE"""),"Marié(e)")</f>
        <v>Marié(e)</v>
      </c>
      <c r="AL94" s="1" t="str">
        <f ca="1">IFERROR(__xludf.DUMMYFUNCTION("""COMPUTED_VALUE"""),"Marié(e)")</f>
        <v>Marié(e)</v>
      </c>
      <c r="AM94" s="1" t="str">
        <f ca="1">IFERROR(__xludf.DUMMYFUNCTION("""COMPUTED_VALUE"""),"F1204")</f>
        <v>F1204</v>
      </c>
    </row>
    <row r="95" spans="1:39" ht="15.75" customHeight="1" x14ac:dyDescent="0.15">
      <c r="A95" s="1" t="str">
        <f ca="1">IFERROR(__xludf.DUMMYFUNCTION("""COMPUTED_VALUE"""),"CISSE-SOHM Tidjane-Isaac")</f>
        <v>CISSE-SOHM Tidjane-Isaac</v>
      </c>
      <c r="B95" s="1" t="str">
        <f ca="1">IFERROR(__xludf.DUMMYFUNCTION("""COMPUTED_VALUE"""),"CISSE-SOHM")</f>
        <v>CISSE-SOHM</v>
      </c>
      <c r="C95" s="1" t="str">
        <f ca="1">IFERROR(__xludf.DUMMYFUNCTION("""COMPUTED_VALUE"""),"Tidjane-Isaac")</f>
        <v>Tidjane-Isaac</v>
      </c>
      <c r="D95" s="1" t="str">
        <f ca="1">IFERROR(__xludf.DUMMYFUNCTION("""COMPUTED_VALUE"""),"1204E2")</f>
        <v>1204E2</v>
      </c>
      <c r="E95" s="2">
        <f ca="1">IFERROR(__xludf.DUMMYFUNCTION("""COMPUTED_VALUE"""),41576)</f>
        <v>41576</v>
      </c>
      <c r="F95" s="1" t="str">
        <f ca="1">IFERROR(__xludf.DUMMYFUNCTION("""COMPUTED_VALUE"""),"5EME2")</f>
        <v>5EME2</v>
      </c>
      <c r="G95" s="1" t="str">
        <f ca="1">IFERROR(__xludf.DUMMYFUNCTION("""COMPUTED_VALUE"""),"5ème")</f>
        <v>5ème</v>
      </c>
      <c r="H95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95" s="1" t="str">
        <f ca="1">IFERROR(__xludf.DUMMYFUNCTION("""COMPUTED_VALUE"""),"LVA Anglais")</f>
        <v>LVA Anglais</v>
      </c>
      <c r="J95" s="1" t="str">
        <f ca="1">IFERROR(__xludf.DUMMYFUNCTION("""COMPUTED_VALUE"""),"LVB Espagnol")</f>
        <v>LVB Espagnol</v>
      </c>
      <c r="K95" s="1"/>
      <c r="L95" s="1"/>
      <c r="M95" s="1"/>
      <c r="N95" s="1" t="str">
        <f ca="1">IFERROR(__xludf.DUMMYFUNCTION("""COMPUTED_VALUE"""),"Garçon")</f>
        <v>Garçon</v>
      </c>
      <c r="O95" s="1"/>
      <c r="P95" s="1" t="str">
        <f ca="1">IFERROR(__xludf.DUMMYFUNCTION("""COMPUTED_VALUE"""),"FRANCE")</f>
        <v>FRANCE</v>
      </c>
      <c r="Q95" s="1" t="str">
        <f ca="1">IFERROR(__xludf.DUMMYFUNCTION("""COMPUTED_VALUE"""),"SENEGAL")</f>
        <v>SENEGAL</v>
      </c>
      <c r="R95" s="1" t="str">
        <f ca="1">IFERROR(__xludf.DUMMYFUNCTION("""COMPUTED_VALUE"""),"tidjane.cisse-sohm@lfjpsaly.org")</f>
        <v>tidjane.cisse-sohm@lfjpsaly.org</v>
      </c>
      <c r="S95" s="1"/>
      <c r="T95" s="1" t="str">
        <f ca="1">IFERROR(__xludf.DUMMYFUNCTION("""COMPUTED_VALUE"""),"CISSE Djilane")</f>
        <v>CISSE Djilane</v>
      </c>
      <c r="U95" s="1" t="str">
        <f ca="1">IFERROR(__xludf.DUMMYFUNCTION("""COMPUTED_VALUE"""),"SOHM Jimmy")</f>
        <v>SOHM Jimmy</v>
      </c>
      <c r="V95" s="1" t="str">
        <f ca="1">IFERROR(__xludf.DUMMYFUNCTION("""COMPUTED_VALUE"""),"cdjilanes@gmail.com")</f>
        <v>cdjilanes@gmail.com</v>
      </c>
      <c r="W95" s="1" t="str">
        <f ca="1">IFERROR(__xludf.DUMMYFUNCTION("""COMPUTED_VALUE"""),"ji.sohm@gmail.com")</f>
        <v>ji.sohm@gmail.com</v>
      </c>
      <c r="X95" s="1" t="str">
        <f ca="1">IFERROR(__xludf.DUMMYFUNCTION("""COMPUTED_VALUE"""),"+221 77 332 63 14")</f>
        <v>+221 77 332 63 14</v>
      </c>
      <c r="Y95" s="1" t="str">
        <f ca="1">IFERROR(__xludf.DUMMYFUNCTION("""COMPUTED_VALUE"""),"+221 77 348 39 81")</f>
        <v>+221 77 348 39 81</v>
      </c>
      <c r="Z95" s="1"/>
      <c r="AA95" s="1"/>
      <c r="AB95" s="2">
        <f ca="1">IFERROR(__xludf.DUMMYFUNCTION("""COMPUTED_VALUE"""),29462)</f>
        <v>29462</v>
      </c>
      <c r="AC95" s="2">
        <f ca="1">IFERROR(__xludf.DUMMYFUNCTION("""COMPUTED_VALUE"""),29708)</f>
        <v>29708</v>
      </c>
      <c r="AD95" s="1" t="str">
        <f ca="1">IFERROR(__xludf.DUMMYFUNCTION("""COMPUTED_VALUE"""),"MERE")</f>
        <v>MERE</v>
      </c>
      <c r="AE95" s="1" t="str">
        <f ca="1">IFERROR(__xludf.DUMMYFUNCTION("""COMPUTED_VALUE"""),"PERE")</f>
        <v>PERE</v>
      </c>
      <c r="AF95" s="1" t="str">
        <f ca="1">IFERROR(__xludf.DUMMYFUNCTION("""COMPUTED_VALUE"""),"SENEGAL")</f>
        <v>SENEGAL</v>
      </c>
      <c r="AG95" s="1" t="str">
        <f ca="1">IFERROR(__xludf.DUMMYFUNCTION("""COMPUTED_VALUE"""),"FRANCE")</f>
        <v>FRANCE</v>
      </c>
      <c r="AH95" s="1" t="str">
        <f ca="1">IFERROR(__xludf.DUMMYFUNCTION("""COMPUTED_VALUE"""),"FRANCE")</f>
        <v>FRANCE</v>
      </c>
      <c r="AI95" s="1"/>
      <c r="AJ95" s="1" t="str">
        <f ca="1">IFERROR(__xludf.DUMMYFUNCTION("""COMPUTED_VALUE"""),"F1204")</f>
        <v>F1204</v>
      </c>
      <c r="AK95" s="1" t="str">
        <f ca="1">IFERROR(__xludf.DUMMYFUNCTION("""COMPUTED_VALUE"""),"Marié(e)")</f>
        <v>Marié(e)</v>
      </c>
      <c r="AL95" s="1" t="str">
        <f ca="1">IFERROR(__xludf.DUMMYFUNCTION("""COMPUTED_VALUE"""),"Marié(e)")</f>
        <v>Marié(e)</v>
      </c>
      <c r="AM95" s="1" t="str">
        <f ca="1">IFERROR(__xludf.DUMMYFUNCTION("""COMPUTED_VALUE"""),"F1204")</f>
        <v>F1204</v>
      </c>
    </row>
    <row r="96" spans="1:39" ht="15.75" customHeight="1" x14ac:dyDescent="0.15">
      <c r="A96" s="1" t="str">
        <f ca="1">IFERROR(__xludf.DUMMYFUNCTION("""COMPUTED_VALUE"""),"ÇOBANOĞLU Selim")</f>
        <v>ÇOBANOĞLU Selim</v>
      </c>
      <c r="B96" s="1" t="str">
        <f ca="1">IFERROR(__xludf.DUMMYFUNCTION("""COMPUTED_VALUE"""),"ÇOBANOĞLU")</f>
        <v>ÇOBANOĞLU</v>
      </c>
      <c r="C96" s="1" t="str">
        <f ca="1">IFERROR(__xludf.DUMMYFUNCTION("""COMPUTED_VALUE"""),"Selim")</f>
        <v>Selim</v>
      </c>
      <c r="D96" s="1" t="str">
        <f ca="1">IFERROR(__xludf.DUMMYFUNCTION("""COMPUTED_VALUE"""),"1211E1")</f>
        <v>1211E1</v>
      </c>
      <c r="E96" s="2">
        <f ca="1">IFERROR(__xludf.DUMMYFUNCTION("""COMPUTED_VALUE"""),43048)</f>
        <v>43048</v>
      </c>
      <c r="F96" s="1" t="str">
        <f ca="1">IFERROR(__xludf.DUMMYFUNCTION("""COMPUTED_VALUE"""),"CE1B")</f>
        <v>CE1B</v>
      </c>
      <c r="G96" s="1" t="str">
        <f ca="1">IFERROR(__xludf.DUMMYFUNCTION("""COMPUTED_VALUE"""),"CE1")</f>
        <v>CE1</v>
      </c>
      <c r="H96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96" s="1"/>
      <c r="J96" s="1"/>
      <c r="K96" s="1"/>
      <c r="L96" s="1"/>
      <c r="M96" s="1"/>
      <c r="N96" s="1" t="str">
        <f ca="1">IFERROR(__xludf.DUMMYFUNCTION("""COMPUTED_VALUE"""),"Garçon")</f>
        <v>Garçon</v>
      </c>
      <c r="O96" s="1"/>
      <c r="P96" s="1" t="str">
        <f ca="1">IFERROR(__xludf.DUMMYFUNCTION("""COMPUTED_VALUE"""),"TURQUIE")</f>
        <v>TURQUIE</v>
      </c>
      <c r="Q96" s="1"/>
      <c r="R96" s="1"/>
      <c r="S96" s="1"/>
      <c r="T96" s="1" t="str">
        <f ca="1">IFERROR(__xludf.DUMMYFUNCTION("""COMPUTED_VALUE"""),"ÇOBANOĞLU Mehmet")</f>
        <v>ÇOBANOĞLU Mehmet</v>
      </c>
      <c r="U96" s="1" t="str">
        <f ca="1">IFERROR(__xludf.DUMMYFUNCTION("""COMPUTED_VALUE"""),"ÇOBANOĞLU Feriha")</f>
        <v>ÇOBANOĞLU Feriha</v>
      </c>
      <c r="V96" s="1" t="str">
        <f ca="1">IFERROR(__xludf.DUMMYFUNCTION("""COMPUTED_VALUE"""),"bestpiscineservice@gmail.com")</f>
        <v>bestpiscineservice@gmail.com</v>
      </c>
      <c r="W96" s="1" t="str">
        <f ca="1">IFERROR(__xludf.DUMMYFUNCTION("""COMPUTED_VALUE"""),"bestpiscineservice@gmail.com")</f>
        <v>bestpiscineservice@gmail.com</v>
      </c>
      <c r="X96" s="1" t="str">
        <f ca="1">IFERROR(__xludf.DUMMYFUNCTION("""COMPUTED_VALUE"""),"33 956 35 79")</f>
        <v>33 956 35 79</v>
      </c>
      <c r="Y96" s="1" t="str">
        <f ca="1">IFERROR(__xludf.DUMMYFUNCTION("""COMPUTED_VALUE"""),"339563579")</f>
        <v>339563579</v>
      </c>
      <c r="Z96" s="1"/>
      <c r="AA96" s="1"/>
      <c r="AB96" s="2">
        <f ca="1">IFERROR(__xludf.DUMMYFUNCTION("""COMPUTED_VALUE"""),31000)</f>
        <v>31000</v>
      </c>
      <c r="AC96" s="2">
        <f ca="1">IFERROR(__xludf.DUMMYFUNCTION("""COMPUTED_VALUE"""),34090)</f>
        <v>34090</v>
      </c>
      <c r="AD96" s="1" t="str">
        <f ca="1">IFERROR(__xludf.DUMMYFUNCTION("""COMPUTED_VALUE"""),"PERE")</f>
        <v>PERE</v>
      </c>
      <c r="AE96" s="1" t="str">
        <f ca="1">IFERROR(__xludf.DUMMYFUNCTION("""COMPUTED_VALUE"""),"MERE")</f>
        <v>MERE</v>
      </c>
      <c r="AF96" s="1" t="str">
        <f ca="1">IFERROR(__xludf.DUMMYFUNCTION("""COMPUTED_VALUE"""),"TURQUIE")</f>
        <v>TURQUIE</v>
      </c>
      <c r="AG96" s="1" t="str">
        <f ca="1">IFERROR(__xludf.DUMMYFUNCTION("""COMPUTED_VALUE"""),"TURQUIE")</f>
        <v>TURQUIE</v>
      </c>
      <c r="AH96" s="1"/>
      <c r="AI96" s="1"/>
      <c r="AJ96" s="1" t="str">
        <f ca="1">IFERROR(__xludf.DUMMYFUNCTION("""COMPUTED_VALUE"""),"F1211")</f>
        <v>F1211</v>
      </c>
      <c r="AK96" s="1" t="str">
        <f ca="1">IFERROR(__xludf.DUMMYFUNCTION("""COMPUTED_VALUE"""),"Marié(e)")</f>
        <v>Marié(e)</v>
      </c>
      <c r="AL96" s="1" t="str">
        <f ca="1">IFERROR(__xludf.DUMMYFUNCTION("""COMPUTED_VALUE"""),"Marié(e)")</f>
        <v>Marié(e)</v>
      </c>
      <c r="AM96" s="1" t="str">
        <f ca="1">IFERROR(__xludf.DUMMYFUNCTION("""COMPUTED_VALUE"""),"F1211")</f>
        <v>F1211</v>
      </c>
    </row>
    <row r="97" spans="1:39" ht="13" x14ac:dyDescent="0.15">
      <c r="A97" s="1" t="str">
        <f ca="1">IFERROR(__xludf.DUMMYFUNCTION("""COMPUTED_VALUE"""),"ÇOBANOĞLU Vildan")</f>
        <v>ÇOBANOĞLU Vildan</v>
      </c>
      <c r="B97" s="1" t="str">
        <f ca="1">IFERROR(__xludf.DUMMYFUNCTION("""COMPUTED_VALUE"""),"ÇOBANOĞLU")</f>
        <v>ÇOBANOĞLU</v>
      </c>
      <c r="C97" s="1" t="str">
        <f ca="1">IFERROR(__xludf.DUMMYFUNCTION("""COMPUTED_VALUE"""),"Vildan")</f>
        <v>Vildan</v>
      </c>
      <c r="D97" s="1" t="str">
        <f ca="1">IFERROR(__xludf.DUMMYFUNCTION("""COMPUTED_VALUE"""),"1211E2")</f>
        <v>1211E2</v>
      </c>
      <c r="E97" s="2">
        <f ca="1">IFERROR(__xludf.DUMMYFUNCTION("""COMPUTED_VALUE"""),41960)</f>
        <v>41960</v>
      </c>
      <c r="F97" s="1" t="str">
        <f ca="1">IFERROR(__xludf.DUMMYFUNCTION("""COMPUTED_VALUE"""),"CM2A")</f>
        <v>CM2A</v>
      </c>
      <c r="G97" s="1" t="str">
        <f ca="1">IFERROR(__xludf.DUMMYFUNCTION("""COMPUTED_VALUE"""),"CM2")</f>
        <v>CM2</v>
      </c>
      <c r="H97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97" s="1"/>
      <c r="J97" s="1"/>
      <c r="K97" s="1"/>
      <c r="L97" s="1"/>
      <c r="M97" s="1"/>
      <c r="N97" s="1" t="str">
        <f ca="1">IFERROR(__xludf.DUMMYFUNCTION("""COMPUTED_VALUE"""),"Fille")</f>
        <v>Fille</v>
      </c>
      <c r="O97" s="1"/>
      <c r="P97" s="1" t="str">
        <f ca="1">IFERROR(__xludf.DUMMYFUNCTION("""COMPUTED_VALUE"""),"TURQUIE")</f>
        <v>TURQUIE</v>
      </c>
      <c r="Q97" s="1"/>
      <c r="R97" s="1"/>
      <c r="S97" s="1"/>
      <c r="T97" s="1" t="str">
        <f ca="1">IFERROR(__xludf.DUMMYFUNCTION("""COMPUTED_VALUE"""),"ÇOBANOĞLU Mehmet")</f>
        <v>ÇOBANOĞLU Mehmet</v>
      </c>
      <c r="U97" s="1" t="str">
        <f ca="1">IFERROR(__xludf.DUMMYFUNCTION("""COMPUTED_VALUE"""),"ÇOBANOĞLU Feriha")</f>
        <v>ÇOBANOĞLU Feriha</v>
      </c>
      <c r="V97" s="1" t="str">
        <f ca="1">IFERROR(__xludf.DUMMYFUNCTION("""COMPUTED_VALUE"""),"bestpiscineservice@gmail.com")</f>
        <v>bestpiscineservice@gmail.com</v>
      </c>
      <c r="W97" s="1" t="str">
        <f ca="1">IFERROR(__xludf.DUMMYFUNCTION("""COMPUTED_VALUE"""),"bestpiscineservice@gmail.com")</f>
        <v>bestpiscineservice@gmail.com</v>
      </c>
      <c r="X97" s="1" t="str">
        <f ca="1">IFERROR(__xludf.DUMMYFUNCTION("""COMPUTED_VALUE"""),"33 956 35 79")</f>
        <v>33 956 35 79</v>
      </c>
      <c r="Y97" s="1" t="str">
        <f ca="1">IFERROR(__xludf.DUMMYFUNCTION("""COMPUTED_VALUE"""),"339563579")</f>
        <v>339563579</v>
      </c>
      <c r="Z97" s="1"/>
      <c r="AA97" s="1"/>
      <c r="AB97" s="2">
        <f ca="1">IFERROR(__xludf.DUMMYFUNCTION("""COMPUTED_VALUE"""),31000)</f>
        <v>31000</v>
      </c>
      <c r="AC97" s="2">
        <f ca="1">IFERROR(__xludf.DUMMYFUNCTION("""COMPUTED_VALUE"""),34090)</f>
        <v>34090</v>
      </c>
      <c r="AD97" s="1" t="str">
        <f ca="1">IFERROR(__xludf.DUMMYFUNCTION("""COMPUTED_VALUE"""),"PERE")</f>
        <v>PERE</v>
      </c>
      <c r="AE97" s="1" t="str">
        <f ca="1">IFERROR(__xludf.DUMMYFUNCTION("""COMPUTED_VALUE"""),"MERE")</f>
        <v>MERE</v>
      </c>
      <c r="AF97" s="1" t="str">
        <f ca="1">IFERROR(__xludf.DUMMYFUNCTION("""COMPUTED_VALUE"""),"TURQUIE")</f>
        <v>TURQUIE</v>
      </c>
      <c r="AG97" s="1" t="str">
        <f ca="1">IFERROR(__xludf.DUMMYFUNCTION("""COMPUTED_VALUE"""),"TURQUIE")</f>
        <v>TURQUIE</v>
      </c>
      <c r="AH97" s="1"/>
      <c r="AI97" s="1"/>
      <c r="AJ97" s="1" t="str">
        <f ca="1">IFERROR(__xludf.DUMMYFUNCTION("""COMPUTED_VALUE"""),"F1211")</f>
        <v>F1211</v>
      </c>
      <c r="AK97" s="1" t="str">
        <f ca="1">IFERROR(__xludf.DUMMYFUNCTION("""COMPUTED_VALUE"""),"Marié(e)")</f>
        <v>Marié(e)</v>
      </c>
      <c r="AL97" s="1" t="str">
        <f ca="1">IFERROR(__xludf.DUMMYFUNCTION("""COMPUTED_VALUE"""),"Marié(e)")</f>
        <v>Marié(e)</v>
      </c>
      <c r="AM97" s="1" t="str">
        <f ca="1">IFERROR(__xludf.DUMMYFUNCTION("""COMPUTED_VALUE"""),"F1211")</f>
        <v>F1211</v>
      </c>
    </row>
    <row r="98" spans="1:39" ht="13" x14ac:dyDescent="0.15">
      <c r="A98" s="1" t="str">
        <f ca="1">IFERROR(__xludf.DUMMYFUNCTION("""COMPUTED_VALUE"""),"COISNARD Céline Clotilde")</f>
        <v>COISNARD Céline Clotilde</v>
      </c>
      <c r="B98" s="1" t="str">
        <f ca="1">IFERROR(__xludf.DUMMYFUNCTION("""COMPUTED_VALUE"""),"COISNARD")</f>
        <v>COISNARD</v>
      </c>
      <c r="C98" s="1" t="str">
        <f ca="1">IFERROR(__xludf.DUMMYFUNCTION("""COMPUTED_VALUE"""),"Céline Clotilde")</f>
        <v>Céline Clotilde</v>
      </c>
      <c r="D98" s="1" t="str">
        <f ca="1">IFERROR(__xludf.DUMMYFUNCTION("""COMPUTED_VALUE"""),"1212E1")</f>
        <v>1212E1</v>
      </c>
      <c r="E98" s="2">
        <f ca="1">IFERROR(__xludf.DUMMYFUNCTION("""COMPUTED_VALUE"""),42865)</f>
        <v>42865</v>
      </c>
      <c r="F98" s="1" t="str">
        <f ca="1">IFERROR(__xludf.DUMMYFUNCTION("""COMPUTED_VALUE"""),"CP-CE2")</f>
        <v>CP-CE2</v>
      </c>
      <c r="G98" s="1" t="str">
        <f ca="1">IFERROR(__xludf.DUMMYFUNCTION("""COMPUTED_VALUE"""),"CE2")</f>
        <v>CE2</v>
      </c>
      <c r="H98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98" s="1"/>
      <c r="J98" s="1"/>
      <c r="K98" s="1"/>
      <c r="L98" s="1"/>
      <c r="M98" s="1"/>
      <c r="N98" s="1" t="str">
        <f ca="1">IFERROR(__xludf.DUMMYFUNCTION("""COMPUTED_VALUE"""),"Fille")</f>
        <v>Fille</v>
      </c>
      <c r="O98" s="1"/>
      <c r="P98" s="1" t="str">
        <f ca="1">IFERROR(__xludf.DUMMYFUNCTION("""COMPUTED_VALUE"""),"FRANCE")</f>
        <v>FRANCE</v>
      </c>
      <c r="Q98" s="1" t="str">
        <f ca="1">IFERROR(__xludf.DUMMYFUNCTION("""COMPUTED_VALUE"""),"SENEGAL")</f>
        <v>SENEGAL</v>
      </c>
      <c r="R98" s="1"/>
      <c r="S98" s="1" t="str">
        <f ca="1">IFERROR(__xludf.DUMMYFUNCTION("""COMPUTED_VALUE"""),"+221")</f>
        <v>+221</v>
      </c>
      <c r="T98" s="1" t="str">
        <f ca="1">IFERROR(__xludf.DUMMYFUNCTION("""COMPUTED_VALUE"""),"GUEYE COISNARD Ndeye Coura")</f>
        <v>GUEYE COISNARD Ndeye Coura</v>
      </c>
      <c r="U98" s="1" t="str">
        <f ca="1">IFERROR(__xludf.DUMMYFUNCTION("""COMPUTED_VALUE"""),"COISNARD Michel")</f>
        <v>COISNARD Michel</v>
      </c>
      <c r="V98" s="1" t="str">
        <f ca="1">IFERROR(__xludf.DUMMYFUNCTION("""COMPUTED_VALUE"""),"michel.coisnard@hotmail.fr")</f>
        <v>michel.coisnard@hotmail.fr</v>
      </c>
      <c r="W98" s="1" t="str">
        <f ca="1">IFERROR(__xludf.DUMMYFUNCTION("""COMPUTED_VALUE"""),"michel.coisnard@hotmail.fr")</f>
        <v>michel.coisnard@hotmail.fr</v>
      </c>
      <c r="X98" s="1" t="str">
        <f ca="1">IFERROR(__xludf.DUMMYFUNCTION("""COMPUTED_VALUE"""),"+221 77 612 40 51")</f>
        <v>+221 77 612 40 51</v>
      </c>
      <c r="Y98" s="1" t="str">
        <f ca="1">IFERROR(__xludf.DUMMYFUNCTION("""COMPUTED_VALUE"""),"+221 77 612 40 51")</f>
        <v>+221 77 612 40 51</v>
      </c>
      <c r="Z98" s="1" t="str">
        <f ca="1">IFERROR(__xludf.DUMMYFUNCTION("""COMPUTED_VALUE"""),"+221")</f>
        <v>+221</v>
      </c>
      <c r="AA98" s="1" t="str">
        <f ca="1">IFERROR(__xludf.DUMMYFUNCTION("""COMPUTED_VALUE"""),"+221")</f>
        <v>+221</v>
      </c>
      <c r="AB98" s="2">
        <f ca="1">IFERROR(__xludf.DUMMYFUNCTION("""COMPUTED_VALUE"""),31274)</f>
        <v>31274</v>
      </c>
      <c r="AC98" s="2">
        <f ca="1">IFERROR(__xludf.DUMMYFUNCTION("""COMPUTED_VALUE"""),17848)</f>
        <v>17848</v>
      </c>
      <c r="AD98" s="1" t="str">
        <f ca="1">IFERROR(__xludf.DUMMYFUNCTION("""COMPUTED_VALUE"""),"MERE")</f>
        <v>MERE</v>
      </c>
      <c r="AE98" s="1" t="str">
        <f ca="1">IFERROR(__xludf.DUMMYFUNCTION("""COMPUTED_VALUE"""),"PERE")</f>
        <v>PERE</v>
      </c>
      <c r="AF98" s="1" t="str">
        <f ca="1">IFERROR(__xludf.DUMMYFUNCTION("""COMPUTED_VALUE"""),"SENEGAL")</f>
        <v>SENEGAL</v>
      </c>
      <c r="AG98" s="1" t="str">
        <f ca="1">IFERROR(__xludf.DUMMYFUNCTION("""COMPUTED_VALUE"""),"FRANCE")</f>
        <v>FRANCE</v>
      </c>
      <c r="AH98" s="1" t="str">
        <f ca="1">IFERROR(__xludf.DUMMYFUNCTION("""COMPUTED_VALUE"""),"FRANCE")</f>
        <v>FRANCE</v>
      </c>
      <c r="AI98" s="1"/>
      <c r="AJ98" s="1" t="str">
        <f ca="1">IFERROR(__xludf.DUMMYFUNCTION("""COMPUTED_VALUE"""),"F1212")</f>
        <v>F1212</v>
      </c>
      <c r="AK98" s="1" t="str">
        <f ca="1">IFERROR(__xludf.DUMMYFUNCTION("""COMPUTED_VALUE"""),"Marié(e)")</f>
        <v>Marié(e)</v>
      </c>
      <c r="AL98" s="1" t="str">
        <f ca="1">IFERROR(__xludf.DUMMYFUNCTION("""COMPUTED_VALUE"""),"Marié(e)")</f>
        <v>Marié(e)</v>
      </c>
      <c r="AM98" s="1" t="str">
        <f ca="1">IFERROR(__xludf.DUMMYFUNCTION("""COMPUTED_VALUE"""),"F1212")</f>
        <v>F1212</v>
      </c>
    </row>
    <row r="99" spans="1:39" ht="13" x14ac:dyDescent="0.15">
      <c r="A99" s="1" t="str">
        <f ca="1">IFERROR(__xludf.DUMMYFUNCTION("""COMPUTED_VALUE"""),"COMTE Marie-Amina")</f>
        <v>COMTE Marie-Amina</v>
      </c>
      <c r="B99" s="1" t="str">
        <f ca="1">IFERROR(__xludf.DUMMYFUNCTION("""COMPUTED_VALUE"""),"COMTE")</f>
        <v>COMTE</v>
      </c>
      <c r="C99" s="1" t="str">
        <f ca="1">IFERROR(__xludf.DUMMYFUNCTION("""COMPUTED_VALUE"""),"Marie-Amina")</f>
        <v>Marie-Amina</v>
      </c>
      <c r="D99" s="1" t="str">
        <f ca="1">IFERROR(__xludf.DUMMYFUNCTION("""COMPUTED_VALUE"""),"1216E1")</f>
        <v>1216E1</v>
      </c>
      <c r="E99" s="2">
        <f ca="1">IFERROR(__xludf.DUMMYFUNCTION("""COMPUTED_VALUE"""),40912)</f>
        <v>40912</v>
      </c>
      <c r="F99" s="1" t="str">
        <f ca="1">IFERROR(__xludf.DUMMYFUNCTION("""COMPUTED_VALUE"""),"4EME1")</f>
        <v>4EME1</v>
      </c>
      <c r="G99" s="1" t="str">
        <f ca="1">IFERROR(__xludf.DUMMYFUNCTION("""COMPUTED_VALUE"""),"4ème")</f>
        <v>4ème</v>
      </c>
      <c r="H99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99" s="1" t="str">
        <f ca="1">IFERROR(__xludf.DUMMYFUNCTION("""COMPUTED_VALUE"""),"LVA Anglais")</f>
        <v>LVA Anglais</v>
      </c>
      <c r="J99" s="1" t="str">
        <f ca="1">IFERROR(__xludf.DUMMYFUNCTION("""COMPUTED_VALUE"""),"LVB Espagnol")</f>
        <v>LVB Espagnol</v>
      </c>
      <c r="K99" s="1"/>
      <c r="L99" s="1"/>
      <c r="M99" s="1"/>
      <c r="N99" s="1" t="str">
        <f ca="1">IFERROR(__xludf.DUMMYFUNCTION("""COMPUTED_VALUE"""),"Fille")</f>
        <v>Fille</v>
      </c>
      <c r="O99" s="1"/>
      <c r="P99" s="1" t="str">
        <f ca="1">IFERROR(__xludf.DUMMYFUNCTION("""COMPUTED_VALUE"""),"FRANCE")</f>
        <v>FRANCE</v>
      </c>
      <c r="Q99" s="1" t="str">
        <f ca="1">IFERROR(__xludf.DUMMYFUNCTION("""COMPUTED_VALUE"""),"SENEGAL")</f>
        <v>SENEGAL</v>
      </c>
      <c r="R99" s="1" t="str">
        <f ca="1">IFERROR(__xludf.DUMMYFUNCTION("""COMPUTED_VALUE"""),"marie-amina.comte@lfjpsaly.org")</f>
        <v>marie-amina.comte@lfjpsaly.org</v>
      </c>
      <c r="S99" s="1"/>
      <c r="T99" s="1" t="str">
        <f ca="1">IFERROR(__xludf.DUMMYFUNCTION("""COMPUTED_VALUE"""),"COMTE Rabietou")</f>
        <v>COMTE Rabietou</v>
      </c>
      <c r="U99" s="1" t="str">
        <f ca="1">IFERROR(__xludf.DUMMYFUNCTION("""COMPUTED_VALUE"""),"COMTE Renaud")</f>
        <v>COMTE Renaud</v>
      </c>
      <c r="V99" s="1" t="str">
        <f ca="1">IFERROR(__xludf.DUMMYFUNCTION("""COMPUTED_VALUE"""),"rabietou@hotmail.fr")</f>
        <v>rabietou@hotmail.fr</v>
      </c>
      <c r="W99" s="1" t="str">
        <f ca="1">IFERROR(__xludf.DUMMYFUNCTION("""COMPUTED_VALUE"""),"comte.renaud@gmail.com")</f>
        <v>comte.renaud@gmail.com</v>
      </c>
      <c r="X99" s="1" t="str">
        <f ca="1">IFERROR(__xludf.DUMMYFUNCTION("""COMPUTED_VALUE"""),"+221 76 829 67 05")</f>
        <v>+221 76 829 67 05</v>
      </c>
      <c r="Y99" s="1" t="str">
        <f ca="1">IFERROR(__xludf.DUMMYFUNCTION("""COMPUTED_VALUE"""),"76 520 23 12")</f>
        <v>76 520 23 12</v>
      </c>
      <c r="Z99" s="1"/>
      <c r="AA99" s="1"/>
      <c r="AB99" s="2">
        <f ca="1">IFERROR(__xludf.DUMMYFUNCTION("""COMPUTED_VALUE"""),30007)</f>
        <v>30007</v>
      </c>
      <c r="AC99" s="2">
        <f ca="1">IFERROR(__xludf.DUMMYFUNCTION("""COMPUTED_VALUE"""),28261)</f>
        <v>28261</v>
      </c>
      <c r="AD99" s="1" t="str">
        <f ca="1">IFERROR(__xludf.DUMMYFUNCTION("""COMPUTED_VALUE"""),"MERE")</f>
        <v>MERE</v>
      </c>
      <c r="AE99" s="1" t="str">
        <f ca="1">IFERROR(__xludf.DUMMYFUNCTION("""COMPUTED_VALUE"""),"PERE")</f>
        <v>PERE</v>
      </c>
      <c r="AF99" s="1" t="str">
        <f ca="1">IFERROR(__xludf.DUMMYFUNCTION("""COMPUTED_VALUE"""),"SENEGAL")</f>
        <v>SENEGAL</v>
      </c>
      <c r="AG99" s="1" t="str">
        <f ca="1">IFERROR(__xludf.DUMMYFUNCTION("""COMPUTED_VALUE"""),"FRANCE")</f>
        <v>FRANCE</v>
      </c>
      <c r="AH99" s="1"/>
      <c r="AI99" s="1"/>
      <c r="AJ99" s="1" t="str">
        <f ca="1">IFERROR(__xludf.DUMMYFUNCTION("""COMPUTED_VALUE"""),"F1216")</f>
        <v>F1216</v>
      </c>
      <c r="AK99" s="1" t="str">
        <f ca="1">IFERROR(__xludf.DUMMYFUNCTION("""COMPUTED_VALUE"""),"Marié(e)")</f>
        <v>Marié(e)</v>
      </c>
      <c r="AL99" s="1" t="str">
        <f ca="1">IFERROR(__xludf.DUMMYFUNCTION("""COMPUTED_VALUE"""),"Marié(e)")</f>
        <v>Marié(e)</v>
      </c>
      <c r="AM99" s="1" t="str">
        <f ca="1">IFERROR(__xludf.DUMMYFUNCTION("""COMPUTED_VALUE"""),"F1216")</f>
        <v>F1216</v>
      </c>
    </row>
    <row r="100" spans="1:39" ht="13" x14ac:dyDescent="0.15">
      <c r="A100" s="1" t="str">
        <f ca="1">IFERROR(__xludf.DUMMYFUNCTION("""COMPUTED_VALUE"""),"COPPENS Ines")</f>
        <v>COPPENS Ines</v>
      </c>
      <c r="B100" s="1" t="str">
        <f ca="1">IFERROR(__xludf.DUMMYFUNCTION("""COMPUTED_VALUE"""),"COPPENS")</f>
        <v>COPPENS</v>
      </c>
      <c r="C100" s="1" t="str">
        <f ca="1">IFERROR(__xludf.DUMMYFUNCTION("""COMPUTED_VALUE"""),"Ines")</f>
        <v>Ines</v>
      </c>
      <c r="D100" s="1" t="str">
        <f ca="1">IFERROR(__xludf.DUMMYFUNCTION("""COMPUTED_VALUE"""),"1218E1")</f>
        <v>1218E1</v>
      </c>
      <c r="E100" s="2">
        <f ca="1">IFERROR(__xludf.DUMMYFUNCTION("""COMPUTED_VALUE"""),42533)</f>
        <v>42533</v>
      </c>
      <c r="F100" s="1" t="str">
        <f ca="1">IFERROR(__xludf.DUMMYFUNCTION("""COMPUTED_VALUE"""),"CM1A")</f>
        <v>CM1A</v>
      </c>
      <c r="G100" s="1" t="str">
        <f ca="1">IFERROR(__xludf.DUMMYFUNCTION("""COMPUTED_VALUE"""),"CM1")</f>
        <v>CM1</v>
      </c>
      <c r="H100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100" s="1"/>
      <c r="J100" s="1"/>
      <c r="K100" s="1"/>
      <c r="L100" s="1"/>
      <c r="M100" s="1"/>
      <c r="N100" s="1" t="str">
        <f ca="1">IFERROR(__xludf.DUMMYFUNCTION("""COMPUTED_VALUE"""),"Fille")</f>
        <v>Fille</v>
      </c>
      <c r="O100" s="1"/>
      <c r="P100" s="1" t="str">
        <f ca="1">IFERROR(__xludf.DUMMYFUNCTION("""COMPUTED_VALUE"""),"FRANCE")</f>
        <v>FRANCE</v>
      </c>
      <c r="Q100" s="1"/>
      <c r="R100" s="1"/>
      <c r="S100" s="1"/>
      <c r="T100" s="1" t="str">
        <f ca="1">IFERROR(__xludf.DUMMYFUNCTION("""COMPUTED_VALUE"""),"COPPENS Lila")</f>
        <v>COPPENS Lila</v>
      </c>
      <c r="U100" s="1" t="str">
        <f ca="1">IFERROR(__xludf.DUMMYFUNCTION("""COMPUTED_VALUE"""),"COPPENS Nicolas")</f>
        <v>COPPENS Nicolas</v>
      </c>
      <c r="V100" s="1" t="str">
        <f ca="1">IFERROR(__xludf.DUMMYFUNCTION("""COMPUTED_VALUE"""),"lilacoppens@gmail.com")</f>
        <v>lilacoppens@gmail.com</v>
      </c>
      <c r="W100" s="1" t="str">
        <f ca="1">IFERROR(__xludf.DUMMYFUNCTION("""COMPUTED_VALUE"""),"ncoppens@orange.fr")</f>
        <v>ncoppens@orange.fr</v>
      </c>
      <c r="X100" s="1" t="str">
        <f ca="1">IFERROR(__xludf.DUMMYFUNCTION("""COMPUTED_VALUE"""),"+221 78 308 93 34")</f>
        <v>+221 78 308 93 34</v>
      </c>
      <c r="Y100" s="1" t="str">
        <f ca="1">IFERROR(__xludf.DUMMYFUNCTION("""COMPUTED_VALUE"""),"+33 6 14 66 13 78")</f>
        <v>+33 6 14 66 13 78</v>
      </c>
      <c r="Z100" s="1"/>
      <c r="AA100" s="1" t="str">
        <f ca="1">IFERROR(__xludf.DUMMYFUNCTION("""COMPUTED_VALUE"""),"+221")</f>
        <v>+221</v>
      </c>
      <c r="AB100" s="2">
        <f ca="1">IFERROR(__xludf.DUMMYFUNCTION("""COMPUTED_VALUE"""),33367)</f>
        <v>33367</v>
      </c>
      <c r="AC100" s="2">
        <f ca="1">IFERROR(__xludf.DUMMYFUNCTION("""COMPUTED_VALUE"""),32366)</f>
        <v>32366</v>
      </c>
      <c r="AD100" s="1" t="str">
        <f ca="1">IFERROR(__xludf.DUMMYFUNCTION("""COMPUTED_VALUE"""),"MERE")</f>
        <v>MERE</v>
      </c>
      <c r="AE100" s="1" t="str">
        <f ca="1">IFERROR(__xludf.DUMMYFUNCTION("""COMPUTED_VALUE"""),"PERE")</f>
        <v>PERE</v>
      </c>
      <c r="AF100" s="1" t="str">
        <f ca="1">IFERROR(__xludf.DUMMYFUNCTION("""COMPUTED_VALUE"""),"FRANCE")</f>
        <v>FRANCE</v>
      </c>
      <c r="AG100" s="1" t="str">
        <f ca="1">IFERROR(__xludf.DUMMYFUNCTION("""COMPUTED_VALUE"""),"FRANCE")</f>
        <v>FRANCE</v>
      </c>
      <c r="AH100" s="1" t="str">
        <f ca="1">IFERROR(__xludf.DUMMYFUNCTION("""COMPUTED_VALUE"""),"TOGO")</f>
        <v>TOGO</v>
      </c>
      <c r="AI100" s="1"/>
      <c r="AJ100" s="1" t="str">
        <f ca="1">IFERROR(__xludf.DUMMYFUNCTION("""COMPUTED_VALUE"""),"F1218")</f>
        <v>F1218</v>
      </c>
      <c r="AK100" s="1" t="str">
        <f ca="1">IFERROR(__xludf.DUMMYFUNCTION("""COMPUTED_VALUE"""),"Marié(e)")</f>
        <v>Marié(e)</v>
      </c>
      <c r="AL100" s="1" t="str">
        <f ca="1">IFERROR(__xludf.DUMMYFUNCTION("""COMPUTED_VALUE"""),"Marié(e)")</f>
        <v>Marié(e)</v>
      </c>
      <c r="AM100" s="1" t="str">
        <f ca="1">IFERROR(__xludf.DUMMYFUNCTION("""COMPUTED_VALUE"""),"F1218")</f>
        <v>F1218</v>
      </c>
    </row>
    <row r="101" spans="1:39" ht="13" x14ac:dyDescent="0.15">
      <c r="A101" s="1" t="str">
        <f ca="1">IFERROR(__xludf.DUMMYFUNCTION("""COMPUTED_VALUE"""),"COPPENS Leïna")</f>
        <v>COPPENS Leïna</v>
      </c>
      <c r="B101" s="1" t="str">
        <f ca="1">IFERROR(__xludf.DUMMYFUNCTION("""COMPUTED_VALUE"""),"COPPENS")</f>
        <v>COPPENS</v>
      </c>
      <c r="C101" s="1" t="str">
        <f ca="1">IFERROR(__xludf.DUMMYFUNCTION("""COMPUTED_VALUE"""),"Leïna")</f>
        <v>Leïna</v>
      </c>
      <c r="D101" s="1" t="str">
        <f ca="1">IFERROR(__xludf.DUMMYFUNCTION("""COMPUTED_VALUE"""),"1218E2")</f>
        <v>1218E2</v>
      </c>
      <c r="E101" s="2">
        <f ca="1">IFERROR(__xludf.DUMMYFUNCTION("""COMPUTED_VALUE"""),42878)</f>
        <v>42878</v>
      </c>
      <c r="F101" s="1" t="str">
        <f ca="1">IFERROR(__xludf.DUMMYFUNCTION("""COMPUTED_VALUE"""),"CE2")</f>
        <v>CE2</v>
      </c>
      <c r="G101" s="1" t="str">
        <f ca="1">IFERROR(__xludf.DUMMYFUNCTION("""COMPUTED_VALUE"""),"CE2")</f>
        <v>CE2</v>
      </c>
      <c r="H101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101" s="1"/>
      <c r="J101" s="1"/>
      <c r="K101" s="1"/>
      <c r="L101" s="1"/>
      <c r="M101" s="1"/>
      <c r="N101" s="1" t="str">
        <f ca="1">IFERROR(__xludf.DUMMYFUNCTION("""COMPUTED_VALUE"""),"Fille")</f>
        <v>Fille</v>
      </c>
      <c r="O101" s="1"/>
      <c r="P101" s="1" t="str">
        <f ca="1">IFERROR(__xludf.DUMMYFUNCTION("""COMPUTED_VALUE"""),"FRANCE")</f>
        <v>FRANCE</v>
      </c>
      <c r="Q101" s="1"/>
      <c r="R101" s="1"/>
      <c r="S101" s="1"/>
      <c r="T101" s="1" t="str">
        <f ca="1">IFERROR(__xludf.DUMMYFUNCTION("""COMPUTED_VALUE"""),"COPPENS Lila")</f>
        <v>COPPENS Lila</v>
      </c>
      <c r="U101" s="1" t="str">
        <f ca="1">IFERROR(__xludf.DUMMYFUNCTION("""COMPUTED_VALUE"""),"COPPENS Nicolas")</f>
        <v>COPPENS Nicolas</v>
      </c>
      <c r="V101" s="1" t="str">
        <f ca="1">IFERROR(__xludf.DUMMYFUNCTION("""COMPUTED_VALUE"""),"lilacoppens@gmail.com")</f>
        <v>lilacoppens@gmail.com</v>
      </c>
      <c r="W101" s="1" t="str">
        <f ca="1">IFERROR(__xludf.DUMMYFUNCTION("""COMPUTED_VALUE"""),"ncoppens@orange.fr")</f>
        <v>ncoppens@orange.fr</v>
      </c>
      <c r="X101" s="1" t="str">
        <f ca="1">IFERROR(__xludf.DUMMYFUNCTION("""COMPUTED_VALUE"""),"+221 78 308 93 34")</f>
        <v>+221 78 308 93 34</v>
      </c>
      <c r="Y101" s="1" t="str">
        <f ca="1">IFERROR(__xludf.DUMMYFUNCTION("""COMPUTED_VALUE"""),"+33 6 14 66 13 78")</f>
        <v>+33 6 14 66 13 78</v>
      </c>
      <c r="Z101" s="1"/>
      <c r="AA101" s="1" t="str">
        <f ca="1">IFERROR(__xludf.DUMMYFUNCTION("""COMPUTED_VALUE"""),"+221")</f>
        <v>+221</v>
      </c>
      <c r="AB101" s="2">
        <f ca="1">IFERROR(__xludf.DUMMYFUNCTION("""COMPUTED_VALUE"""),33367)</f>
        <v>33367</v>
      </c>
      <c r="AC101" s="2">
        <f ca="1">IFERROR(__xludf.DUMMYFUNCTION("""COMPUTED_VALUE"""),32366)</f>
        <v>32366</v>
      </c>
      <c r="AD101" s="1" t="str">
        <f ca="1">IFERROR(__xludf.DUMMYFUNCTION("""COMPUTED_VALUE"""),"MERE")</f>
        <v>MERE</v>
      </c>
      <c r="AE101" s="1" t="str">
        <f ca="1">IFERROR(__xludf.DUMMYFUNCTION("""COMPUTED_VALUE"""),"PERE")</f>
        <v>PERE</v>
      </c>
      <c r="AF101" s="1" t="str">
        <f ca="1">IFERROR(__xludf.DUMMYFUNCTION("""COMPUTED_VALUE"""),"FRANCE")</f>
        <v>FRANCE</v>
      </c>
      <c r="AG101" s="1" t="str">
        <f ca="1">IFERROR(__xludf.DUMMYFUNCTION("""COMPUTED_VALUE"""),"FRANCE")</f>
        <v>FRANCE</v>
      </c>
      <c r="AH101" s="1" t="str">
        <f ca="1">IFERROR(__xludf.DUMMYFUNCTION("""COMPUTED_VALUE"""),"TOGO")</f>
        <v>TOGO</v>
      </c>
      <c r="AI101" s="1"/>
      <c r="AJ101" s="1" t="str">
        <f ca="1">IFERROR(__xludf.DUMMYFUNCTION("""COMPUTED_VALUE"""),"F1218")</f>
        <v>F1218</v>
      </c>
      <c r="AK101" s="1" t="str">
        <f ca="1">IFERROR(__xludf.DUMMYFUNCTION("""COMPUTED_VALUE"""),"Marié(e)")</f>
        <v>Marié(e)</v>
      </c>
      <c r="AL101" s="1" t="str">
        <f ca="1">IFERROR(__xludf.DUMMYFUNCTION("""COMPUTED_VALUE"""),"Marié(e)")</f>
        <v>Marié(e)</v>
      </c>
      <c r="AM101" s="1" t="str">
        <f ca="1">IFERROR(__xludf.DUMMYFUNCTION("""COMPUTED_VALUE"""),"F1218")</f>
        <v>F1218</v>
      </c>
    </row>
    <row r="102" spans="1:39" ht="13" x14ac:dyDescent="0.15">
      <c r="A102" s="1" t="str">
        <f ca="1">IFERROR(__xludf.DUMMYFUNCTION("""COMPUTED_VALUE"""),"CORNALI Maël")</f>
        <v>CORNALI Maël</v>
      </c>
      <c r="B102" s="1" t="str">
        <f ca="1">IFERROR(__xludf.DUMMYFUNCTION("""COMPUTED_VALUE"""),"CORNALI")</f>
        <v>CORNALI</v>
      </c>
      <c r="C102" s="1" t="str">
        <f ca="1">IFERROR(__xludf.DUMMYFUNCTION("""COMPUTED_VALUE"""),"Maël")</f>
        <v>Maël</v>
      </c>
      <c r="D102" s="1" t="str">
        <f ca="1">IFERROR(__xludf.DUMMYFUNCTION("""COMPUTED_VALUE"""),"1219E1")</f>
        <v>1219E1</v>
      </c>
      <c r="E102" s="2">
        <f ca="1">IFERROR(__xludf.DUMMYFUNCTION("""COMPUTED_VALUE"""),41051)</f>
        <v>41051</v>
      </c>
      <c r="F102" s="1" t="str">
        <f ca="1">IFERROR(__xludf.DUMMYFUNCTION("""COMPUTED_VALUE"""),"4EME2")</f>
        <v>4EME2</v>
      </c>
      <c r="G102" s="1" t="str">
        <f ca="1">IFERROR(__xludf.DUMMYFUNCTION("""COMPUTED_VALUE"""),"4ème")</f>
        <v>4ème</v>
      </c>
      <c r="H102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102" s="1" t="str">
        <f ca="1">IFERROR(__xludf.DUMMYFUNCTION("""COMPUTED_VALUE"""),"LVA Anglais")</f>
        <v>LVA Anglais</v>
      </c>
      <c r="J102" s="1" t="str">
        <f ca="1">IFERROR(__xludf.DUMMYFUNCTION("""COMPUTED_VALUE"""),"LVB Espagnol")</f>
        <v>LVB Espagnol</v>
      </c>
      <c r="K102" s="1"/>
      <c r="L102" s="1"/>
      <c r="M102" s="1"/>
      <c r="N102" s="1" t="str">
        <f ca="1">IFERROR(__xludf.DUMMYFUNCTION("""COMPUTED_VALUE"""),"Garçon")</f>
        <v>Garçon</v>
      </c>
      <c r="O102" s="1"/>
      <c r="P102" s="1" t="str">
        <f ca="1">IFERROR(__xludf.DUMMYFUNCTION("""COMPUTED_VALUE"""),"FRANCE")</f>
        <v>FRANCE</v>
      </c>
      <c r="Q102" s="1"/>
      <c r="R102" s="1" t="str">
        <f ca="1">IFERROR(__xludf.DUMMYFUNCTION("""COMPUTED_VALUE"""),"mael.cornali@lfjpsaly.org")</f>
        <v>mael.cornali@lfjpsaly.org</v>
      </c>
      <c r="S102" s="1" t="str">
        <f ca="1">IFERROR(__xludf.DUMMYFUNCTION("""COMPUTED_VALUE"""),"+221 77 646 92 85")</f>
        <v>+221 77 646 92 85</v>
      </c>
      <c r="T102" s="1" t="str">
        <f ca="1">IFERROR(__xludf.DUMMYFUNCTION("""COMPUTED_VALUE"""),"GIBUS Amandine")</f>
        <v>GIBUS Amandine</v>
      </c>
      <c r="U102" s="1" t="str">
        <f ca="1">IFERROR(__xludf.DUMMYFUNCTION("""COMPUTED_VALUE"""),"CORNALI Karim")</f>
        <v>CORNALI Karim</v>
      </c>
      <c r="V102" s="1" t="str">
        <f ca="1">IFERROR(__xludf.DUMMYFUNCTION("""COMPUTED_VALUE"""),"amandine.gibus@gmail.com")</f>
        <v>amandine.gibus@gmail.com</v>
      </c>
      <c r="W102" s="1" t="str">
        <f ca="1">IFERROR(__xludf.DUMMYFUNCTION("""COMPUTED_VALUE"""),"karim.cornali@hotmail.fr")</f>
        <v>karim.cornali@hotmail.fr</v>
      </c>
      <c r="X102" s="1" t="str">
        <f ca="1">IFERROR(__xludf.DUMMYFUNCTION("""COMPUTED_VALUE"""),"+221 77 636 27 55")</f>
        <v>+221 77 636 27 55</v>
      </c>
      <c r="Y102" s="1" t="str">
        <f ca="1">IFERROR(__xludf.DUMMYFUNCTION("""COMPUTED_VALUE"""),"+221 78 149 36 17")</f>
        <v>+221 78 149 36 17</v>
      </c>
      <c r="Z102" s="1"/>
      <c r="AA102" s="1"/>
      <c r="AB102" s="2">
        <f ca="1">IFERROR(__xludf.DUMMYFUNCTION("""COMPUTED_VALUE"""),28885)</f>
        <v>28885</v>
      </c>
      <c r="AC102" s="2">
        <f ca="1">IFERROR(__xludf.DUMMYFUNCTION("""COMPUTED_VALUE"""),29149)</f>
        <v>29149</v>
      </c>
      <c r="AD102" s="1" t="str">
        <f ca="1">IFERROR(__xludf.DUMMYFUNCTION("""COMPUTED_VALUE"""),"MERE")</f>
        <v>MERE</v>
      </c>
      <c r="AE102" s="1" t="str">
        <f ca="1">IFERROR(__xludf.DUMMYFUNCTION("""COMPUTED_VALUE"""),"PERE")</f>
        <v>PERE</v>
      </c>
      <c r="AF102" s="1" t="str">
        <f ca="1">IFERROR(__xludf.DUMMYFUNCTION("""COMPUTED_VALUE"""),"FRANCE")</f>
        <v>FRANCE</v>
      </c>
      <c r="AG102" s="1" t="str">
        <f ca="1">IFERROR(__xludf.DUMMYFUNCTION("""COMPUTED_VALUE"""),"FRANCE")</f>
        <v>FRANCE</v>
      </c>
      <c r="AH102" s="1"/>
      <c r="AI102" s="1"/>
      <c r="AJ102" s="1" t="str">
        <f ca="1">IFERROR(__xludf.DUMMYFUNCTION("""COMPUTED_VALUE"""),"F1219")</f>
        <v>F1219</v>
      </c>
      <c r="AK102" s="1" t="str">
        <f ca="1">IFERROR(__xludf.DUMMYFUNCTION("""COMPUTED_VALUE"""),"Pacsé(e)")</f>
        <v>Pacsé(e)</v>
      </c>
      <c r="AL102" s="1" t="str">
        <f ca="1">IFERROR(__xludf.DUMMYFUNCTION("""COMPUTED_VALUE"""),"Pacsé(e)")</f>
        <v>Pacsé(e)</v>
      </c>
      <c r="AM102" s="1" t="str">
        <f ca="1">IFERROR(__xludf.DUMMYFUNCTION("""COMPUTED_VALUE"""),"F1219")</f>
        <v>F1219</v>
      </c>
    </row>
    <row r="103" spans="1:39" ht="13" x14ac:dyDescent="0.15">
      <c r="A103" s="1" t="str">
        <f ca="1">IFERROR(__xludf.DUMMYFUNCTION("""COMPUTED_VALUE"""),"CORNALI Malik")</f>
        <v>CORNALI Malik</v>
      </c>
      <c r="B103" s="1" t="str">
        <f ca="1">IFERROR(__xludf.DUMMYFUNCTION("""COMPUTED_VALUE"""),"CORNALI")</f>
        <v>CORNALI</v>
      </c>
      <c r="C103" s="1" t="str">
        <f ca="1">IFERROR(__xludf.DUMMYFUNCTION("""COMPUTED_VALUE"""),"Malik")</f>
        <v>Malik</v>
      </c>
      <c r="D103" s="1" t="str">
        <f ca="1">IFERROR(__xludf.DUMMYFUNCTION("""COMPUTED_VALUE"""),"1219E2")</f>
        <v>1219E2</v>
      </c>
      <c r="E103" s="2">
        <f ca="1">IFERROR(__xludf.DUMMYFUNCTION("""COMPUTED_VALUE"""),42964)</f>
        <v>42964</v>
      </c>
      <c r="F103" s="1" t="str">
        <f ca="1">IFERROR(__xludf.DUMMYFUNCTION("""COMPUTED_VALUE"""),"CE2")</f>
        <v>CE2</v>
      </c>
      <c r="G103" s="1" t="str">
        <f ca="1">IFERROR(__xludf.DUMMYFUNCTION("""COMPUTED_VALUE"""),"CE2")</f>
        <v>CE2</v>
      </c>
      <c r="H103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103" s="1"/>
      <c r="J103" s="1"/>
      <c r="K103" s="1"/>
      <c r="L103" s="1"/>
      <c r="M103" s="1"/>
      <c r="N103" s="1" t="str">
        <f ca="1">IFERROR(__xludf.DUMMYFUNCTION("""COMPUTED_VALUE"""),"Garçon")</f>
        <v>Garçon</v>
      </c>
      <c r="O103" s="1"/>
      <c r="P103" s="1" t="str">
        <f ca="1">IFERROR(__xludf.DUMMYFUNCTION("""COMPUTED_VALUE"""),"FRANCE")</f>
        <v>FRANCE</v>
      </c>
      <c r="Q103" s="1"/>
      <c r="R103" s="1"/>
      <c r="S103" s="1" t="str">
        <f ca="1">IFERROR(__xludf.DUMMYFUNCTION("""COMPUTED_VALUE"""),"+221")</f>
        <v>+221</v>
      </c>
      <c r="T103" s="1" t="str">
        <f ca="1">IFERROR(__xludf.DUMMYFUNCTION("""COMPUTED_VALUE"""),"GIBUS Amandine")</f>
        <v>GIBUS Amandine</v>
      </c>
      <c r="U103" s="1" t="str">
        <f ca="1">IFERROR(__xludf.DUMMYFUNCTION("""COMPUTED_VALUE"""),"CORNALI Karim")</f>
        <v>CORNALI Karim</v>
      </c>
      <c r="V103" s="1" t="str">
        <f ca="1">IFERROR(__xludf.DUMMYFUNCTION("""COMPUTED_VALUE"""),"amandine.gibus@gmail.com")</f>
        <v>amandine.gibus@gmail.com</v>
      </c>
      <c r="W103" s="1" t="str">
        <f ca="1">IFERROR(__xludf.DUMMYFUNCTION("""COMPUTED_VALUE"""),"karim.cornali@hotmail.fr")</f>
        <v>karim.cornali@hotmail.fr</v>
      </c>
      <c r="X103" s="1" t="str">
        <f ca="1">IFERROR(__xludf.DUMMYFUNCTION("""COMPUTED_VALUE"""),"+221 77 636 27 55")</f>
        <v>+221 77 636 27 55</v>
      </c>
      <c r="Y103" s="1" t="str">
        <f ca="1">IFERROR(__xludf.DUMMYFUNCTION("""COMPUTED_VALUE"""),"+221 78 149 36 17")</f>
        <v>+221 78 149 36 17</v>
      </c>
      <c r="Z103" s="1"/>
      <c r="AA103" s="1"/>
      <c r="AB103" s="2">
        <f ca="1">IFERROR(__xludf.DUMMYFUNCTION("""COMPUTED_VALUE"""),28885)</f>
        <v>28885</v>
      </c>
      <c r="AC103" s="2">
        <f ca="1">IFERROR(__xludf.DUMMYFUNCTION("""COMPUTED_VALUE"""),29149)</f>
        <v>29149</v>
      </c>
      <c r="AD103" s="1" t="str">
        <f ca="1">IFERROR(__xludf.DUMMYFUNCTION("""COMPUTED_VALUE"""),"MERE")</f>
        <v>MERE</v>
      </c>
      <c r="AE103" s="1" t="str">
        <f ca="1">IFERROR(__xludf.DUMMYFUNCTION("""COMPUTED_VALUE"""),"PERE")</f>
        <v>PERE</v>
      </c>
      <c r="AF103" s="1" t="str">
        <f ca="1">IFERROR(__xludf.DUMMYFUNCTION("""COMPUTED_VALUE"""),"FRANCE")</f>
        <v>FRANCE</v>
      </c>
      <c r="AG103" s="1" t="str">
        <f ca="1">IFERROR(__xludf.DUMMYFUNCTION("""COMPUTED_VALUE"""),"FRANCE")</f>
        <v>FRANCE</v>
      </c>
      <c r="AH103" s="1"/>
      <c r="AI103" s="1"/>
      <c r="AJ103" s="1" t="str">
        <f ca="1">IFERROR(__xludf.DUMMYFUNCTION("""COMPUTED_VALUE"""),"F1219")</f>
        <v>F1219</v>
      </c>
      <c r="AK103" s="1" t="str">
        <f ca="1">IFERROR(__xludf.DUMMYFUNCTION("""COMPUTED_VALUE"""),"Pacsé(e)")</f>
        <v>Pacsé(e)</v>
      </c>
      <c r="AL103" s="1" t="str">
        <f ca="1">IFERROR(__xludf.DUMMYFUNCTION("""COMPUTED_VALUE"""),"Pacsé(e)")</f>
        <v>Pacsé(e)</v>
      </c>
      <c r="AM103" s="1" t="str">
        <f ca="1">IFERROR(__xludf.DUMMYFUNCTION("""COMPUTED_VALUE"""),"F1219")</f>
        <v>F1219</v>
      </c>
    </row>
    <row r="104" spans="1:39" ht="13" x14ac:dyDescent="0.15">
      <c r="A104" s="1" t="str">
        <f ca="1">IFERROR(__xludf.DUMMYFUNCTION("""COMPUTED_VALUE"""),"COSSALTER Johan")</f>
        <v>COSSALTER Johan</v>
      </c>
      <c r="B104" s="1" t="str">
        <f ca="1">IFERROR(__xludf.DUMMYFUNCTION("""COMPUTED_VALUE"""),"COSSALTER")</f>
        <v>COSSALTER</v>
      </c>
      <c r="C104" s="1" t="str">
        <f ca="1">IFERROR(__xludf.DUMMYFUNCTION("""COMPUTED_VALUE"""),"Johan")</f>
        <v>Johan</v>
      </c>
      <c r="D104" s="1" t="str">
        <f ca="1">IFERROR(__xludf.DUMMYFUNCTION("""COMPUTED_VALUE"""),"1220E1")</f>
        <v>1220E1</v>
      </c>
      <c r="E104" s="2">
        <f ca="1">IFERROR(__xludf.DUMMYFUNCTION("""COMPUTED_VALUE"""),41389)</f>
        <v>41389</v>
      </c>
      <c r="F104" s="1" t="str">
        <f ca="1">IFERROR(__xludf.DUMMYFUNCTION("""COMPUTED_VALUE"""),"5EME1")</f>
        <v>5EME1</v>
      </c>
      <c r="G104" s="1" t="str">
        <f ca="1">IFERROR(__xludf.DUMMYFUNCTION("""COMPUTED_VALUE"""),"5ème")</f>
        <v>5ème</v>
      </c>
      <c r="H104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104" s="1" t="str">
        <f ca="1">IFERROR(__xludf.DUMMYFUNCTION("""COMPUTED_VALUE"""),"LVA Anglais")</f>
        <v>LVA Anglais</v>
      </c>
      <c r="J104" s="1" t="str">
        <f ca="1">IFERROR(__xludf.DUMMYFUNCTION("""COMPUTED_VALUE"""),"LVB Espagnol")</f>
        <v>LVB Espagnol</v>
      </c>
      <c r="K104" s="1"/>
      <c r="L104" s="1"/>
      <c r="M104" s="1"/>
      <c r="N104" s="1" t="str">
        <f ca="1">IFERROR(__xludf.DUMMYFUNCTION("""COMPUTED_VALUE"""),"Garçon")</f>
        <v>Garçon</v>
      </c>
      <c r="O104" s="1"/>
      <c r="P104" s="1" t="str">
        <f ca="1">IFERROR(__xludf.DUMMYFUNCTION("""COMPUTED_VALUE"""),"FRANCE")</f>
        <v>FRANCE</v>
      </c>
      <c r="Q104" s="1" t="str">
        <f ca="1">IFERROR(__xludf.DUMMYFUNCTION("""COMPUTED_VALUE"""),"SENEGAL")</f>
        <v>SENEGAL</v>
      </c>
      <c r="R104" s="1" t="str">
        <f ca="1">IFERROR(__xludf.DUMMYFUNCTION("""COMPUTED_VALUE"""),"johan.cossalter@lfjpsaly.org")</f>
        <v>johan.cossalter@lfjpsaly.org</v>
      </c>
      <c r="S104" s="1" t="str">
        <f ca="1">IFERROR(__xludf.DUMMYFUNCTION("""COMPUTED_VALUE"""),"+221 77 259 17 37")</f>
        <v>+221 77 259 17 37</v>
      </c>
      <c r="T104" s="1" t="str">
        <f ca="1">IFERROR(__xludf.DUMMYFUNCTION("""COMPUTED_VALUE"""),"SAKHO Ndeye Fatou")</f>
        <v>SAKHO Ndeye Fatou</v>
      </c>
      <c r="U104" s="1" t="str">
        <f ca="1">IFERROR(__xludf.DUMMYFUNCTION("""COMPUTED_VALUE"""),"COSSALTER Patrice")</f>
        <v>COSSALTER Patrice</v>
      </c>
      <c r="V104" s="1" t="str">
        <f ca="1">IFERROR(__xludf.DUMMYFUNCTION("""COMPUTED_VALUE"""),"ndeyefatousakho90@gmail.com")</f>
        <v>ndeyefatousakho90@gmail.com</v>
      </c>
      <c r="W104" s="1" t="str">
        <f ca="1">IFERROR(__xludf.DUMMYFUNCTION("""COMPUTED_VALUE"""),"pcossalter@yahoo.fr")</f>
        <v>pcossalter@yahoo.fr</v>
      </c>
      <c r="X104" s="1" t="str">
        <f ca="1">IFERROR(__xludf.DUMMYFUNCTION("""COMPUTED_VALUE"""),"+221 77 259 17 37")</f>
        <v>+221 77 259 17 37</v>
      </c>
      <c r="Y104" s="1" t="str">
        <f ca="1">IFERROR(__xludf.DUMMYFUNCTION("""COMPUTED_VALUE"""),"+221 77 259 17 37")</f>
        <v>+221 77 259 17 37</v>
      </c>
      <c r="Z104" s="1" t="str">
        <f ca="1">IFERROR(__xludf.DUMMYFUNCTION("""COMPUTED_VALUE"""),"+221 77 259 17 37")</f>
        <v>+221 77 259 17 37</v>
      </c>
      <c r="AA104" s="1" t="str">
        <f ca="1">IFERROR(__xludf.DUMMYFUNCTION("""COMPUTED_VALUE"""),"+221 77 259 17 37")</f>
        <v>+221 77 259 17 37</v>
      </c>
      <c r="AB104" s="2">
        <f ca="1">IFERROR(__xludf.DUMMYFUNCTION("""COMPUTED_VALUE"""),33081)</f>
        <v>33081</v>
      </c>
      <c r="AC104" s="2">
        <f ca="1">IFERROR(__xludf.DUMMYFUNCTION("""COMPUTED_VALUE"""),21432)</f>
        <v>21432</v>
      </c>
      <c r="AD104" s="1" t="str">
        <f ca="1">IFERROR(__xludf.DUMMYFUNCTION("""COMPUTED_VALUE"""),"MERE")</f>
        <v>MERE</v>
      </c>
      <c r="AE104" s="1" t="str">
        <f ca="1">IFERROR(__xludf.DUMMYFUNCTION("""COMPUTED_VALUE"""),"PERE")</f>
        <v>PERE</v>
      </c>
      <c r="AF104" s="1" t="str">
        <f ca="1">IFERROR(__xludf.DUMMYFUNCTION("""COMPUTED_VALUE"""),"SENEGAL")</f>
        <v>SENEGAL</v>
      </c>
      <c r="AG104" s="1" t="str">
        <f ca="1">IFERROR(__xludf.DUMMYFUNCTION("""COMPUTED_VALUE"""),"FRANCE")</f>
        <v>FRANCE</v>
      </c>
      <c r="AH104" s="1"/>
      <c r="AI104" s="1"/>
      <c r="AJ104" s="1" t="str">
        <f ca="1">IFERROR(__xludf.DUMMYFUNCTION("""COMPUTED_VALUE"""),"F1220")</f>
        <v>F1220</v>
      </c>
      <c r="AK104" s="1" t="str">
        <f ca="1">IFERROR(__xludf.DUMMYFUNCTION("""COMPUTED_VALUE"""),"CONCUBINAGE")</f>
        <v>CONCUBINAGE</v>
      </c>
      <c r="AL104" s="1" t="str">
        <f ca="1">IFERROR(__xludf.DUMMYFUNCTION("""COMPUTED_VALUE"""),"CONCUBINAGE")</f>
        <v>CONCUBINAGE</v>
      </c>
      <c r="AM104" s="1" t="str">
        <f ca="1">IFERROR(__xludf.DUMMYFUNCTION("""COMPUTED_VALUE"""),"F1220")</f>
        <v>F1220</v>
      </c>
    </row>
    <row r="105" spans="1:39" ht="13" x14ac:dyDescent="0.15">
      <c r="A105" s="1" t="str">
        <f ca="1">IFERROR(__xludf.DUMMYFUNCTION("""COMPUTED_VALUE"""),"COULIBALY Assiyah")</f>
        <v>COULIBALY Assiyah</v>
      </c>
      <c r="B105" s="1" t="str">
        <f ca="1">IFERROR(__xludf.DUMMYFUNCTION("""COMPUTED_VALUE"""),"COULIBALY")</f>
        <v>COULIBALY</v>
      </c>
      <c r="C105" s="1" t="str">
        <f ca="1">IFERROR(__xludf.DUMMYFUNCTION("""COMPUTED_VALUE"""),"Assiyah")</f>
        <v>Assiyah</v>
      </c>
      <c r="D105" s="1" t="str">
        <f ca="1">IFERROR(__xludf.DUMMYFUNCTION("""COMPUTED_VALUE"""),"1222E1")</f>
        <v>1222E1</v>
      </c>
      <c r="E105" s="2">
        <f ca="1">IFERROR(__xludf.DUMMYFUNCTION("""COMPUTED_VALUE"""),41889)</f>
        <v>41889</v>
      </c>
      <c r="F105" s="1" t="str">
        <f ca="1">IFERROR(__xludf.DUMMYFUNCTION("""COMPUTED_VALUE"""),"6EME1")</f>
        <v>6EME1</v>
      </c>
      <c r="G105" s="1" t="str">
        <f ca="1">IFERROR(__xludf.DUMMYFUNCTION("""COMPUTED_VALUE"""),"6ème")</f>
        <v>6ème</v>
      </c>
      <c r="H105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105" s="1" t="str">
        <f ca="1">IFERROR(__xludf.DUMMYFUNCTION("""COMPUTED_VALUE"""),"LVA Anglais")</f>
        <v>LVA Anglais</v>
      </c>
      <c r="J105" s="1" t="str">
        <f ca="1">IFERROR(__xludf.DUMMYFUNCTION("""COMPUTED_VALUE"""),"LVB Espagnol")</f>
        <v>LVB Espagnol</v>
      </c>
      <c r="K105" s="1"/>
      <c r="L105" s="1"/>
      <c r="M105" s="1"/>
      <c r="N105" s="1" t="str">
        <f ca="1">IFERROR(__xludf.DUMMYFUNCTION("""COMPUTED_VALUE"""),"Fille")</f>
        <v>Fille</v>
      </c>
      <c r="O105" s="1"/>
      <c r="P105" s="1" t="str">
        <f ca="1">IFERROR(__xludf.DUMMYFUNCTION("""COMPUTED_VALUE"""),"FRANCE")</f>
        <v>FRANCE</v>
      </c>
      <c r="Q105" s="1"/>
      <c r="R105" s="1" t="str">
        <f ca="1">IFERROR(__xludf.DUMMYFUNCTION("""COMPUTED_VALUE"""),"assiyah.coulibaly@lfjpsaly.org")</f>
        <v>assiyah.coulibaly@lfjpsaly.org</v>
      </c>
      <c r="S105" s="1" t="str">
        <f ca="1">IFERROR(__xludf.DUMMYFUNCTION("""COMPUTED_VALUE"""),"+221 78 926 80 01")</f>
        <v>+221 78 926 80 01</v>
      </c>
      <c r="T105" s="1" t="str">
        <f ca="1">IFERROR(__xludf.DUMMYFUNCTION("""COMPUTED_VALUE"""),"COULIBALY Sega")</f>
        <v>COULIBALY Sega</v>
      </c>
      <c r="U105" s="1" t="str">
        <f ca="1">IFERROR(__xludf.DUMMYFUNCTION("""COMPUTED_VALUE"""),"GRECO Sophie")</f>
        <v>GRECO Sophie</v>
      </c>
      <c r="V105" s="1" t="str">
        <f ca="1">IFERROR(__xludf.DUMMYFUNCTION("""COMPUTED_VALUE"""),"fifiboxe94@hotmail.fr")</f>
        <v>fifiboxe94@hotmail.fr</v>
      </c>
      <c r="W105" s="1" t="str">
        <f ca="1">IFERROR(__xludf.DUMMYFUNCTION("""COMPUTED_VALUE"""),"fifiboxe94@hotmail.fr")</f>
        <v>fifiboxe94@hotmail.fr</v>
      </c>
      <c r="X105" s="1" t="str">
        <f ca="1">IFERROR(__xludf.DUMMYFUNCTION("""COMPUTED_VALUE"""),"+221 77 267 03 73")</f>
        <v>+221 77 267 03 73</v>
      </c>
      <c r="Y105" s="1" t="str">
        <f ca="1">IFERROR(__xludf.DUMMYFUNCTION("""COMPUTED_VALUE"""),"+221 78 926 80 01")</f>
        <v>+221 78 926 80 01</v>
      </c>
      <c r="Z105" s="1" t="str">
        <f ca="1">IFERROR(__xludf.DUMMYFUNCTION("""COMPUTED_VALUE"""),"+221")</f>
        <v>+221</v>
      </c>
      <c r="AA105" s="1"/>
      <c r="AB105" s="2">
        <f ca="1">IFERROR(__xludf.DUMMYFUNCTION("""COMPUTED_VALUE"""),32976)</f>
        <v>32976</v>
      </c>
      <c r="AC105" s="2">
        <f ca="1">IFERROR(__xludf.DUMMYFUNCTION("""COMPUTED_VALUE"""),32852)</f>
        <v>32852</v>
      </c>
      <c r="AD105" s="1" t="str">
        <f ca="1">IFERROR(__xludf.DUMMYFUNCTION("""COMPUTED_VALUE"""),"PERE")</f>
        <v>PERE</v>
      </c>
      <c r="AE105" s="1" t="str">
        <f ca="1">IFERROR(__xludf.DUMMYFUNCTION("""COMPUTED_VALUE"""),"MERE")</f>
        <v>MERE</v>
      </c>
      <c r="AF105" s="1" t="str">
        <f ca="1">IFERROR(__xludf.DUMMYFUNCTION("""COMPUTED_VALUE"""),"FRANCE")</f>
        <v>FRANCE</v>
      </c>
      <c r="AG105" s="1" t="str">
        <f ca="1">IFERROR(__xludf.DUMMYFUNCTION("""COMPUTED_VALUE"""),"FRANCE")</f>
        <v>FRANCE</v>
      </c>
      <c r="AH105" s="1"/>
      <c r="AI105" s="1"/>
      <c r="AJ105" s="1" t="str">
        <f ca="1">IFERROR(__xludf.DUMMYFUNCTION("""COMPUTED_VALUE"""),"F1222")</f>
        <v>F1222</v>
      </c>
      <c r="AK105" s="1" t="str">
        <f ca="1">IFERROR(__xludf.DUMMYFUNCTION("""COMPUTED_VALUE"""),"CONCUBINAGE")</f>
        <v>CONCUBINAGE</v>
      </c>
      <c r="AL105" s="1" t="str">
        <f ca="1">IFERROR(__xludf.DUMMYFUNCTION("""COMPUTED_VALUE"""),"CONCUBINAGE")</f>
        <v>CONCUBINAGE</v>
      </c>
      <c r="AM105" s="1" t="str">
        <f ca="1">IFERROR(__xludf.DUMMYFUNCTION("""COMPUTED_VALUE"""),"F1222")</f>
        <v>F1222</v>
      </c>
    </row>
    <row r="106" spans="1:39" ht="13" x14ac:dyDescent="0.15">
      <c r="A106" s="1" t="str">
        <f ca="1">IFERROR(__xludf.DUMMYFUNCTION("""COMPUTED_VALUE"""),"COULIBALY Fily")</f>
        <v>COULIBALY Fily</v>
      </c>
      <c r="B106" s="1" t="str">
        <f ca="1">IFERROR(__xludf.DUMMYFUNCTION("""COMPUTED_VALUE"""),"COULIBALY")</f>
        <v>COULIBALY</v>
      </c>
      <c r="C106" s="1" t="str">
        <f ca="1">IFERROR(__xludf.DUMMYFUNCTION("""COMPUTED_VALUE"""),"Fily")</f>
        <v>Fily</v>
      </c>
      <c r="D106" s="1" t="str">
        <f ca="1">IFERROR(__xludf.DUMMYFUNCTION("""COMPUTED_VALUE"""),"1222E2")</f>
        <v>1222E2</v>
      </c>
      <c r="E106" s="2">
        <f ca="1">IFERROR(__xludf.DUMMYFUNCTION("""COMPUTED_VALUE"""),43396)</f>
        <v>43396</v>
      </c>
      <c r="F106" s="1" t="str">
        <f ca="1">IFERROR(__xludf.DUMMYFUNCTION("""COMPUTED_VALUE"""),"CE1A")</f>
        <v>CE1A</v>
      </c>
      <c r="G106" s="1" t="str">
        <f ca="1">IFERROR(__xludf.DUMMYFUNCTION("""COMPUTED_VALUE"""),"CE1")</f>
        <v>CE1</v>
      </c>
      <c r="H106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106" s="1"/>
      <c r="J106" s="1"/>
      <c r="K106" s="1"/>
      <c r="L106" s="1"/>
      <c r="M106" s="1"/>
      <c r="N106" s="1" t="str">
        <f ca="1">IFERROR(__xludf.DUMMYFUNCTION("""COMPUTED_VALUE"""),"Fille")</f>
        <v>Fille</v>
      </c>
      <c r="O106" s="1"/>
      <c r="P106" s="1" t="str">
        <f ca="1">IFERROR(__xludf.DUMMYFUNCTION("""COMPUTED_VALUE"""),"FRANCE")</f>
        <v>FRANCE</v>
      </c>
      <c r="Q106" s="1"/>
      <c r="R106" s="1"/>
      <c r="S106" s="1" t="str">
        <f ca="1">IFERROR(__xludf.DUMMYFUNCTION("""COMPUTED_VALUE"""),"+221")</f>
        <v>+221</v>
      </c>
      <c r="T106" s="1" t="str">
        <f ca="1">IFERROR(__xludf.DUMMYFUNCTION("""COMPUTED_VALUE"""),"COULIBALY Sega")</f>
        <v>COULIBALY Sega</v>
      </c>
      <c r="U106" s="1" t="str">
        <f ca="1">IFERROR(__xludf.DUMMYFUNCTION("""COMPUTED_VALUE"""),"GRECO Sophie")</f>
        <v>GRECO Sophie</v>
      </c>
      <c r="V106" s="1" t="str">
        <f ca="1">IFERROR(__xludf.DUMMYFUNCTION("""COMPUTED_VALUE"""),"fifiboxe94@hotmail.fr")</f>
        <v>fifiboxe94@hotmail.fr</v>
      </c>
      <c r="W106" s="1" t="str">
        <f ca="1">IFERROR(__xludf.DUMMYFUNCTION("""COMPUTED_VALUE"""),"fifiboxe94@hotmail.fr")</f>
        <v>fifiboxe94@hotmail.fr</v>
      </c>
      <c r="X106" s="1" t="str">
        <f ca="1">IFERROR(__xludf.DUMMYFUNCTION("""COMPUTED_VALUE"""),"+221 77 267 03 73")</f>
        <v>+221 77 267 03 73</v>
      </c>
      <c r="Y106" s="1" t="str">
        <f ca="1">IFERROR(__xludf.DUMMYFUNCTION("""COMPUTED_VALUE"""),"+221 78 926 80 01")</f>
        <v>+221 78 926 80 01</v>
      </c>
      <c r="Z106" s="1" t="str">
        <f ca="1">IFERROR(__xludf.DUMMYFUNCTION("""COMPUTED_VALUE"""),"+221")</f>
        <v>+221</v>
      </c>
      <c r="AA106" s="1"/>
      <c r="AB106" s="2">
        <f ca="1">IFERROR(__xludf.DUMMYFUNCTION("""COMPUTED_VALUE"""),32976)</f>
        <v>32976</v>
      </c>
      <c r="AC106" s="2">
        <f ca="1">IFERROR(__xludf.DUMMYFUNCTION("""COMPUTED_VALUE"""),32852)</f>
        <v>32852</v>
      </c>
      <c r="AD106" s="1" t="str">
        <f ca="1">IFERROR(__xludf.DUMMYFUNCTION("""COMPUTED_VALUE"""),"PERE")</f>
        <v>PERE</v>
      </c>
      <c r="AE106" s="1" t="str">
        <f ca="1">IFERROR(__xludf.DUMMYFUNCTION("""COMPUTED_VALUE"""),"MERE")</f>
        <v>MERE</v>
      </c>
      <c r="AF106" s="1" t="str">
        <f ca="1">IFERROR(__xludf.DUMMYFUNCTION("""COMPUTED_VALUE"""),"FRANCE")</f>
        <v>FRANCE</v>
      </c>
      <c r="AG106" s="1" t="str">
        <f ca="1">IFERROR(__xludf.DUMMYFUNCTION("""COMPUTED_VALUE"""),"FRANCE")</f>
        <v>FRANCE</v>
      </c>
      <c r="AH106" s="1"/>
      <c r="AI106" s="1"/>
      <c r="AJ106" s="1" t="str">
        <f ca="1">IFERROR(__xludf.DUMMYFUNCTION("""COMPUTED_VALUE"""),"F1222")</f>
        <v>F1222</v>
      </c>
      <c r="AK106" s="1" t="str">
        <f ca="1">IFERROR(__xludf.DUMMYFUNCTION("""COMPUTED_VALUE"""),"CONCUBINAGE")</f>
        <v>CONCUBINAGE</v>
      </c>
      <c r="AL106" s="1" t="str">
        <f ca="1">IFERROR(__xludf.DUMMYFUNCTION("""COMPUTED_VALUE"""),"CONCUBINAGE")</f>
        <v>CONCUBINAGE</v>
      </c>
      <c r="AM106" s="1" t="str">
        <f ca="1">IFERROR(__xludf.DUMMYFUNCTION("""COMPUTED_VALUE"""),"F1222")</f>
        <v>F1222</v>
      </c>
    </row>
    <row r="107" spans="1:39" ht="13" x14ac:dyDescent="0.15">
      <c r="A107" s="1" t="str">
        <f ca="1">IFERROR(__xludf.DUMMYFUNCTION("""COMPUTED_VALUE"""),"COULIBALY Maya")</f>
        <v>COULIBALY Maya</v>
      </c>
      <c r="B107" s="1" t="str">
        <f ca="1">IFERROR(__xludf.DUMMYFUNCTION("""COMPUTED_VALUE"""),"COULIBALY")</f>
        <v>COULIBALY</v>
      </c>
      <c r="C107" s="1" t="str">
        <f ca="1">IFERROR(__xludf.DUMMYFUNCTION("""COMPUTED_VALUE"""),"Maya")</f>
        <v>Maya</v>
      </c>
      <c r="D107" s="1" t="str">
        <f ca="1">IFERROR(__xludf.DUMMYFUNCTION("""COMPUTED_VALUE"""),"1222E3")</f>
        <v>1222E3</v>
      </c>
      <c r="E107" s="2">
        <f ca="1">IFERROR(__xludf.DUMMYFUNCTION("""COMPUTED_VALUE"""),42724)</f>
        <v>42724</v>
      </c>
      <c r="F107" s="1" t="str">
        <f ca="1">IFERROR(__xludf.DUMMYFUNCTION("""COMPUTED_VALUE"""),"CM1B")</f>
        <v>CM1B</v>
      </c>
      <c r="G107" s="1" t="str">
        <f ca="1">IFERROR(__xludf.DUMMYFUNCTION("""COMPUTED_VALUE"""),"CM1")</f>
        <v>CM1</v>
      </c>
      <c r="H107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107" s="1"/>
      <c r="J107" s="1"/>
      <c r="K107" s="1"/>
      <c r="L107" s="1"/>
      <c r="M107" s="1"/>
      <c r="N107" s="1" t="str">
        <f ca="1">IFERROR(__xludf.DUMMYFUNCTION("""COMPUTED_VALUE"""),"Fille")</f>
        <v>Fille</v>
      </c>
      <c r="O107" s="1"/>
      <c r="P107" s="1" t="str">
        <f ca="1">IFERROR(__xludf.DUMMYFUNCTION("""COMPUTED_VALUE"""),"FRANCE")</f>
        <v>FRANCE</v>
      </c>
      <c r="Q107" s="1"/>
      <c r="R107" s="1"/>
      <c r="S107" s="1"/>
      <c r="T107" s="1" t="str">
        <f ca="1">IFERROR(__xludf.DUMMYFUNCTION("""COMPUTED_VALUE"""),"COULIBALY Sega")</f>
        <v>COULIBALY Sega</v>
      </c>
      <c r="U107" s="1" t="str">
        <f ca="1">IFERROR(__xludf.DUMMYFUNCTION("""COMPUTED_VALUE"""),"GRECO Sophie")</f>
        <v>GRECO Sophie</v>
      </c>
      <c r="V107" s="1" t="str">
        <f ca="1">IFERROR(__xludf.DUMMYFUNCTION("""COMPUTED_VALUE"""),"fifiboxe94@hotmail.fr")</f>
        <v>fifiboxe94@hotmail.fr</v>
      </c>
      <c r="W107" s="1" t="str">
        <f ca="1">IFERROR(__xludf.DUMMYFUNCTION("""COMPUTED_VALUE"""),"fifiboxe94@hotmail.fr")</f>
        <v>fifiboxe94@hotmail.fr</v>
      </c>
      <c r="X107" s="1" t="str">
        <f ca="1">IFERROR(__xludf.DUMMYFUNCTION("""COMPUTED_VALUE"""),"+221 77 267 03 73")</f>
        <v>+221 77 267 03 73</v>
      </c>
      <c r="Y107" s="1" t="str">
        <f ca="1">IFERROR(__xludf.DUMMYFUNCTION("""COMPUTED_VALUE"""),"+221 78 926 80 01")</f>
        <v>+221 78 926 80 01</v>
      </c>
      <c r="Z107" s="1" t="str">
        <f ca="1">IFERROR(__xludf.DUMMYFUNCTION("""COMPUTED_VALUE"""),"+221")</f>
        <v>+221</v>
      </c>
      <c r="AA107" s="1"/>
      <c r="AB107" s="2">
        <f ca="1">IFERROR(__xludf.DUMMYFUNCTION("""COMPUTED_VALUE"""),32976)</f>
        <v>32976</v>
      </c>
      <c r="AC107" s="2">
        <f ca="1">IFERROR(__xludf.DUMMYFUNCTION("""COMPUTED_VALUE"""),32852)</f>
        <v>32852</v>
      </c>
      <c r="AD107" s="1" t="str">
        <f ca="1">IFERROR(__xludf.DUMMYFUNCTION("""COMPUTED_VALUE"""),"PERE")</f>
        <v>PERE</v>
      </c>
      <c r="AE107" s="1" t="str">
        <f ca="1">IFERROR(__xludf.DUMMYFUNCTION("""COMPUTED_VALUE"""),"MERE")</f>
        <v>MERE</v>
      </c>
      <c r="AF107" s="1" t="str">
        <f ca="1">IFERROR(__xludf.DUMMYFUNCTION("""COMPUTED_VALUE"""),"FRANCE")</f>
        <v>FRANCE</v>
      </c>
      <c r="AG107" s="1" t="str">
        <f ca="1">IFERROR(__xludf.DUMMYFUNCTION("""COMPUTED_VALUE"""),"FRANCE")</f>
        <v>FRANCE</v>
      </c>
      <c r="AH107" s="1"/>
      <c r="AI107" s="1"/>
      <c r="AJ107" s="1" t="str">
        <f ca="1">IFERROR(__xludf.DUMMYFUNCTION("""COMPUTED_VALUE"""),"F1222")</f>
        <v>F1222</v>
      </c>
      <c r="AK107" s="1" t="str">
        <f ca="1">IFERROR(__xludf.DUMMYFUNCTION("""COMPUTED_VALUE"""),"CONCUBINAGE")</f>
        <v>CONCUBINAGE</v>
      </c>
      <c r="AL107" s="1" t="str">
        <f ca="1">IFERROR(__xludf.DUMMYFUNCTION("""COMPUTED_VALUE"""),"CONCUBINAGE")</f>
        <v>CONCUBINAGE</v>
      </c>
      <c r="AM107" s="1" t="str">
        <f ca="1">IFERROR(__xludf.DUMMYFUNCTION("""COMPUTED_VALUE"""),"F1222")</f>
        <v>F1222</v>
      </c>
    </row>
    <row r="108" spans="1:39" ht="13" x14ac:dyDescent="0.15">
      <c r="A108" s="1" t="str">
        <f ca="1">IFERROR(__xludf.DUMMYFUNCTION("""COMPUTED_VALUE"""),"COULIBALY Sétah")</f>
        <v>COULIBALY Sétah</v>
      </c>
      <c r="B108" s="1" t="str">
        <f ca="1">IFERROR(__xludf.DUMMYFUNCTION("""COMPUTED_VALUE"""),"COULIBALY")</f>
        <v>COULIBALY</v>
      </c>
      <c r="C108" s="1" t="str">
        <f ca="1">IFERROR(__xludf.DUMMYFUNCTION("""COMPUTED_VALUE"""),"Sétah")</f>
        <v>Sétah</v>
      </c>
      <c r="D108" s="1" t="str">
        <f ca="1">IFERROR(__xludf.DUMMYFUNCTION("""COMPUTED_VALUE"""),"1222E4")</f>
        <v>1222E4</v>
      </c>
      <c r="E108" s="2">
        <f ca="1">IFERROR(__xludf.DUMMYFUNCTION("""COMPUTED_VALUE"""),43396)</f>
        <v>43396</v>
      </c>
      <c r="F108" s="1" t="str">
        <f ca="1">IFERROR(__xludf.DUMMYFUNCTION("""COMPUTED_VALUE"""),"CE1B")</f>
        <v>CE1B</v>
      </c>
      <c r="G108" s="1" t="str">
        <f ca="1">IFERROR(__xludf.DUMMYFUNCTION("""COMPUTED_VALUE"""),"CE1")</f>
        <v>CE1</v>
      </c>
      <c r="H108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108" s="1"/>
      <c r="J108" s="1"/>
      <c r="K108" s="1"/>
      <c r="L108" s="1"/>
      <c r="M108" s="1"/>
      <c r="N108" s="1" t="str">
        <f ca="1">IFERROR(__xludf.DUMMYFUNCTION("""COMPUTED_VALUE"""),"Fille")</f>
        <v>Fille</v>
      </c>
      <c r="O108" s="1"/>
      <c r="P108" s="1" t="str">
        <f ca="1">IFERROR(__xludf.DUMMYFUNCTION("""COMPUTED_VALUE"""),"FRANCE")</f>
        <v>FRANCE</v>
      </c>
      <c r="Q108" s="1"/>
      <c r="R108" s="1"/>
      <c r="S108" s="1" t="str">
        <f ca="1">IFERROR(__xludf.DUMMYFUNCTION("""COMPUTED_VALUE"""),"+221")</f>
        <v>+221</v>
      </c>
      <c r="T108" s="1" t="str">
        <f ca="1">IFERROR(__xludf.DUMMYFUNCTION("""COMPUTED_VALUE"""),"COULIBALY Sega")</f>
        <v>COULIBALY Sega</v>
      </c>
      <c r="U108" s="1" t="str">
        <f ca="1">IFERROR(__xludf.DUMMYFUNCTION("""COMPUTED_VALUE"""),"GRECO Sophie")</f>
        <v>GRECO Sophie</v>
      </c>
      <c r="V108" s="1" t="str">
        <f ca="1">IFERROR(__xludf.DUMMYFUNCTION("""COMPUTED_VALUE"""),"fifiboxe94@hotmail.fr")</f>
        <v>fifiboxe94@hotmail.fr</v>
      </c>
      <c r="W108" s="1" t="str">
        <f ca="1">IFERROR(__xludf.DUMMYFUNCTION("""COMPUTED_VALUE"""),"fifiboxe94@hotmail.fr")</f>
        <v>fifiboxe94@hotmail.fr</v>
      </c>
      <c r="X108" s="1" t="str">
        <f ca="1">IFERROR(__xludf.DUMMYFUNCTION("""COMPUTED_VALUE"""),"+221 77 267 03 73")</f>
        <v>+221 77 267 03 73</v>
      </c>
      <c r="Y108" s="1" t="str">
        <f ca="1">IFERROR(__xludf.DUMMYFUNCTION("""COMPUTED_VALUE"""),"+221 78 926 80 01")</f>
        <v>+221 78 926 80 01</v>
      </c>
      <c r="Z108" s="1" t="str">
        <f ca="1">IFERROR(__xludf.DUMMYFUNCTION("""COMPUTED_VALUE"""),"+221")</f>
        <v>+221</v>
      </c>
      <c r="AA108" s="1"/>
      <c r="AB108" s="2">
        <f ca="1">IFERROR(__xludf.DUMMYFUNCTION("""COMPUTED_VALUE"""),32976)</f>
        <v>32976</v>
      </c>
      <c r="AC108" s="2">
        <f ca="1">IFERROR(__xludf.DUMMYFUNCTION("""COMPUTED_VALUE"""),32852)</f>
        <v>32852</v>
      </c>
      <c r="AD108" s="1" t="str">
        <f ca="1">IFERROR(__xludf.DUMMYFUNCTION("""COMPUTED_VALUE"""),"PERE")</f>
        <v>PERE</v>
      </c>
      <c r="AE108" s="1" t="str">
        <f ca="1">IFERROR(__xludf.DUMMYFUNCTION("""COMPUTED_VALUE"""),"MERE")</f>
        <v>MERE</v>
      </c>
      <c r="AF108" s="1" t="str">
        <f ca="1">IFERROR(__xludf.DUMMYFUNCTION("""COMPUTED_VALUE"""),"FRANCE")</f>
        <v>FRANCE</v>
      </c>
      <c r="AG108" s="1" t="str">
        <f ca="1">IFERROR(__xludf.DUMMYFUNCTION("""COMPUTED_VALUE"""),"FRANCE")</f>
        <v>FRANCE</v>
      </c>
      <c r="AH108" s="1"/>
      <c r="AI108" s="1"/>
      <c r="AJ108" s="1" t="str">
        <f ca="1">IFERROR(__xludf.DUMMYFUNCTION("""COMPUTED_VALUE"""),"F1222")</f>
        <v>F1222</v>
      </c>
      <c r="AK108" s="1" t="str">
        <f ca="1">IFERROR(__xludf.DUMMYFUNCTION("""COMPUTED_VALUE"""),"CONCUBINAGE")</f>
        <v>CONCUBINAGE</v>
      </c>
      <c r="AL108" s="1" t="str">
        <f ca="1">IFERROR(__xludf.DUMMYFUNCTION("""COMPUTED_VALUE"""),"CONCUBINAGE")</f>
        <v>CONCUBINAGE</v>
      </c>
      <c r="AM108" s="1" t="str">
        <f ca="1">IFERROR(__xludf.DUMMYFUNCTION("""COMPUTED_VALUE"""),"F1222")</f>
        <v>F1222</v>
      </c>
    </row>
    <row r="109" spans="1:39" ht="13" x14ac:dyDescent="0.15">
      <c r="A109" s="1" t="str">
        <f ca="1">IFERROR(__xludf.DUMMYFUNCTION("""COMPUTED_VALUE"""),"COUSINARD Alice Clarisse Nicole")</f>
        <v>COUSINARD Alice Clarisse Nicole</v>
      </c>
      <c r="B109" s="1" t="str">
        <f ca="1">IFERROR(__xludf.DUMMYFUNCTION("""COMPUTED_VALUE"""),"COUSINARD")</f>
        <v>COUSINARD</v>
      </c>
      <c r="C109" s="1" t="str">
        <f ca="1">IFERROR(__xludf.DUMMYFUNCTION("""COMPUTED_VALUE"""),"Alice Clarisse Nicole")</f>
        <v>Alice Clarisse Nicole</v>
      </c>
      <c r="D109" s="1" t="str">
        <f ca="1">IFERROR(__xludf.DUMMYFUNCTION("""COMPUTED_VALUE"""),"1224E1")</f>
        <v>1224E1</v>
      </c>
      <c r="E109" s="2">
        <f ca="1">IFERROR(__xludf.DUMMYFUNCTION("""COMPUTED_VALUE"""),41716)</f>
        <v>41716</v>
      </c>
      <c r="F109" s="1" t="str">
        <f ca="1">IFERROR(__xludf.DUMMYFUNCTION("""COMPUTED_VALUE"""),"5EME2")</f>
        <v>5EME2</v>
      </c>
      <c r="G109" s="1" t="str">
        <f ca="1">IFERROR(__xludf.DUMMYFUNCTION("""COMPUTED_VALUE"""),"5ème")</f>
        <v>5ème</v>
      </c>
      <c r="H109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109" s="1" t="str">
        <f ca="1">IFERROR(__xludf.DUMMYFUNCTION("""COMPUTED_VALUE"""),"LVA Anglais")</f>
        <v>LVA Anglais</v>
      </c>
      <c r="J109" s="1" t="str">
        <f ca="1">IFERROR(__xludf.DUMMYFUNCTION("""COMPUTED_VALUE"""),"LVB Espagnol")</f>
        <v>LVB Espagnol</v>
      </c>
      <c r="K109" s="1"/>
      <c r="L109" s="1"/>
      <c r="M109" s="1"/>
      <c r="N109" s="1" t="str">
        <f ca="1">IFERROR(__xludf.DUMMYFUNCTION("""COMPUTED_VALUE"""),"Fille")</f>
        <v>Fille</v>
      </c>
      <c r="O109" s="1"/>
      <c r="P109" s="1" t="str">
        <f ca="1">IFERROR(__xludf.DUMMYFUNCTION("""COMPUTED_VALUE"""),"FRANCE")</f>
        <v>FRANCE</v>
      </c>
      <c r="Q109" s="1" t="str">
        <f ca="1">IFERROR(__xludf.DUMMYFUNCTION("""COMPUTED_VALUE"""),"SENEGAL")</f>
        <v>SENEGAL</v>
      </c>
      <c r="R109" s="1" t="str">
        <f ca="1">IFERROR(__xludf.DUMMYFUNCTION("""COMPUTED_VALUE"""),"alice.cousinard@lfjpsaly.org")</f>
        <v>alice.cousinard@lfjpsaly.org</v>
      </c>
      <c r="S109" s="1"/>
      <c r="T109" s="1" t="str">
        <f ca="1">IFERROR(__xludf.DUMMYFUNCTION("""COMPUTED_VALUE"""),"COUSINARD Richard")</f>
        <v>COUSINARD Richard</v>
      </c>
      <c r="U109" s="1" t="str">
        <f ca="1">IFERROR(__xludf.DUMMYFUNCTION("""COMPUTED_VALUE"""),"COUSINARD Marie-Hélène")</f>
        <v>COUSINARD Marie-Hélène</v>
      </c>
      <c r="V109" s="1" t="str">
        <f ca="1">IFERROR(__xludf.DUMMYFUNCTION("""COMPUTED_VALUE"""),"richard.cousinard@wanadoo.fr")</f>
        <v>richard.cousinard@wanadoo.fr</v>
      </c>
      <c r="W109" s="1" t="str">
        <f ca="1">IFERROR(__xludf.DUMMYFUNCTION("""COMPUTED_VALUE"""),"yayediambour@hotmail.com")</f>
        <v>yayediambour@hotmail.com</v>
      </c>
      <c r="X109" s="1" t="str">
        <f ca="1">IFERROR(__xludf.DUMMYFUNCTION("""COMPUTED_VALUE"""),"774570665")</f>
        <v>774570665</v>
      </c>
      <c r="Y109" s="1" t="str">
        <f ca="1">IFERROR(__xludf.DUMMYFUNCTION("""COMPUTED_VALUE"""),"774513187")</f>
        <v>774513187</v>
      </c>
      <c r="Z109" s="1"/>
      <c r="AA109" s="1"/>
      <c r="AB109" s="2">
        <f ca="1">IFERROR(__xludf.DUMMYFUNCTION("""COMPUTED_VALUE"""),27578)</f>
        <v>27578</v>
      </c>
      <c r="AC109" s="2">
        <f ca="1">IFERROR(__xludf.DUMMYFUNCTION("""COMPUTED_VALUE"""),29742)</f>
        <v>29742</v>
      </c>
      <c r="AD109" s="1" t="str">
        <f ca="1">IFERROR(__xludf.DUMMYFUNCTION("""COMPUTED_VALUE"""),"PERE")</f>
        <v>PERE</v>
      </c>
      <c r="AE109" s="1" t="str">
        <f ca="1">IFERROR(__xludf.DUMMYFUNCTION("""COMPUTED_VALUE"""),"MERE")</f>
        <v>MERE</v>
      </c>
      <c r="AF109" s="1" t="str">
        <f ca="1">IFERROR(__xludf.DUMMYFUNCTION("""COMPUTED_VALUE"""),"FRANCE")</f>
        <v>FRANCE</v>
      </c>
      <c r="AG109" s="1" t="str">
        <f ca="1">IFERROR(__xludf.DUMMYFUNCTION("""COMPUTED_VALUE"""),"FRANCE")</f>
        <v>FRANCE</v>
      </c>
      <c r="AH109" s="1"/>
      <c r="AI109" s="1" t="str">
        <f ca="1">IFERROR(__xludf.DUMMYFUNCTION("""COMPUTED_VALUE"""),"SENEGAL")</f>
        <v>SENEGAL</v>
      </c>
      <c r="AJ109" s="1" t="str">
        <f ca="1">IFERROR(__xludf.DUMMYFUNCTION("""COMPUTED_VALUE"""),"F1224")</f>
        <v>F1224</v>
      </c>
      <c r="AK109" s="1" t="str">
        <f ca="1">IFERROR(__xludf.DUMMYFUNCTION("""COMPUTED_VALUE"""),"Marié(e)")</f>
        <v>Marié(e)</v>
      </c>
      <c r="AL109" s="1" t="str">
        <f ca="1">IFERROR(__xludf.DUMMYFUNCTION("""COMPUTED_VALUE"""),"Marié(e)")</f>
        <v>Marié(e)</v>
      </c>
      <c r="AM109" s="1" t="str">
        <f ca="1">IFERROR(__xludf.DUMMYFUNCTION("""COMPUTED_VALUE"""),"F1224")</f>
        <v>F1224</v>
      </c>
    </row>
    <row r="110" spans="1:39" ht="13" x14ac:dyDescent="0.15">
      <c r="A110" s="1" t="str">
        <f ca="1">IFERROR(__xludf.DUMMYFUNCTION("""COMPUTED_VALUE"""),"COUSINARD Ruben Roland Richard")</f>
        <v>COUSINARD Ruben Roland Richard</v>
      </c>
      <c r="B110" s="1" t="str">
        <f ca="1">IFERROR(__xludf.DUMMYFUNCTION("""COMPUTED_VALUE"""),"COUSINARD")</f>
        <v>COUSINARD</v>
      </c>
      <c r="C110" s="1" t="str">
        <f ca="1">IFERROR(__xludf.DUMMYFUNCTION("""COMPUTED_VALUE"""),"Ruben Roland Richard")</f>
        <v>Ruben Roland Richard</v>
      </c>
      <c r="D110" s="1" t="str">
        <f ca="1">IFERROR(__xludf.DUMMYFUNCTION("""COMPUTED_VALUE"""),"1224E2")</f>
        <v>1224E2</v>
      </c>
      <c r="E110" s="2">
        <f ca="1">IFERROR(__xludf.DUMMYFUNCTION("""COMPUTED_VALUE"""),42457)</f>
        <v>42457</v>
      </c>
      <c r="F110" s="1" t="str">
        <f ca="1">IFERROR(__xludf.DUMMYFUNCTION("""COMPUTED_VALUE"""),"CM1B")</f>
        <v>CM1B</v>
      </c>
      <c r="G110" s="1" t="str">
        <f ca="1">IFERROR(__xludf.DUMMYFUNCTION("""COMPUTED_VALUE"""),"CM1")</f>
        <v>CM1</v>
      </c>
      <c r="H110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110" s="1"/>
      <c r="J110" s="1"/>
      <c r="K110" s="1"/>
      <c r="L110" s="1"/>
      <c r="M110" s="1"/>
      <c r="N110" s="1" t="str">
        <f ca="1">IFERROR(__xludf.DUMMYFUNCTION("""COMPUTED_VALUE"""),"Garçon")</f>
        <v>Garçon</v>
      </c>
      <c r="O110" s="1"/>
      <c r="P110" s="1" t="str">
        <f ca="1">IFERROR(__xludf.DUMMYFUNCTION("""COMPUTED_VALUE"""),"FRANCE")</f>
        <v>FRANCE</v>
      </c>
      <c r="Q110" s="1" t="str">
        <f ca="1">IFERROR(__xludf.DUMMYFUNCTION("""COMPUTED_VALUE"""),"SENEGAL")</f>
        <v>SENEGAL</v>
      </c>
      <c r="R110" s="1"/>
      <c r="S110" s="1"/>
      <c r="T110" s="1" t="str">
        <f ca="1">IFERROR(__xludf.DUMMYFUNCTION("""COMPUTED_VALUE"""),"COUSINARD Richard")</f>
        <v>COUSINARD Richard</v>
      </c>
      <c r="U110" s="1" t="str">
        <f ca="1">IFERROR(__xludf.DUMMYFUNCTION("""COMPUTED_VALUE"""),"COUSINARD Marie-Hélène")</f>
        <v>COUSINARD Marie-Hélène</v>
      </c>
      <c r="V110" s="1" t="str">
        <f ca="1">IFERROR(__xludf.DUMMYFUNCTION("""COMPUTED_VALUE"""),"richard.cousinard@wanadoo.fr")</f>
        <v>richard.cousinard@wanadoo.fr</v>
      </c>
      <c r="W110" s="1" t="str">
        <f ca="1">IFERROR(__xludf.DUMMYFUNCTION("""COMPUTED_VALUE"""),"yayediambour@hotmail.com")</f>
        <v>yayediambour@hotmail.com</v>
      </c>
      <c r="X110" s="1" t="str">
        <f ca="1">IFERROR(__xludf.DUMMYFUNCTION("""COMPUTED_VALUE"""),"774570665")</f>
        <v>774570665</v>
      </c>
      <c r="Y110" s="1" t="str">
        <f ca="1">IFERROR(__xludf.DUMMYFUNCTION("""COMPUTED_VALUE"""),"774513187")</f>
        <v>774513187</v>
      </c>
      <c r="Z110" s="1"/>
      <c r="AA110" s="1"/>
      <c r="AB110" s="2">
        <f ca="1">IFERROR(__xludf.DUMMYFUNCTION("""COMPUTED_VALUE"""),27578)</f>
        <v>27578</v>
      </c>
      <c r="AC110" s="2">
        <f ca="1">IFERROR(__xludf.DUMMYFUNCTION("""COMPUTED_VALUE"""),29742)</f>
        <v>29742</v>
      </c>
      <c r="AD110" s="1" t="str">
        <f ca="1">IFERROR(__xludf.DUMMYFUNCTION("""COMPUTED_VALUE"""),"PERE")</f>
        <v>PERE</v>
      </c>
      <c r="AE110" s="1" t="str">
        <f ca="1">IFERROR(__xludf.DUMMYFUNCTION("""COMPUTED_VALUE"""),"MERE")</f>
        <v>MERE</v>
      </c>
      <c r="AF110" s="1" t="str">
        <f ca="1">IFERROR(__xludf.DUMMYFUNCTION("""COMPUTED_VALUE"""),"FRANCE")</f>
        <v>FRANCE</v>
      </c>
      <c r="AG110" s="1" t="str">
        <f ca="1">IFERROR(__xludf.DUMMYFUNCTION("""COMPUTED_VALUE"""),"FRANCE")</f>
        <v>FRANCE</v>
      </c>
      <c r="AH110" s="1"/>
      <c r="AI110" s="1" t="str">
        <f ca="1">IFERROR(__xludf.DUMMYFUNCTION("""COMPUTED_VALUE"""),"SENEGAL")</f>
        <v>SENEGAL</v>
      </c>
      <c r="AJ110" s="1" t="str">
        <f ca="1">IFERROR(__xludf.DUMMYFUNCTION("""COMPUTED_VALUE"""),"F1224")</f>
        <v>F1224</v>
      </c>
      <c r="AK110" s="1" t="str">
        <f ca="1">IFERROR(__xludf.DUMMYFUNCTION("""COMPUTED_VALUE"""),"Marié(e)")</f>
        <v>Marié(e)</v>
      </c>
      <c r="AL110" s="1" t="str">
        <f ca="1">IFERROR(__xludf.DUMMYFUNCTION("""COMPUTED_VALUE"""),"Marié(e)")</f>
        <v>Marié(e)</v>
      </c>
      <c r="AM110" s="1" t="str">
        <f ca="1">IFERROR(__xludf.DUMMYFUNCTION("""COMPUTED_VALUE"""),"F1224")</f>
        <v>F1224</v>
      </c>
    </row>
    <row r="111" spans="1:39" ht="13" x14ac:dyDescent="0.15">
      <c r="A111" s="1" t="str">
        <f ca="1">IFERROR(__xludf.DUMMYFUNCTION("""COMPUTED_VALUE"""),"COUSTON Gabriel")</f>
        <v>COUSTON Gabriel</v>
      </c>
      <c r="B111" s="1" t="str">
        <f ca="1">IFERROR(__xludf.DUMMYFUNCTION("""COMPUTED_VALUE"""),"COUSTON")</f>
        <v>COUSTON</v>
      </c>
      <c r="C111" s="1" t="str">
        <f ca="1">IFERROR(__xludf.DUMMYFUNCTION("""COMPUTED_VALUE"""),"Gabriel")</f>
        <v>Gabriel</v>
      </c>
      <c r="D111" s="1" t="str">
        <f ca="1">IFERROR(__xludf.DUMMYFUNCTION("""COMPUTED_VALUE"""),"1225E1")</f>
        <v>1225E1</v>
      </c>
      <c r="E111" s="2">
        <f ca="1">IFERROR(__xludf.DUMMYFUNCTION("""COMPUTED_VALUE"""),40448)</f>
        <v>40448</v>
      </c>
      <c r="F111" s="1" t="str">
        <f ca="1">IFERROR(__xludf.DUMMYFUNCTION("""COMPUTED_VALUE"""),"2NDE1 COOP")</f>
        <v>2NDE1 COOP</v>
      </c>
      <c r="G111" s="1" t="str">
        <f ca="1">IFERROR(__xludf.DUMMYFUNCTION("""COMPUTED_VALUE"""),"2nde")</f>
        <v>2nde</v>
      </c>
      <c r="H111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111" s="1" t="str">
        <f ca="1">IFERROR(__xludf.DUMMYFUNCTION("""COMPUTED_VALUE"""),"LVA Anglais")</f>
        <v>LVA Anglais</v>
      </c>
      <c r="J111" s="1" t="str">
        <f ca="1">IFERROR(__xludf.DUMMYFUNCTION("""COMPUTED_VALUE"""),"LVB Espagnol")</f>
        <v>LVB Espagnol</v>
      </c>
      <c r="K111" s="1"/>
      <c r="L111" s="1"/>
      <c r="M111" s="1"/>
      <c r="N111" s="1" t="str">
        <f ca="1">IFERROR(__xludf.DUMMYFUNCTION("""COMPUTED_VALUE"""),"Garçon")</f>
        <v>Garçon</v>
      </c>
      <c r="O111" s="1"/>
      <c r="P111" s="1" t="str">
        <f ca="1">IFERROR(__xludf.DUMMYFUNCTION("""COMPUTED_VALUE"""),"FRANCE")</f>
        <v>FRANCE</v>
      </c>
      <c r="Q111" s="1"/>
      <c r="R111" s="1" t="str">
        <f ca="1">IFERROR(__xludf.DUMMYFUNCTION("""COMPUTED_VALUE"""),"gabriel.couston@lfjpsaly.org")</f>
        <v>gabriel.couston@lfjpsaly.org</v>
      </c>
      <c r="S111" s="1" t="str">
        <f ca="1">IFERROR(__xludf.DUMMYFUNCTION("""COMPUTED_VALUE"""),"+221 77 098 23 73")</f>
        <v>+221 77 098 23 73</v>
      </c>
      <c r="T111" s="1" t="str">
        <f ca="1">IFERROR(__xludf.DUMMYFUNCTION("""COMPUTED_VALUE"""),"BAOULÉ ASSENGONE Joselyne")</f>
        <v>BAOULÉ ASSENGONE Joselyne</v>
      </c>
      <c r="U111" s="1" t="str">
        <f ca="1">IFERROR(__xludf.DUMMYFUNCTION("""COMPUTED_VALUE"""),"COUSTON Ghislain")</f>
        <v>COUSTON Ghislain</v>
      </c>
      <c r="V111" s="1" t="str">
        <f ca="1">IFERROR(__xludf.DUMMYFUNCTION("""COMPUTED_VALUE"""),"eyumanea@gmail.com")</f>
        <v>eyumanea@gmail.com</v>
      </c>
      <c r="W111" s="1" t="str">
        <f ca="1">IFERROR(__xludf.DUMMYFUNCTION("""COMPUTED_VALUE"""),"gcouston@gmail.com")</f>
        <v>gcouston@gmail.com</v>
      </c>
      <c r="X111" s="1" t="str">
        <f ca="1">IFERROR(__xludf.DUMMYFUNCTION("""COMPUTED_VALUE"""),"+221 70 359 48 95")</f>
        <v>+221 70 359 48 95</v>
      </c>
      <c r="Y111" s="1" t="str">
        <f ca="1">IFERROR(__xludf.DUMMYFUNCTION("""COMPUTED_VALUE"""),"+221 77 757 88 49")</f>
        <v>+221 77 757 88 49</v>
      </c>
      <c r="Z111" s="1" t="str">
        <f ca="1">IFERROR(__xludf.DUMMYFUNCTION("""COMPUTED_VALUE"""),"+221")</f>
        <v>+221</v>
      </c>
      <c r="AA111" s="1"/>
      <c r="AB111" s="2">
        <f ca="1">IFERROR(__xludf.DUMMYFUNCTION("""COMPUTED_VALUE"""),28419)</f>
        <v>28419</v>
      </c>
      <c r="AC111" s="2">
        <f ca="1">IFERROR(__xludf.DUMMYFUNCTION("""COMPUTED_VALUE"""),29450)</f>
        <v>29450</v>
      </c>
      <c r="AD111" s="1" t="str">
        <f ca="1">IFERROR(__xludf.DUMMYFUNCTION("""COMPUTED_VALUE"""),"MERE")</f>
        <v>MERE</v>
      </c>
      <c r="AE111" s="1" t="str">
        <f ca="1">IFERROR(__xludf.DUMMYFUNCTION("""COMPUTED_VALUE"""),"PERE")</f>
        <v>PERE</v>
      </c>
      <c r="AF111" s="1" t="str">
        <f ca="1">IFERROR(__xludf.DUMMYFUNCTION("""COMPUTED_VALUE"""),"FRANCE")</f>
        <v>FRANCE</v>
      </c>
      <c r="AG111" s="1" t="str">
        <f ca="1">IFERROR(__xludf.DUMMYFUNCTION("""COMPUTED_VALUE"""),"FRANCE")</f>
        <v>FRANCE</v>
      </c>
      <c r="AH111" s="1" t="str">
        <f ca="1">IFERROR(__xludf.DUMMYFUNCTION("""COMPUTED_VALUE"""),"GABON")</f>
        <v>GABON</v>
      </c>
      <c r="AI111" s="1"/>
      <c r="AJ111" s="1" t="str">
        <f ca="1">IFERROR(__xludf.DUMMYFUNCTION("""COMPUTED_VALUE"""),"F1225")</f>
        <v>F1225</v>
      </c>
      <c r="AK111" s="1" t="str">
        <f ca="1">IFERROR(__xludf.DUMMYFUNCTION("""COMPUTED_VALUE"""),"Divorcée")</f>
        <v>Divorcée</v>
      </c>
      <c r="AL111" s="1" t="str">
        <f ca="1">IFERROR(__xludf.DUMMYFUNCTION("""COMPUTED_VALUE"""),"Divorcée")</f>
        <v>Divorcée</v>
      </c>
      <c r="AM111" s="1" t="str">
        <f ca="1">IFERROR(__xludf.DUMMYFUNCTION("""COMPUTED_VALUE"""),"F1225")</f>
        <v>F1225</v>
      </c>
    </row>
    <row r="112" spans="1:39" ht="13" x14ac:dyDescent="0.15">
      <c r="A112" s="1" t="str">
        <f ca="1">IFERROR(__xludf.DUMMYFUNCTION("""COMPUTED_VALUE"""),"COUSTON Salomé")</f>
        <v>COUSTON Salomé</v>
      </c>
      <c r="B112" s="1" t="str">
        <f ca="1">IFERROR(__xludf.DUMMYFUNCTION("""COMPUTED_VALUE"""),"COUSTON")</f>
        <v>COUSTON</v>
      </c>
      <c r="C112" s="1" t="str">
        <f ca="1">IFERROR(__xludf.DUMMYFUNCTION("""COMPUTED_VALUE"""),"Salomé")</f>
        <v>Salomé</v>
      </c>
      <c r="D112" s="1" t="str">
        <f ca="1">IFERROR(__xludf.DUMMYFUNCTION("""COMPUTED_VALUE"""),"1225E2")</f>
        <v>1225E2</v>
      </c>
      <c r="E112" s="2">
        <f ca="1">IFERROR(__xludf.DUMMYFUNCTION("""COMPUTED_VALUE"""),41792)</f>
        <v>41792</v>
      </c>
      <c r="F112" s="1" t="str">
        <f ca="1">IFERROR(__xludf.DUMMYFUNCTION("""COMPUTED_VALUE"""),"6EME1")</f>
        <v>6EME1</v>
      </c>
      <c r="G112" s="1" t="str">
        <f ca="1">IFERROR(__xludf.DUMMYFUNCTION("""COMPUTED_VALUE"""),"6ème")</f>
        <v>6ème</v>
      </c>
      <c r="H112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112" s="1" t="str">
        <f ca="1">IFERROR(__xludf.DUMMYFUNCTION("""COMPUTED_VALUE"""),"LVA Anglais")</f>
        <v>LVA Anglais</v>
      </c>
      <c r="J112" s="1" t="str">
        <f ca="1">IFERROR(__xludf.DUMMYFUNCTION("""COMPUTED_VALUE"""),"LVB Espagnol")</f>
        <v>LVB Espagnol</v>
      </c>
      <c r="K112" s="1"/>
      <c r="L112" s="1"/>
      <c r="M112" s="1"/>
      <c r="N112" s="1" t="str">
        <f ca="1">IFERROR(__xludf.DUMMYFUNCTION("""COMPUTED_VALUE"""),"Fille")</f>
        <v>Fille</v>
      </c>
      <c r="O112" s="1"/>
      <c r="P112" s="1" t="str">
        <f ca="1">IFERROR(__xludf.DUMMYFUNCTION("""COMPUTED_VALUE"""),"FRANCE")</f>
        <v>FRANCE</v>
      </c>
      <c r="Q112" s="1"/>
      <c r="R112" s="1" t="str">
        <f ca="1">IFERROR(__xludf.DUMMYFUNCTION("""COMPUTED_VALUE"""),"salome.couston@lfjpsaly.org")</f>
        <v>salome.couston@lfjpsaly.org</v>
      </c>
      <c r="S112" s="1" t="str">
        <f ca="1">IFERROR(__xludf.DUMMYFUNCTION("""COMPUTED_VALUE"""),"+221 77 678 45 86")</f>
        <v>+221 77 678 45 86</v>
      </c>
      <c r="T112" s="1" t="str">
        <f ca="1">IFERROR(__xludf.DUMMYFUNCTION("""COMPUTED_VALUE"""),"BAOULÉ ASSENGONE Joselyne")</f>
        <v>BAOULÉ ASSENGONE Joselyne</v>
      </c>
      <c r="U112" s="1" t="str">
        <f ca="1">IFERROR(__xludf.DUMMYFUNCTION("""COMPUTED_VALUE"""),"COUSTON Ghislain")</f>
        <v>COUSTON Ghislain</v>
      </c>
      <c r="V112" s="1" t="str">
        <f ca="1">IFERROR(__xludf.DUMMYFUNCTION("""COMPUTED_VALUE"""),"eyumanea@gmail.com")</f>
        <v>eyumanea@gmail.com</v>
      </c>
      <c r="W112" s="1" t="str">
        <f ca="1">IFERROR(__xludf.DUMMYFUNCTION("""COMPUTED_VALUE"""),"gcouston@gmail.com")</f>
        <v>gcouston@gmail.com</v>
      </c>
      <c r="X112" s="1" t="str">
        <f ca="1">IFERROR(__xludf.DUMMYFUNCTION("""COMPUTED_VALUE"""),"+221 70 359 48 95")</f>
        <v>+221 70 359 48 95</v>
      </c>
      <c r="Y112" s="1" t="str">
        <f ca="1">IFERROR(__xludf.DUMMYFUNCTION("""COMPUTED_VALUE"""),"+221 77 757 88 49")</f>
        <v>+221 77 757 88 49</v>
      </c>
      <c r="Z112" s="1" t="str">
        <f ca="1">IFERROR(__xludf.DUMMYFUNCTION("""COMPUTED_VALUE"""),"+221")</f>
        <v>+221</v>
      </c>
      <c r="AA112" s="1"/>
      <c r="AB112" s="2">
        <f ca="1">IFERROR(__xludf.DUMMYFUNCTION("""COMPUTED_VALUE"""),28419)</f>
        <v>28419</v>
      </c>
      <c r="AC112" s="2">
        <f ca="1">IFERROR(__xludf.DUMMYFUNCTION("""COMPUTED_VALUE"""),29450)</f>
        <v>29450</v>
      </c>
      <c r="AD112" s="1" t="str">
        <f ca="1">IFERROR(__xludf.DUMMYFUNCTION("""COMPUTED_VALUE"""),"MERE")</f>
        <v>MERE</v>
      </c>
      <c r="AE112" s="1" t="str">
        <f ca="1">IFERROR(__xludf.DUMMYFUNCTION("""COMPUTED_VALUE"""),"PERE")</f>
        <v>PERE</v>
      </c>
      <c r="AF112" s="1" t="str">
        <f ca="1">IFERROR(__xludf.DUMMYFUNCTION("""COMPUTED_VALUE"""),"FRANCE")</f>
        <v>FRANCE</v>
      </c>
      <c r="AG112" s="1" t="str">
        <f ca="1">IFERROR(__xludf.DUMMYFUNCTION("""COMPUTED_VALUE"""),"FRANCE")</f>
        <v>FRANCE</v>
      </c>
      <c r="AH112" s="1" t="str">
        <f ca="1">IFERROR(__xludf.DUMMYFUNCTION("""COMPUTED_VALUE"""),"GABON")</f>
        <v>GABON</v>
      </c>
      <c r="AI112" s="1"/>
      <c r="AJ112" s="1" t="str">
        <f ca="1">IFERROR(__xludf.DUMMYFUNCTION("""COMPUTED_VALUE"""),"F1225")</f>
        <v>F1225</v>
      </c>
      <c r="AK112" s="1" t="str">
        <f ca="1">IFERROR(__xludf.DUMMYFUNCTION("""COMPUTED_VALUE"""),"Divorcée")</f>
        <v>Divorcée</v>
      </c>
      <c r="AL112" s="1" t="str">
        <f ca="1">IFERROR(__xludf.DUMMYFUNCTION("""COMPUTED_VALUE"""),"Divorcée")</f>
        <v>Divorcée</v>
      </c>
      <c r="AM112" s="1" t="str">
        <f ca="1">IFERROR(__xludf.DUMMYFUNCTION("""COMPUTED_VALUE"""),"F1225")</f>
        <v>F1225</v>
      </c>
    </row>
    <row r="113" spans="1:39" ht="13" x14ac:dyDescent="0.15">
      <c r="A113" s="1" t="str">
        <f ca="1">IFERROR(__xludf.DUMMYFUNCTION("""COMPUTED_VALUE"""),"CROIZAT Liliane")</f>
        <v>CROIZAT Liliane</v>
      </c>
      <c r="B113" s="1" t="str">
        <f ca="1">IFERROR(__xludf.DUMMYFUNCTION("""COMPUTED_VALUE"""),"CROIZAT")</f>
        <v>CROIZAT</v>
      </c>
      <c r="C113" s="1" t="str">
        <f ca="1">IFERROR(__xludf.DUMMYFUNCTION("""COMPUTED_VALUE"""),"Liliane")</f>
        <v>Liliane</v>
      </c>
      <c r="D113" s="1" t="str">
        <f ca="1">IFERROR(__xludf.DUMMYFUNCTION("""COMPUTED_VALUE"""),"1227E1")</f>
        <v>1227E1</v>
      </c>
      <c r="E113" s="2">
        <f ca="1">IFERROR(__xludf.DUMMYFUNCTION("""COMPUTED_VALUE"""),40159)</f>
        <v>40159</v>
      </c>
      <c r="F113" s="1" t="str">
        <f ca="1">IFERROR(__xludf.DUMMYFUNCTION("""COMPUTED_VALUE"""),"1ERE2")</f>
        <v>1ERE2</v>
      </c>
      <c r="G113" s="1" t="str">
        <f ca="1">IFERROR(__xludf.DUMMYFUNCTION("""COMPUTED_VALUE"""),"1ère")</f>
        <v>1ère</v>
      </c>
      <c r="H113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113" s="1" t="str">
        <f ca="1">IFERROR(__xludf.DUMMYFUNCTION("""COMPUTED_VALUE"""),"LVA Anglais")</f>
        <v>LVA Anglais</v>
      </c>
      <c r="J113" s="1" t="str">
        <f ca="1">IFERROR(__xludf.DUMMYFUNCTION("""COMPUTED_VALUE"""),"LVB Espagnol")</f>
        <v>LVB Espagnol</v>
      </c>
      <c r="K113" s="1"/>
      <c r="L113" s="1"/>
      <c r="M113" s="1" t="str">
        <f ca="1">IFERROR(__xludf.DUMMYFUNCTION("""COMPUTED_VALUE"""),"SPE HGGSP, SPE LLCE AMC, SPE SES")</f>
        <v>SPE HGGSP, SPE LLCE AMC, SPE SES</v>
      </c>
      <c r="N113" s="1" t="str">
        <f ca="1">IFERROR(__xludf.DUMMYFUNCTION("""COMPUTED_VALUE"""),"Fille")</f>
        <v>Fille</v>
      </c>
      <c r="O113" s="1"/>
      <c r="P113" s="1" t="str">
        <f ca="1">IFERROR(__xludf.DUMMYFUNCTION("""COMPUTED_VALUE"""),"FRANCE")</f>
        <v>FRANCE</v>
      </c>
      <c r="Q113" s="1"/>
      <c r="R113" s="1" t="str">
        <f ca="1">IFERROR(__xludf.DUMMYFUNCTION("""COMPUTED_VALUE"""),"liliane.croizat@lfjpsaly.org")</f>
        <v>liliane.croizat@lfjpsaly.org</v>
      </c>
      <c r="S113" s="1"/>
      <c r="T113" s="1" t="str">
        <f ca="1">IFERROR(__xludf.DUMMYFUNCTION("""COMPUTED_VALUE"""),"CROIZAT Oumou")</f>
        <v>CROIZAT Oumou</v>
      </c>
      <c r="U113" s="1" t="str">
        <f ca="1">IFERROR(__xludf.DUMMYFUNCTION("""COMPUTED_VALUE"""),"CROIZAT Jean-Claude")</f>
        <v>CROIZAT Jean-Claude</v>
      </c>
      <c r="V113" s="1" t="str">
        <f ca="1">IFERROR(__xludf.DUMMYFUNCTION("""COMPUTED_VALUE"""),"jeanclaudecroizat@hotmail.fr")</f>
        <v>jeanclaudecroizat@hotmail.fr</v>
      </c>
      <c r="W113" s="1" t="str">
        <f ca="1">IFERROR(__xludf.DUMMYFUNCTION("""COMPUTED_VALUE"""),"jeanclaudecroizat@outlook.fr")</f>
        <v>jeanclaudecroizat@outlook.fr</v>
      </c>
      <c r="X113" s="1" t="str">
        <f ca="1">IFERROR(__xludf.DUMMYFUNCTION("""COMPUTED_VALUE"""),"+221 77 405 25 94")</f>
        <v>+221 77 405 25 94</v>
      </c>
      <c r="Y113" s="1" t="str">
        <f ca="1">IFERROR(__xludf.DUMMYFUNCTION("""COMPUTED_VALUE"""),"+221 77 443 26 96")</f>
        <v>+221 77 443 26 96</v>
      </c>
      <c r="Z113" s="1"/>
      <c r="AA113" s="1"/>
      <c r="AB113" s="2">
        <f ca="1">IFERROR(__xludf.DUMMYFUNCTION("""COMPUTED_VALUE"""),31306)</f>
        <v>31306</v>
      </c>
      <c r="AC113" s="2">
        <f ca="1">IFERROR(__xludf.DUMMYFUNCTION("""COMPUTED_VALUE"""),19330)</f>
        <v>19330</v>
      </c>
      <c r="AD113" s="1" t="str">
        <f ca="1">IFERROR(__xludf.DUMMYFUNCTION("""COMPUTED_VALUE"""),"MERE")</f>
        <v>MERE</v>
      </c>
      <c r="AE113" s="1" t="str">
        <f ca="1">IFERROR(__xludf.DUMMYFUNCTION("""COMPUTED_VALUE"""),"PERE")</f>
        <v>PERE</v>
      </c>
      <c r="AF113" s="1" t="str">
        <f ca="1">IFERROR(__xludf.DUMMYFUNCTION("""COMPUTED_VALUE"""),"SENEGAL")</f>
        <v>SENEGAL</v>
      </c>
      <c r="AG113" s="1" t="str">
        <f ca="1">IFERROR(__xludf.DUMMYFUNCTION("""COMPUTED_VALUE"""),"FRANCE")</f>
        <v>FRANCE</v>
      </c>
      <c r="AH113" s="1"/>
      <c r="AI113" s="1"/>
      <c r="AJ113" s="1" t="str">
        <f ca="1">IFERROR(__xludf.DUMMYFUNCTION("""COMPUTED_VALUE"""),"F1227")</f>
        <v>F1227</v>
      </c>
      <c r="AK113" s="1" t="str">
        <f ca="1">IFERROR(__xludf.DUMMYFUNCTION("""COMPUTED_VALUE"""),"Marié(e)")</f>
        <v>Marié(e)</v>
      </c>
      <c r="AL113" s="1"/>
      <c r="AM113" s="1" t="str">
        <f ca="1">IFERROR(__xludf.DUMMYFUNCTION("""COMPUTED_VALUE"""),"F1227")</f>
        <v>F1227</v>
      </c>
    </row>
    <row r="114" spans="1:39" ht="13" x14ac:dyDescent="0.15">
      <c r="A114" s="1" t="str">
        <f ca="1">IFERROR(__xludf.DUMMYFUNCTION("""COMPUTED_VALUE"""),"CUERVO MORENO Clarence")</f>
        <v>CUERVO MORENO Clarence</v>
      </c>
      <c r="B114" s="1" t="str">
        <f ca="1">IFERROR(__xludf.DUMMYFUNCTION("""COMPUTED_VALUE"""),"CUERVO MORENO")</f>
        <v>CUERVO MORENO</v>
      </c>
      <c r="C114" s="1" t="str">
        <f ca="1">IFERROR(__xludf.DUMMYFUNCTION("""COMPUTED_VALUE"""),"Clarence")</f>
        <v>Clarence</v>
      </c>
      <c r="D114" s="1" t="str">
        <f ca="1">IFERROR(__xludf.DUMMYFUNCTION("""COMPUTED_VALUE"""),"1228E1")</f>
        <v>1228E1</v>
      </c>
      <c r="E114" s="2">
        <f ca="1">IFERROR(__xludf.DUMMYFUNCTION("""COMPUTED_VALUE"""),41996)</f>
        <v>41996</v>
      </c>
      <c r="F114" s="1" t="str">
        <f ca="1">IFERROR(__xludf.DUMMYFUNCTION("""COMPUTED_VALUE"""),"6EME2")</f>
        <v>6EME2</v>
      </c>
      <c r="G114" s="1" t="str">
        <f ca="1">IFERROR(__xludf.DUMMYFUNCTION("""COMPUTED_VALUE"""),"6ème")</f>
        <v>6ème</v>
      </c>
      <c r="H114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114" s="1" t="str">
        <f ca="1">IFERROR(__xludf.DUMMYFUNCTION("""COMPUTED_VALUE"""),"LVA Anglais")</f>
        <v>LVA Anglais</v>
      </c>
      <c r="J114" s="1" t="str">
        <f ca="1">IFERROR(__xludf.DUMMYFUNCTION("""COMPUTED_VALUE"""),"LVB Espagnol")</f>
        <v>LVB Espagnol</v>
      </c>
      <c r="K114" s="1"/>
      <c r="L114" s="1"/>
      <c r="M114" s="1"/>
      <c r="N114" s="1" t="str">
        <f ca="1">IFERROR(__xludf.DUMMYFUNCTION("""COMPUTED_VALUE"""),"Garçon")</f>
        <v>Garçon</v>
      </c>
      <c r="O114" s="1"/>
      <c r="P114" s="1" t="str">
        <f ca="1">IFERROR(__xludf.DUMMYFUNCTION("""COMPUTED_VALUE"""),"FRANCE")</f>
        <v>FRANCE</v>
      </c>
      <c r="Q114" s="1"/>
      <c r="R114" s="1" t="str">
        <f ca="1">IFERROR(__xludf.DUMMYFUNCTION("""COMPUTED_VALUE"""),"clarence.cuervomoreno@lfjpsaly.org")</f>
        <v>clarence.cuervomoreno@lfjpsaly.org</v>
      </c>
      <c r="S114" s="1" t="str">
        <f ca="1">IFERROR(__xludf.DUMMYFUNCTION("""COMPUTED_VALUE"""),"+221 71 018 93 94")</f>
        <v>+221 71 018 93 94</v>
      </c>
      <c r="T114" s="1" t="str">
        <f ca="1">IFERROR(__xludf.DUMMYFUNCTION("""COMPUTED_VALUE"""),"CUERVO MORENO Philippe")</f>
        <v>CUERVO MORENO Philippe</v>
      </c>
      <c r="U114" s="1" t="str">
        <f ca="1">IFERROR(__xludf.DUMMYFUNCTION("""COMPUTED_VALUE"""),"BICHOT Cindy")</f>
        <v>BICHOT Cindy</v>
      </c>
      <c r="V114" s="1" t="str">
        <f ca="1">IFERROR(__xludf.DUMMYFUNCTION("""COMPUTED_VALUE"""),"cindy_bichot@hotmail.fr")</f>
        <v>cindy_bichot@hotmail.fr</v>
      </c>
      <c r="W114" s="1" t="str">
        <f ca="1">IFERROR(__xludf.DUMMYFUNCTION("""COMPUTED_VALUE"""),"cindy_bichot@hotmail.fr")</f>
        <v>cindy_bichot@hotmail.fr</v>
      </c>
      <c r="X114" s="1" t="str">
        <f ca="1">IFERROR(__xludf.DUMMYFUNCTION("""COMPUTED_VALUE"""),"+221 78 893 63 22")</f>
        <v>+221 78 893 63 22</v>
      </c>
      <c r="Y114" s="1" t="str">
        <f ca="1">IFERROR(__xludf.DUMMYFUNCTION("""COMPUTED_VALUE"""),"+221 77 850 52 79")</f>
        <v>+221 77 850 52 79</v>
      </c>
      <c r="Z114" s="1" t="str">
        <f ca="1">IFERROR(__xludf.DUMMYFUNCTION("""COMPUTED_VALUE"""),"+33 6 23 94 23 89")</f>
        <v>+33 6 23 94 23 89</v>
      </c>
      <c r="AA114" s="1" t="str">
        <f ca="1">IFERROR(__xludf.DUMMYFUNCTION("""COMPUTED_VALUE"""),"+33 6 12 52 28 22")</f>
        <v>+33 6 12 52 28 22</v>
      </c>
      <c r="AB114" s="2">
        <f ca="1">IFERROR(__xludf.DUMMYFUNCTION("""COMPUTED_VALUE"""),25428)</f>
        <v>25428</v>
      </c>
      <c r="AC114" s="2">
        <f ca="1">IFERROR(__xludf.DUMMYFUNCTION("""COMPUTED_VALUE"""),29268)</f>
        <v>29268</v>
      </c>
      <c r="AD114" s="1" t="str">
        <f ca="1">IFERROR(__xludf.DUMMYFUNCTION("""COMPUTED_VALUE"""),"PERE")</f>
        <v>PERE</v>
      </c>
      <c r="AE114" s="1" t="str">
        <f ca="1">IFERROR(__xludf.DUMMYFUNCTION("""COMPUTED_VALUE"""),"MERE")</f>
        <v>MERE</v>
      </c>
      <c r="AF114" s="1" t="str">
        <f ca="1">IFERROR(__xludf.DUMMYFUNCTION("""COMPUTED_VALUE"""),"FRANCE")</f>
        <v>FRANCE</v>
      </c>
      <c r="AG114" s="1" t="str">
        <f ca="1">IFERROR(__xludf.DUMMYFUNCTION("""COMPUTED_VALUE"""),"FRANCE")</f>
        <v>FRANCE</v>
      </c>
      <c r="AH114" s="1"/>
      <c r="AI114" s="1"/>
      <c r="AJ114" s="1" t="str">
        <f ca="1">IFERROR(__xludf.DUMMYFUNCTION("""COMPUTED_VALUE"""),"F1228")</f>
        <v>F1228</v>
      </c>
      <c r="AK114" s="1" t="str">
        <f ca="1">IFERROR(__xludf.DUMMYFUNCTION("""COMPUTED_VALUE"""),"CONCUBINAGE")</f>
        <v>CONCUBINAGE</v>
      </c>
      <c r="AL114" s="1" t="str">
        <f ca="1">IFERROR(__xludf.DUMMYFUNCTION("""COMPUTED_VALUE"""),"CONCUBINAGE")</f>
        <v>CONCUBINAGE</v>
      </c>
      <c r="AM114" s="1" t="str">
        <f ca="1">IFERROR(__xludf.DUMMYFUNCTION("""COMPUTED_VALUE"""),"F1228")</f>
        <v>F1228</v>
      </c>
    </row>
    <row r="115" spans="1:39" ht="13" x14ac:dyDescent="0.15">
      <c r="A115" s="1" t="str">
        <f ca="1">IFERROR(__xludf.DUMMYFUNCTION("""COMPUTED_VALUE"""),"D'ALMEIDA Asha")</f>
        <v>D'ALMEIDA Asha</v>
      </c>
      <c r="B115" s="1" t="str">
        <f ca="1">IFERROR(__xludf.DUMMYFUNCTION("""COMPUTED_VALUE"""),"D'ALMEIDA")</f>
        <v>D'ALMEIDA</v>
      </c>
      <c r="C115" s="1" t="str">
        <f ca="1">IFERROR(__xludf.DUMMYFUNCTION("""COMPUTED_VALUE"""),"Asha")</f>
        <v>Asha</v>
      </c>
      <c r="D115" s="1" t="str">
        <f ca="1">IFERROR(__xludf.DUMMYFUNCTION("""COMPUTED_VALUE"""),"1229E1")</f>
        <v>1229E1</v>
      </c>
      <c r="E115" s="2">
        <f ca="1">IFERROR(__xludf.DUMMYFUNCTION("""COMPUTED_VALUE"""),41097)</f>
        <v>41097</v>
      </c>
      <c r="F115" s="1" t="str">
        <f ca="1">IFERROR(__xludf.DUMMYFUNCTION("""COMPUTED_VALUE"""),"3EME2")</f>
        <v>3EME2</v>
      </c>
      <c r="G115" s="1" t="str">
        <f ca="1">IFERROR(__xludf.DUMMYFUNCTION("""COMPUTED_VALUE"""),"3ème")</f>
        <v>3ème</v>
      </c>
      <c r="H115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115" s="1"/>
      <c r="J115" s="1" t="str">
        <f ca="1">IFERROR(__xludf.DUMMYFUNCTION("""COMPUTED_VALUE"""),"LVB Espagnol")</f>
        <v>LVB Espagnol</v>
      </c>
      <c r="K115" s="1"/>
      <c r="L115" s="1"/>
      <c r="M115" s="1"/>
      <c r="N115" s="1" t="str">
        <f ca="1">IFERROR(__xludf.DUMMYFUNCTION("""COMPUTED_VALUE"""),"Fille")</f>
        <v>Fille</v>
      </c>
      <c r="O115" s="1"/>
      <c r="P115" s="1" t="str">
        <f ca="1">IFERROR(__xludf.DUMMYFUNCTION("""COMPUTED_VALUE"""),"GABON")</f>
        <v>GABON</v>
      </c>
      <c r="Q115" s="1" t="str">
        <f ca="1">IFERROR(__xludf.DUMMYFUNCTION("""COMPUTED_VALUE"""),"SENEGAL")</f>
        <v>SENEGAL</v>
      </c>
      <c r="R115" s="1" t="str">
        <f ca="1">IFERROR(__xludf.DUMMYFUNCTION("""COMPUTED_VALUE"""),"dalmeida.asha@lfjpsaly.org")</f>
        <v>dalmeida.asha@lfjpsaly.org</v>
      </c>
      <c r="S115" s="1" t="str">
        <f ca="1">IFERROR(__xludf.DUMMYFUNCTION("""COMPUTED_VALUE"""),"+221 76 498 59 32")</f>
        <v>+221 76 498 59 32</v>
      </c>
      <c r="T115" s="1" t="str">
        <f ca="1">IFERROR(__xludf.DUMMYFUNCTION("""COMPUTED_VALUE"""),"MAGANGA MAGANGA Annie Prudence")</f>
        <v>MAGANGA MAGANGA Annie Prudence</v>
      </c>
      <c r="U115" s="1" t="str">
        <f ca="1">IFERROR(__xludf.DUMMYFUNCTION("""COMPUTED_VALUE"""),"D'ALMEIDA Gildas")</f>
        <v>D'ALMEIDA Gildas</v>
      </c>
      <c r="V115" s="1" t="str">
        <f ca="1">IFERROR(__xludf.DUMMYFUNCTION("""COMPUTED_VALUE"""),"dr.maganga@gmail.com")</f>
        <v>dr.maganga@gmail.com</v>
      </c>
      <c r="W115" s="1" t="str">
        <f ca="1">IFERROR(__xludf.DUMMYFUNCTION("""COMPUTED_VALUE"""),"dalmeidagildasadechina@gmail.com")</f>
        <v>dalmeidagildasadechina@gmail.com</v>
      </c>
      <c r="X115" s="1" t="str">
        <f ca="1">IFERROR(__xludf.DUMMYFUNCTION("""COMPUTED_VALUE"""),"+221 78 599 95 59")</f>
        <v>+221 78 599 95 59</v>
      </c>
      <c r="Y115" s="1" t="str">
        <f ca="1">IFERROR(__xludf.DUMMYFUNCTION("""COMPUTED_VALUE"""),"+221 78 173 46 49")</f>
        <v>+221 78 173 46 49</v>
      </c>
      <c r="Z115" s="1" t="str">
        <f ca="1">IFERROR(__xludf.DUMMYFUNCTION("""COMPUTED_VALUE"""),"+221 78 599 95 59")</f>
        <v>+221 78 599 95 59</v>
      </c>
      <c r="AA115" s="1" t="str">
        <f ca="1">IFERROR(__xludf.DUMMYFUNCTION("""COMPUTED_VALUE"""),"+221 78 173 46 49")</f>
        <v>+221 78 173 46 49</v>
      </c>
      <c r="AB115" s="2">
        <f ca="1">IFERROR(__xludf.DUMMYFUNCTION("""COMPUTED_VALUE"""),28405)</f>
        <v>28405</v>
      </c>
      <c r="AC115" s="2">
        <f ca="1">IFERROR(__xludf.DUMMYFUNCTION("""COMPUTED_VALUE"""),27678)</f>
        <v>27678</v>
      </c>
      <c r="AD115" s="1" t="str">
        <f ca="1">IFERROR(__xludf.DUMMYFUNCTION("""COMPUTED_VALUE"""),"PERE")</f>
        <v>PERE</v>
      </c>
      <c r="AE115" s="1" t="str">
        <f ca="1">IFERROR(__xludf.DUMMYFUNCTION("""COMPUTED_VALUE"""),"MERE")</f>
        <v>MERE</v>
      </c>
      <c r="AF115" s="1" t="str">
        <f ca="1">IFERROR(__xludf.DUMMYFUNCTION("""COMPUTED_VALUE"""),"GABON")</f>
        <v>GABON</v>
      </c>
      <c r="AG115" s="1" t="str">
        <f ca="1">IFERROR(__xludf.DUMMYFUNCTION("""COMPUTED_VALUE"""),"BENIN")</f>
        <v>BENIN</v>
      </c>
      <c r="AH115" s="1" t="str">
        <f ca="1">IFERROR(__xludf.DUMMYFUNCTION("""COMPUTED_VALUE"""),"SENEGAL")</f>
        <v>SENEGAL</v>
      </c>
      <c r="AI115" s="1" t="str">
        <f ca="1">IFERROR(__xludf.DUMMYFUNCTION("""COMPUTED_VALUE"""),"SENEGAL")</f>
        <v>SENEGAL</v>
      </c>
      <c r="AJ115" s="1" t="str">
        <f ca="1">IFERROR(__xludf.DUMMYFUNCTION("""COMPUTED_VALUE"""),"F1229")</f>
        <v>F1229</v>
      </c>
      <c r="AK115" s="1" t="str">
        <f ca="1">IFERROR(__xludf.DUMMYFUNCTION("""COMPUTED_VALUE"""),"Marié(e)")</f>
        <v>Marié(e)</v>
      </c>
      <c r="AL115" s="1" t="str">
        <f ca="1">IFERROR(__xludf.DUMMYFUNCTION("""COMPUTED_VALUE"""),"Marié(e)")</f>
        <v>Marié(e)</v>
      </c>
      <c r="AM115" s="1" t="str">
        <f ca="1">IFERROR(__xludf.DUMMYFUNCTION("""COMPUTED_VALUE"""),"F1229")</f>
        <v>F1229</v>
      </c>
    </row>
    <row r="116" spans="1:39" ht="13" x14ac:dyDescent="0.15">
      <c r="A116" s="1" t="str">
        <f ca="1">IFERROR(__xludf.DUMMYFUNCTION("""COMPUTED_VALUE"""),"D'ALMEIDA Kyran  Kemi  Adetutu")</f>
        <v>D'ALMEIDA Kyran  Kemi  Adetutu</v>
      </c>
      <c r="B116" s="1" t="str">
        <f ca="1">IFERROR(__xludf.DUMMYFUNCTION("""COMPUTED_VALUE"""),"D'ALMEIDA")</f>
        <v>D'ALMEIDA</v>
      </c>
      <c r="C116" s="1" t="str">
        <f ca="1">IFERROR(__xludf.DUMMYFUNCTION("""COMPUTED_VALUE"""),"Kyran  Kemi  Adetutu")</f>
        <v>Kyran  Kemi  Adetutu</v>
      </c>
      <c r="D116" s="1" t="str">
        <f ca="1">IFERROR(__xludf.DUMMYFUNCTION("""COMPUTED_VALUE"""),"1229E2")</f>
        <v>1229E2</v>
      </c>
      <c r="E116" s="2">
        <f ca="1">IFERROR(__xludf.DUMMYFUNCTION("""COMPUTED_VALUE"""),40125)</f>
        <v>40125</v>
      </c>
      <c r="F116" s="1" t="str">
        <f ca="1">IFERROR(__xludf.DUMMYFUNCTION("""COMPUTED_VALUE"""),"1ERE2")</f>
        <v>1ERE2</v>
      </c>
      <c r="G116" s="1" t="str">
        <f ca="1">IFERROR(__xludf.DUMMYFUNCTION("""COMPUTED_VALUE"""),"1ère")</f>
        <v>1ère</v>
      </c>
      <c r="H116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116" s="1" t="str">
        <f ca="1">IFERROR(__xludf.DUMMYFUNCTION("""COMPUTED_VALUE"""),"LVA Anglais")</f>
        <v>LVA Anglais</v>
      </c>
      <c r="J116" s="1" t="str">
        <f ca="1">IFERROR(__xludf.DUMMYFUNCTION("""COMPUTED_VALUE"""),"LVB Espagnol")</f>
        <v>LVB Espagnol</v>
      </c>
      <c r="K116" s="1"/>
      <c r="L116" s="1"/>
      <c r="M116" s="1" t="str">
        <f ca="1">IFERROR(__xludf.DUMMYFUNCTION("""COMPUTED_VALUE"""),"SPE LLCE AMC, SPE MATHS, SPE SES")</f>
        <v>SPE LLCE AMC, SPE MATHS, SPE SES</v>
      </c>
      <c r="N116" s="1" t="str">
        <f ca="1">IFERROR(__xludf.DUMMYFUNCTION("""COMPUTED_VALUE"""),"Garçon")</f>
        <v>Garçon</v>
      </c>
      <c r="O116" s="1"/>
      <c r="P116" s="1" t="str">
        <f ca="1">IFERROR(__xludf.DUMMYFUNCTION("""COMPUTED_VALUE"""),"GABON")</f>
        <v>GABON</v>
      </c>
      <c r="Q116" s="1" t="str">
        <f ca="1">IFERROR(__xludf.DUMMYFUNCTION("""COMPUTED_VALUE"""),"SENEGAL")</f>
        <v>SENEGAL</v>
      </c>
      <c r="R116" s="1" t="str">
        <f ca="1">IFERROR(__xludf.DUMMYFUNCTION("""COMPUTED_VALUE"""),"dalmeida.kyran@lfjpsaly.org")</f>
        <v>dalmeida.kyran@lfjpsaly.org</v>
      </c>
      <c r="S116" s="1" t="str">
        <f ca="1">IFERROR(__xludf.DUMMYFUNCTION("""COMPUTED_VALUE"""),"+221 78 166 07 52")</f>
        <v>+221 78 166 07 52</v>
      </c>
      <c r="T116" s="1" t="str">
        <f ca="1">IFERROR(__xludf.DUMMYFUNCTION("""COMPUTED_VALUE"""),"MAGANGA MAGANGA Annie Prudence")</f>
        <v>MAGANGA MAGANGA Annie Prudence</v>
      </c>
      <c r="U116" s="1" t="str">
        <f ca="1">IFERROR(__xludf.DUMMYFUNCTION("""COMPUTED_VALUE"""),"D'ALMEIDA Gildas")</f>
        <v>D'ALMEIDA Gildas</v>
      </c>
      <c r="V116" s="1" t="str">
        <f ca="1">IFERROR(__xludf.DUMMYFUNCTION("""COMPUTED_VALUE"""),"dr.maganga@gmail.com")</f>
        <v>dr.maganga@gmail.com</v>
      </c>
      <c r="W116" s="1" t="str">
        <f ca="1">IFERROR(__xludf.DUMMYFUNCTION("""COMPUTED_VALUE"""),"dalmeidagildasadechina@gmail.com")</f>
        <v>dalmeidagildasadechina@gmail.com</v>
      </c>
      <c r="X116" s="1" t="str">
        <f ca="1">IFERROR(__xludf.DUMMYFUNCTION("""COMPUTED_VALUE"""),"+221 78 599 95 59")</f>
        <v>+221 78 599 95 59</v>
      </c>
      <c r="Y116" s="1" t="str">
        <f ca="1">IFERROR(__xludf.DUMMYFUNCTION("""COMPUTED_VALUE"""),"+221 78 173 46 49")</f>
        <v>+221 78 173 46 49</v>
      </c>
      <c r="Z116" s="1" t="str">
        <f ca="1">IFERROR(__xludf.DUMMYFUNCTION("""COMPUTED_VALUE"""),"+221 78 599 95 59")</f>
        <v>+221 78 599 95 59</v>
      </c>
      <c r="AA116" s="1" t="str">
        <f ca="1">IFERROR(__xludf.DUMMYFUNCTION("""COMPUTED_VALUE"""),"+221 78 173 46 49")</f>
        <v>+221 78 173 46 49</v>
      </c>
      <c r="AB116" s="2">
        <f ca="1">IFERROR(__xludf.DUMMYFUNCTION("""COMPUTED_VALUE"""),28405)</f>
        <v>28405</v>
      </c>
      <c r="AC116" s="2">
        <f ca="1">IFERROR(__xludf.DUMMYFUNCTION("""COMPUTED_VALUE"""),27678)</f>
        <v>27678</v>
      </c>
      <c r="AD116" s="1" t="str">
        <f ca="1">IFERROR(__xludf.DUMMYFUNCTION("""COMPUTED_VALUE"""),"PERE")</f>
        <v>PERE</v>
      </c>
      <c r="AE116" s="1" t="str">
        <f ca="1">IFERROR(__xludf.DUMMYFUNCTION("""COMPUTED_VALUE"""),"MERE")</f>
        <v>MERE</v>
      </c>
      <c r="AF116" s="1" t="str">
        <f ca="1">IFERROR(__xludf.DUMMYFUNCTION("""COMPUTED_VALUE"""),"GABON")</f>
        <v>GABON</v>
      </c>
      <c r="AG116" s="1" t="str">
        <f ca="1">IFERROR(__xludf.DUMMYFUNCTION("""COMPUTED_VALUE"""),"BENIN")</f>
        <v>BENIN</v>
      </c>
      <c r="AH116" s="1" t="str">
        <f ca="1">IFERROR(__xludf.DUMMYFUNCTION("""COMPUTED_VALUE"""),"SENEGAL")</f>
        <v>SENEGAL</v>
      </c>
      <c r="AI116" s="1" t="str">
        <f ca="1">IFERROR(__xludf.DUMMYFUNCTION("""COMPUTED_VALUE"""),"SENEGAL")</f>
        <v>SENEGAL</v>
      </c>
      <c r="AJ116" s="1" t="str">
        <f ca="1">IFERROR(__xludf.DUMMYFUNCTION("""COMPUTED_VALUE"""),"F1229")</f>
        <v>F1229</v>
      </c>
      <c r="AK116" s="1" t="str">
        <f ca="1">IFERROR(__xludf.DUMMYFUNCTION("""COMPUTED_VALUE"""),"Marié(e)")</f>
        <v>Marié(e)</v>
      </c>
      <c r="AL116" s="1" t="str">
        <f ca="1">IFERROR(__xludf.DUMMYFUNCTION("""COMPUTED_VALUE"""),"Marié(e)")</f>
        <v>Marié(e)</v>
      </c>
      <c r="AM116" s="1" t="str">
        <f ca="1">IFERROR(__xludf.DUMMYFUNCTION("""COMPUTED_VALUE"""),"F1229")</f>
        <v>F1229</v>
      </c>
    </row>
    <row r="117" spans="1:39" ht="13" x14ac:dyDescent="0.15">
      <c r="A117" s="1" t="str">
        <f ca="1">IFERROR(__xludf.DUMMYFUNCTION("""COMPUTED_VALUE"""),"D'ALMEIDA Norah")</f>
        <v>D'ALMEIDA Norah</v>
      </c>
      <c r="B117" s="1" t="str">
        <f ca="1">IFERROR(__xludf.DUMMYFUNCTION("""COMPUTED_VALUE"""),"D'ALMEIDA")</f>
        <v>D'ALMEIDA</v>
      </c>
      <c r="C117" s="1" t="str">
        <f ca="1">IFERROR(__xludf.DUMMYFUNCTION("""COMPUTED_VALUE"""),"Norah")</f>
        <v>Norah</v>
      </c>
      <c r="D117" s="1" t="str">
        <f ca="1">IFERROR(__xludf.DUMMYFUNCTION("""COMPUTED_VALUE"""),"1229E3")</f>
        <v>1229E3</v>
      </c>
      <c r="E117" s="2">
        <f ca="1">IFERROR(__xludf.DUMMYFUNCTION("""COMPUTED_VALUE"""),42004)</f>
        <v>42004</v>
      </c>
      <c r="F117" s="1" t="str">
        <f ca="1">IFERROR(__xludf.DUMMYFUNCTION("""COMPUTED_VALUE"""),"6EME2")</f>
        <v>6EME2</v>
      </c>
      <c r="G117" s="1" t="str">
        <f ca="1">IFERROR(__xludf.DUMMYFUNCTION("""COMPUTED_VALUE"""),"6ème")</f>
        <v>6ème</v>
      </c>
      <c r="H117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117" s="1" t="str">
        <f ca="1">IFERROR(__xludf.DUMMYFUNCTION("""COMPUTED_VALUE"""),"LVA Anglais")</f>
        <v>LVA Anglais</v>
      </c>
      <c r="J117" s="1" t="str">
        <f ca="1">IFERROR(__xludf.DUMMYFUNCTION("""COMPUTED_VALUE"""),"LVB Espagnol")</f>
        <v>LVB Espagnol</v>
      </c>
      <c r="K117" s="1"/>
      <c r="L117" s="1"/>
      <c r="M117" s="1"/>
      <c r="N117" s="1" t="str">
        <f ca="1">IFERROR(__xludf.DUMMYFUNCTION("""COMPUTED_VALUE"""),"Fille")</f>
        <v>Fille</v>
      </c>
      <c r="O117" s="1"/>
      <c r="P117" s="1" t="str">
        <f ca="1">IFERROR(__xludf.DUMMYFUNCTION("""COMPUTED_VALUE"""),"GABON")</f>
        <v>GABON</v>
      </c>
      <c r="Q117" s="1" t="str">
        <f ca="1">IFERROR(__xludf.DUMMYFUNCTION("""COMPUTED_VALUE"""),"SENEGAL")</f>
        <v>SENEGAL</v>
      </c>
      <c r="R117" s="1" t="str">
        <f ca="1">IFERROR(__xludf.DUMMYFUNCTION("""COMPUTED_VALUE"""),"dalmeida.norah@lfjpsaly.org")</f>
        <v>dalmeida.norah@lfjpsaly.org</v>
      </c>
      <c r="S117" s="1" t="str">
        <f ca="1">IFERROR(__xludf.DUMMYFUNCTION("""COMPUTED_VALUE"""),"+221 78 599 95 59")</f>
        <v>+221 78 599 95 59</v>
      </c>
      <c r="T117" s="1" t="str">
        <f ca="1">IFERROR(__xludf.DUMMYFUNCTION("""COMPUTED_VALUE"""),"MAGANGA MAGANGA Annie Prudence")</f>
        <v>MAGANGA MAGANGA Annie Prudence</v>
      </c>
      <c r="U117" s="1" t="str">
        <f ca="1">IFERROR(__xludf.DUMMYFUNCTION("""COMPUTED_VALUE"""),"D'ALMEIDA Gildas")</f>
        <v>D'ALMEIDA Gildas</v>
      </c>
      <c r="V117" s="1" t="str">
        <f ca="1">IFERROR(__xludf.DUMMYFUNCTION("""COMPUTED_VALUE"""),"dr.maganga@gmail.com")</f>
        <v>dr.maganga@gmail.com</v>
      </c>
      <c r="W117" s="1" t="str">
        <f ca="1">IFERROR(__xludf.DUMMYFUNCTION("""COMPUTED_VALUE"""),"dalmeidagildasadechina@gmail.com")</f>
        <v>dalmeidagildasadechina@gmail.com</v>
      </c>
      <c r="X117" s="1" t="str">
        <f ca="1">IFERROR(__xludf.DUMMYFUNCTION("""COMPUTED_VALUE"""),"+221 78 599 95 59")</f>
        <v>+221 78 599 95 59</v>
      </c>
      <c r="Y117" s="1" t="str">
        <f ca="1">IFERROR(__xludf.DUMMYFUNCTION("""COMPUTED_VALUE"""),"+221 78 173 46 49")</f>
        <v>+221 78 173 46 49</v>
      </c>
      <c r="Z117" s="1" t="str">
        <f ca="1">IFERROR(__xludf.DUMMYFUNCTION("""COMPUTED_VALUE"""),"+221 78 599 95 59")</f>
        <v>+221 78 599 95 59</v>
      </c>
      <c r="AA117" s="1" t="str">
        <f ca="1">IFERROR(__xludf.DUMMYFUNCTION("""COMPUTED_VALUE"""),"+221 78 173 46 49")</f>
        <v>+221 78 173 46 49</v>
      </c>
      <c r="AB117" s="2">
        <f ca="1">IFERROR(__xludf.DUMMYFUNCTION("""COMPUTED_VALUE"""),28405)</f>
        <v>28405</v>
      </c>
      <c r="AC117" s="2">
        <f ca="1">IFERROR(__xludf.DUMMYFUNCTION("""COMPUTED_VALUE"""),27678)</f>
        <v>27678</v>
      </c>
      <c r="AD117" s="1" t="str">
        <f ca="1">IFERROR(__xludf.DUMMYFUNCTION("""COMPUTED_VALUE"""),"PERE")</f>
        <v>PERE</v>
      </c>
      <c r="AE117" s="1" t="str">
        <f ca="1">IFERROR(__xludf.DUMMYFUNCTION("""COMPUTED_VALUE"""),"MERE")</f>
        <v>MERE</v>
      </c>
      <c r="AF117" s="1" t="str">
        <f ca="1">IFERROR(__xludf.DUMMYFUNCTION("""COMPUTED_VALUE"""),"GABON")</f>
        <v>GABON</v>
      </c>
      <c r="AG117" s="1" t="str">
        <f ca="1">IFERROR(__xludf.DUMMYFUNCTION("""COMPUTED_VALUE"""),"BENIN")</f>
        <v>BENIN</v>
      </c>
      <c r="AH117" s="1" t="str">
        <f ca="1">IFERROR(__xludf.DUMMYFUNCTION("""COMPUTED_VALUE"""),"SENEGAL")</f>
        <v>SENEGAL</v>
      </c>
      <c r="AI117" s="1" t="str">
        <f ca="1">IFERROR(__xludf.DUMMYFUNCTION("""COMPUTED_VALUE"""),"SENEGAL")</f>
        <v>SENEGAL</v>
      </c>
      <c r="AJ117" s="1" t="str">
        <f ca="1">IFERROR(__xludf.DUMMYFUNCTION("""COMPUTED_VALUE"""),"F1229")</f>
        <v>F1229</v>
      </c>
      <c r="AK117" s="1" t="str">
        <f ca="1">IFERROR(__xludf.DUMMYFUNCTION("""COMPUTED_VALUE"""),"Marié(e)")</f>
        <v>Marié(e)</v>
      </c>
      <c r="AL117" s="1" t="str">
        <f ca="1">IFERROR(__xludf.DUMMYFUNCTION("""COMPUTED_VALUE"""),"Marié(e)")</f>
        <v>Marié(e)</v>
      </c>
      <c r="AM117" s="1" t="str">
        <f ca="1">IFERROR(__xludf.DUMMYFUNCTION("""COMPUTED_VALUE"""),"F1229")</f>
        <v>F1229</v>
      </c>
    </row>
    <row r="118" spans="1:39" ht="13" x14ac:dyDescent="0.15">
      <c r="A118" s="1" t="str">
        <f ca="1">IFERROR(__xludf.DUMMYFUNCTION("""COMPUTED_VALUE"""),"DA SILVA Lorenzo")</f>
        <v>DA SILVA Lorenzo</v>
      </c>
      <c r="B118" s="1" t="str">
        <f ca="1">IFERROR(__xludf.DUMMYFUNCTION("""COMPUTED_VALUE"""),"DA SILVA")</f>
        <v>DA SILVA</v>
      </c>
      <c r="C118" s="1" t="str">
        <f ca="1">IFERROR(__xludf.DUMMYFUNCTION("""COMPUTED_VALUE"""),"Lorenzo")</f>
        <v>Lorenzo</v>
      </c>
      <c r="D118" s="1" t="str">
        <f ca="1">IFERROR(__xludf.DUMMYFUNCTION("""COMPUTED_VALUE"""),"11830S2631")</f>
        <v>11830S2631</v>
      </c>
      <c r="E118" s="2">
        <f ca="1">IFERROR(__xludf.DUMMYFUNCTION("""COMPUTED_VALUE"""),40425)</f>
        <v>40425</v>
      </c>
      <c r="F118" s="1" t="str">
        <f ca="1">IFERROR(__xludf.DUMMYFUNCTION("""COMPUTED_VALUE"""),"2NDE1 COOP")</f>
        <v>2NDE1 COOP</v>
      </c>
      <c r="G118" s="1" t="str">
        <f ca="1">IFERROR(__xludf.DUMMYFUNCTION("""COMPUTED_VALUE"""),"2nde")</f>
        <v>2nde</v>
      </c>
      <c r="H118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118" s="1" t="str">
        <f ca="1">IFERROR(__xludf.DUMMYFUNCTION("""COMPUTED_VALUE"""),"LVA Anglais")</f>
        <v>LVA Anglais</v>
      </c>
      <c r="J118" s="1" t="str">
        <f ca="1">IFERROR(__xludf.DUMMYFUNCTION("""COMPUTED_VALUE"""),"LVB Espagnol")</f>
        <v>LVB Espagnol</v>
      </c>
      <c r="K118" s="1"/>
      <c r="L118" s="1"/>
      <c r="M118" s="1"/>
      <c r="N118" s="1" t="str">
        <f ca="1">IFERROR(__xludf.DUMMYFUNCTION("""COMPUTED_VALUE"""),"Garçon")</f>
        <v>Garçon</v>
      </c>
      <c r="O118" s="1"/>
      <c r="P118" s="1" t="str">
        <f ca="1">IFERROR(__xludf.DUMMYFUNCTION("""COMPUTED_VALUE"""),"FRANCE")</f>
        <v>FRANCE</v>
      </c>
      <c r="Q118" s="1"/>
      <c r="R118" s="1" t="str">
        <f ca="1">IFERROR(__xludf.DUMMYFUNCTION("""COMPUTED_VALUE"""),"lorenzo.dasilva@lfjpsaly.org")</f>
        <v>lorenzo.dasilva@lfjpsaly.org</v>
      </c>
      <c r="S118" s="1" t="str">
        <f ca="1">IFERROR(__xludf.DUMMYFUNCTION("""COMPUTED_VALUE"""),"+221 77 678 33 90")</f>
        <v>+221 77 678 33 90</v>
      </c>
      <c r="T118" s="1" t="str">
        <f ca="1">IFERROR(__xludf.DUMMYFUNCTION("""COMPUTED_VALUE"""),"DA SILVA Sébastien")</f>
        <v>DA SILVA Sébastien</v>
      </c>
      <c r="U118" s="1"/>
      <c r="V118" s="1" t="str">
        <f ca="1">IFERROR(__xludf.DUMMYFUNCTION("""COMPUTED_VALUE"""),"pizzafastsaly@gmail.com")</f>
        <v>pizzafastsaly@gmail.com</v>
      </c>
      <c r="W118" s="1"/>
      <c r="X118" s="1" t="str">
        <f ca="1">IFERROR(__xludf.DUMMYFUNCTION("""COMPUTED_VALUE"""),"+221 77 678 33 90")</f>
        <v>+221 77 678 33 90</v>
      </c>
      <c r="Y118" s="1"/>
      <c r="Z118" s="1" t="str">
        <f ca="1">IFERROR(__xludf.DUMMYFUNCTION("""COMPUTED_VALUE"""),"+221 77 678 33 90")</f>
        <v>+221 77 678 33 90</v>
      </c>
      <c r="AA118" s="1"/>
      <c r="AB118" s="2">
        <f ca="1">IFERROR(__xludf.DUMMYFUNCTION("""COMPUTED_VALUE"""),45875)</f>
        <v>45875</v>
      </c>
      <c r="AC118" s="1"/>
      <c r="AD118" s="1" t="str">
        <f ca="1">IFERROR(__xludf.DUMMYFUNCTION("""COMPUTED_VALUE"""),"PERE")</f>
        <v>PERE</v>
      </c>
      <c r="AE118" s="1"/>
      <c r="AF118" s="1" t="str">
        <f ca="1">IFERROR(__xludf.DUMMYFUNCTION("""COMPUTED_VALUE"""),"FRANCE")</f>
        <v>FRANCE</v>
      </c>
      <c r="AG118" s="1"/>
      <c r="AH118" s="1"/>
      <c r="AI118" s="1"/>
      <c r="AJ118" s="1" t="str">
        <f ca="1">IFERROR(__xludf.DUMMYFUNCTION("""COMPUTED_VALUE"""),"U11830")</f>
        <v>U11830</v>
      </c>
      <c r="AK118" s="1" t="str">
        <f ca="1">IFERROR(__xludf.DUMMYFUNCTION("""COMPUTED_VALUE"""),"Divorcée")</f>
        <v>Divorcée</v>
      </c>
      <c r="AL118" s="1"/>
      <c r="AM118" s="1" t="str">
        <f ca="1">IFERROR(__xludf.DUMMYFUNCTION("""COMPUTED_VALUE"""),"U11830")</f>
        <v>U11830</v>
      </c>
    </row>
    <row r="119" spans="1:39" ht="13" x14ac:dyDescent="0.15">
      <c r="A119" s="1" t="str">
        <f ca="1">IFERROR(__xludf.DUMMYFUNCTION("""COMPUTED_VALUE"""),"DANCOING Louna")</f>
        <v>DANCOING Louna</v>
      </c>
      <c r="B119" s="1" t="str">
        <f ca="1">IFERROR(__xludf.DUMMYFUNCTION("""COMPUTED_VALUE"""),"DANCOING")</f>
        <v>DANCOING</v>
      </c>
      <c r="C119" s="1" t="str">
        <f ca="1">IFERROR(__xludf.DUMMYFUNCTION("""COMPUTED_VALUE"""),"Louna")</f>
        <v>Louna</v>
      </c>
      <c r="D119" s="1" t="str">
        <f ca="1">IFERROR(__xludf.DUMMYFUNCTION("""COMPUTED_VALUE"""),"1231E1")</f>
        <v>1231E1</v>
      </c>
      <c r="E119" s="2">
        <f ca="1">IFERROR(__xludf.DUMMYFUNCTION("""COMPUTED_VALUE"""),39453)</f>
        <v>39453</v>
      </c>
      <c r="F119" s="1" t="str">
        <f ca="1">IFERROR(__xludf.DUMMYFUNCTION("""COMPUTED_VALUE"""),"TERMINALE2")</f>
        <v>TERMINALE2</v>
      </c>
      <c r="G119" s="1" t="str">
        <f ca="1">IFERROR(__xludf.DUMMYFUNCTION("""COMPUTED_VALUE"""),"Terminale")</f>
        <v>Terminale</v>
      </c>
      <c r="H119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119" s="1" t="str">
        <f ca="1">IFERROR(__xludf.DUMMYFUNCTION("""COMPUTED_VALUE"""),"LVA Anglais")</f>
        <v>LVA Anglais</v>
      </c>
      <c r="J119" s="1" t="str">
        <f ca="1">IFERROR(__xludf.DUMMYFUNCTION("""COMPUTED_VALUE"""),"LVB Espagnol")</f>
        <v>LVB Espagnol</v>
      </c>
      <c r="K119" s="1"/>
      <c r="L119" s="1"/>
      <c r="M119" s="1" t="str">
        <f ca="1">IFERROR(__xludf.DUMMYFUNCTION("""COMPUTED_VALUE"""),"SPE LLCE AMC, SPE SVT")</f>
        <v>SPE LLCE AMC, SPE SVT</v>
      </c>
      <c r="N119" s="1" t="str">
        <f ca="1">IFERROR(__xludf.DUMMYFUNCTION("""COMPUTED_VALUE"""),"Fille")</f>
        <v>Fille</v>
      </c>
      <c r="O119" s="1"/>
      <c r="P119" s="1" t="str">
        <f ca="1">IFERROR(__xludf.DUMMYFUNCTION("""COMPUTED_VALUE"""),"FRANCE")</f>
        <v>FRANCE</v>
      </c>
      <c r="Q119" s="1" t="str">
        <f ca="1">IFERROR(__xludf.DUMMYFUNCTION("""COMPUTED_VALUE"""),"SENEGAL")</f>
        <v>SENEGAL</v>
      </c>
      <c r="R119" s="1" t="str">
        <f ca="1">IFERROR(__xludf.DUMMYFUNCTION("""COMPUTED_VALUE"""),"louna.dancoing@lfjpsaly.org")</f>
        <v>louna.dancoing@lfjpsaly.org</v>
      </c>
      <c r="S119" s="1"/>
      <c r="T119" s="1" t="str">
        <f ca="1">IFERROR(__xludf.DUMMYFUNCTION("""COMPUTED_VALUE"""),"DANCOING Ramatoulaye")</f>
        <v>DANCOING Ramatoulaye</v>
      </c>
      <c r="U119" s="1" t="str">
        <f ca="1">IFERROR(__xludf.DUMMYFUNCTION("""COMPUTED_VALUE"""),"DANCOING Christophe")</f>
        <v>DANCOING Christophe</v>
      </c>
      <c r="V119" s="1" t="str">
        <f ca="1">IFERROR(__xludf.DUMMYFUNCTION("""COMPUTED_VALUE"""),"rama.maisondesenfants@gmail.com")</f>
        <v>rama.maisondesenfants@gmail.com</v>
      </c>
      <c r="W119" s="1" t="str">
        <f ca="1">IFERROR(__xludf.DUMMYFUNCTION("""COMPUTED_VALUE"""),"info@atlantika-fish.com")</f>
        <v>info@atlantika-fish.com</v>
      </c>
      <c r="X119" s="1" t="str">
        <f ca="1">IFERROR(__xludf.DUMMYFUNCTION("""COMPUTED_VALUE"""),"+221 77 608 80 85")</f>
        <v>+221 77 608 80 85</v>
      </c>
      <c r="Y119" s="1" t="str">
        <f ca="1">IFERROR(__xludf.DUMMYFUNCTION("""COMPUTED_VALUE"""),"+221 77 633 02 73")</f>
        <v>+221 77 633 02 73</v>
      </c>
      <c r="Z119" s="1" t="str">
        <f ca="1">IFERROR(__xludf.DUMMYFUNCTION("""COMPUTED_VALUE"""),"+221")</f>
        <v>+221</v>
      </c>
      <c r="AA119" s="1" t="str">
        <f ca="1">IFERROR(__xludf.DUMMYFUNCTION("""COMPUTED_VALUE"""),"+221")</f>
        <v>+221</v>
      </c>
      <c r="AB119" s="2">
        <f ca="1">IFERROR(__xludf.DUMMYFUNCTION("""COMPUTED_VALUE"""),26655)</f>
        <v>26655</v>
      </c>
      <c r="AC119" s="2">
        <f ca="1">IFERROR(__xludf.DUMMYFUNCTION("""COMPUTED_VALUE"""),25208)</f>
        <v>25208</v>
      </c>
      <c r="AD119" s="1" t="str">
        <f ca="1">IFERROR(__xludf.DUMMYFUNCTION("""COMPUTED_VALUE"""),"MERE")</f>
        <v>MERE</v>
      </c>
      <c r="AE119" s="1" t="str">
        <f ca="1">IFERROR(__xludf.DUMMYFUNCTION("""COMPUTED_VALUE"""),"PERE")</f>
        <v>PERE</v>
      </c>
      <c r="AF119" s="1" t="str">
        <f ca="1">IFERROR(__xludf.DUMMYFUNCTION("""COMPUTED_VALUE"""),"SENEGAL")</f>
        <v>SENEGAL</v>
      </c>
      <c r="AG119" s="1" t="str">
        <f ca="1">IFERROR(__xludf.DUMMYFUNCTION("""COMPUTED_VALUE"""),"FRANCE")</f>
        <v>FRANCE</v>
      </c>
      <c r="AH119" s="1" t="str">
        <f ca="1">IFERROR(__xludf.DUMMYFUNCTION("""COMPUTED_VALUE"""),"FRANCE")</f>
        <v>FRANCE</v>
      </c>
      <c r="AI119" s="1" t="str">
        <f ca="1">IFERROR(__xludf.DUMMYFUNCTION("""COMPUTED_VALUE"""),"SENEGAL")</f>
        <v>SENEGAL</v>
      </c>
      <c r="AJ119" s="1" t="str">
        <f ca="1">IFERROR(__xludf.DUMMYFUNCTION("""COMPUTED_VALUE"""),"F1231")</f>
        <v>F1231</v>
      </c>
      <c r="AK119" s="1" t="str">
        <f ca="1">IFERROR(__xludf.DUMMYFUNCTION("""COMPUTED_VALUE"""),"Marié(e)")</f>
        <v>Marié(e)</v>
      </c>
      <c r="AL119" s="1" t="str">
        <f ca="1">IFERROR(__xludf.DUMMYFUNCTION("""COMPUTED_VALUE"""),"Marié(e)")</f>
        <v>Marié(e)</v>
      </c>
      <c r="AM119" s="1" t="str">
        <f ca="1">IFERROR(__xludf.DUMMYFUNCTION("""COMPUTED_VALUE"""),"F1231")</f>
        <v>F1231</v>
      </c>
    </row>
    <row r="120" spans="1:39" ht="13" x14ac:dyDescent="0.15">
      <c r="A120" s="1" t="str">
        <f ca="1">IFERROR(__xludf.DUMMYFUNCTION("""COMPUTED_VALUE"""),"DANFAKHA Bineta")</f>
        <v>DANFAKHA Bineta</v>
      </c>
      <c r="B120" s="1" t="str">
        <f ca="1">IFERROR(__xludf.DUMMYFUNCTION("""COMPUTED_VALUE"""),"DANFAKHA")</f>
        <v>DANFAKHA</v>
      </c>
      <c r="C120" s="1" t="str">
        <f ca="1">IFERROR(__xludf.DUMMYFUNCTION("""COMPUTED_VALUE"""),"Bineta")</f>
        <v>Bineta</v>
      </c>
      <c r="D120" s="1" t="str">
        <f ca="1">IFERROR(__xludf.DUMMYFUNCTION("""COMPUTED_VALUE"""),"11879S2729")</f>
        <v>11879S2729</v>
      </c>
      <c r="E120" s="2">
        <f ca="1">IFERROR(__xludf.DUMMYFUNCTION("""COMPUTED_VALUE"""),43110)</f>
        <v>43110</v>
      </c>
      <c r="F120" s="1" t="str">
        <f ca="1">IFERROR(__xludf.DUMMYFUNCTION("""COMPUTED_VALUE"""),"CE1A")</f>
        <v>CE1A</v>
      </c>
      <c r="G120" s="1" t="str">
        <f ca="1">IFERROR(__xludf.DUMMYFUNCTION("""COMPUTED_VALUE"""),"CE1")</f>
        <v>CE1</v>
      </c>
      <c r="H120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120" s="1"/>
      <c r="J120" s="1"/>
      <c r="K120" s="1"/>
      <c r="L120" s="1"/>
      <c r="M120" s="1"/>
      <c r="N120" s="1" t="str">
        <f ca="1">IFERROR(__xludf.DUMMYFUNCTION("""COMPUTED_VALUE"""),"Fille")</f>
        <v>Fille</v>
      </c>
      <c r="O120" s="1"/>
      <c r="P120" s="1" t="str">
        <f ca="1">IFERROR(__xludf.DUMMYFUNCTION("""COMPUTED_VALUE"""),"FRANCE")</f>
        <v>FRANCE</v>
      </c>
      <c r="Q120" s="1" t="str">
        <f ca="1">IFERROR(__xludf.DUMMYFUNCTION("""COMPUTED_VALUE"""),"SENEGAL")</f>
        <v>SENEGAL</v>
      </c>
      <c r="R120" s="1"/>
      <c r="S120" s="1" t="str">
        <f ca="1">IFERROR(__xludf.DUMMYFUNCTION("""COMPUTED_VALUE"""),"+221")</f>
        <v>+221</v>
      </c>
      <c r="T120" s="1" t="str">
        <f ca="1">IFERROR(__xludf.DUMMYFUNCTION("""COMPUTED_VALUE"""),"DANFAKHA Mame")</f>
        <v>DANFAKHA Mame</v>
      </c>
      <c r="U120" s="1" t="str">
        <f ca="1">IFERROR(__xludf.DUMMYFUNCTION("""COMPUTED_VALUE"""),"SOW Fatoumata")</f>
        <v>SOW Fatoumata</v>
      </c>
      <c r="V120" s="1" t="str">
        <f ca="1">IFERROR(__xludf.DUMMYFUNCTION("""COMPUTED_VALUE"""),"mamour85@gmail.com")</f>
        <v>mamour85@gmail.com</v>
      </c>
      <c r="W120" s="1" t="str">
        <f ca="1">IFERROR(__xludf.DUMMYFUNCTION("""COMPUTED_VALUE"""),"mamour.danfakha@gmail.com")</f>
        <v>mamour.danfakha@gmail.com</v>
      </c>
      <c r="X120" s="1" t="str">
        <f ca="1">IFERROR(__xludf.DUMMYFUNCTION("""COMPUTED_VALUE"""),"+221 77 095 16 17")</f>
        <v>+221 77 095 16 17</v>
      </c>
      <c r="Y120" s="1" t="str">
        <f ca="1">IFERROR(__xludf.DUMMYFUNCTION("""COMPUTED_VALUE"""),"+221 78 164 02 24")</f>
        <v>+221 78 164 02 24</v>
      </c>
      <c r="Z120" s="1" t="str">
        <f ca="1">IFERROR(__xludf.DUMMYFUNCTION("""COMPUTED_VALUE"""),"+33 6 24 52 14 27")</f>
        <v>+33 6 24 52 14 27</v>
      </c>
      <c r="AA120" s="1" t="str">
        <f ca="1">IFERROR(__xludf.DUMMYFUNCTION("""COMPUTED_VALUE"""),"+221 78 164 02 24")</f>
        <v>+221 78 164 02 24</v>
      </c>
      <c r="AB120" s="2">
        <f ca="1">IFERROR(__xludf.DUMMYFUNCTION("""COMPUTED_VALUE"""),31087)</f>
        <v>31087</v>
      </c>
      <c r="AC120" s="2">
        <f ca="1">IFERROR(__xludf.DUMMYFUNCTION("""COMPUTED_VALUE"""),32814)</f>
        <v>32814</v>
      </c>
      <c r="AD120" s="1" t="str">
        <f ca="1">IFERROR(__xludf.DUMMYFUNCTION("""COMPUTED_VALUE"""),"PERE")</f>
        <v>PERE</v>
      </c>
      <c r="AE120" s="1" t="str">
        <f ca="1">IFERROR(__xludf.DUMMYFUNCTION("""COMPUTED_VALUE"""),"MERE")</f>
        <v>MERE</v>
      </c>
      <c r="AF120" s="1" t="str">
        <f ca="1">IFERROR(__xludf.DUMMYFUNCTION("""COMPUTED_VALUE"""),"FRANCE")</f>
        <v>FRANCE</v>
      </c>
      <c r="AG120" s="1" t="str">
        <f ca="1">IFERROR(__xludf.DUMMYFUNCTION("""COMPUTED_VALUE"""),"SENEGAL")</f>
        <v>SENEGAL</v>
      </c>
      <c r="AH120" s="1" t="str">
        <f ca="1">IFERROR(__xludf.DUMMYFUNCTION("""COMPUTED_VALUE"""),"SENEGAL")</f>
        <v>SENEGAL</v>
      </c>
      <c r="AI120" s="1"/>
      <c r="AJ120" s="1" t="str">
        <f ca="1">IFERROR(__xludf.DUMMYFUNCTION("""COMPUTED_VALUE"""),"U11879")</f>
        <v>U11879</v>
      </c>
      <c r="AK120" s="1" t="str">
        <f ca="1">IFERROR(__xludf.DUMMYFUNCTION("""COMPUTED_VALUE"""),"Marié(e)")</f>
        <v>Marié(e)</v>
      </c>
      <c r="AL120" s="1" t="str">
        <f ca="1">IFERROR(__xludf.DUMMYFUNCTION("""COMPUTED_VALUE"""),"Marié(e)")</f>
        <v>Marié(e)</v>
      </c>
      <c r="AM120" s="1" t="str">
        <f ca="1">IFERROR(__xludf.DUMMYFUNCTION("""COMPUTED_VALUE"""),"U11879")</f>
        <v>U11879</v>
      </c>
    </row>
    <row r="121" spans="1:39" ht="13" x14ac:dyDescent="0.15">
      <c r="A121" s="1" t="str">
        <f ca="1">IFERROR(__xludf.DUMMYFUNCTION("""COMPUTED_VALUE"""),"DARWICHE Iris  Marie  Raymonde")</f>
        <v>DARWICHE Iris  Marie  Raymonde</v>
      </c>
      <c r="B121" s="1" t="str">
        <f ca="1">IFERROR(__xludf.DUMMYFUNCTION("""COMPUTED_VALUE"""),"DARWICHE")</f>
        <v>DARWICHE</v>
      </c>
      <c r="C121" s="1" t="str">
        <f ca="1">IFERROR(__xludf.DUMMYFUNCTION("""COMPUTED_VALUE"""),"Iris  Marie  Raymonde")</f>
        <v>Iris  Marie  Raymonde</v>
      </c>
      <c r="D121" s="1" t="str">
        <f ca="1">IFERROR(__xludf.DUMMYFUNCTION("""COMPUTED_VALUE"""),"1233E1")</f>
        <v>1233E1</v>
      </c>
      <c r="E121" s="2">
        <f ca="1">IFERROR(__xludf.DUMMYFUNCTION("""COMPUTED_VALUE"""),40064)</f>
        <v>40064</v>
      </c>
      <c r="F121" s="1" t="str">
        <f ca="1">IFERROR(__xludf.DUMMYFUNCTION("""COMPUTED_VALUE"""),"1ERE1")</f>
        <v>1ERE1</v>
      </c>
      <c r="G121" s="1" t="str">
        <f ca="1">IFERROR(__xludf.DUMMYFUNCTION("""COMPUTED_VALUE"""),"1ère")</f>
        <v>1ère</v>
      </c>
      <c r="H121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121" s="1" t="str">
        <f ca="1">IFERROR(__xludf.DUMMYFUNCTION("""COMPUTED_VALUE"""),"LVA Anglais")</f>
        <v>LVA Anglais</v>
      </c>
      <c r="J121" s="1" t="str">
        <f ca="1">IFERROR(__xludf.DUMMYFUNCTION("""COMPUTED_VALUE"""),"LVB Espagnol")</f>
        <v>LVB Espagnol</v>
      </c>
      <c r="K121" s="1"/>
      <c r="L121" s="1"/>
      <c r="M121" s="1" t="str">
        <f ca="1">IFERROR(__xludf.DUMMYFUNCTION("""COMPUTED_VALUE"""),"SPE MATHS, SPE SPC, SPE SVT")</f>
        <v>SPE MATHS, SPE SPC, SPE SVT</v>
      </c>
      <c r="N121" s="1" t="str">
        <f ca="1">IFERROR(__xludf.DUMMYFUNCTION("""COMPUTED_VALUE"""),"Fille")</f>
        <v>Fille</v>
      </c>
      <c r="O121" s="1"/>
      <c r="P121" s="1" t="str">
        <f ca="1">IFERROR(__xludf.DUMMYFUNCTION("""COMPUTED_VALUE"""),"FRANCE")</f>
        <v>FRANCE</v>
      </c>
      <c r="Q121" s="1"/>
      <c r="R121" s="1" t="str">
        <f ca="1">IFERROR(__xludf.DUMMYFUNCTION("""COMPUTED_VALUE"""),"iris.darwiche@lfjpsaly.org")</f>
        <v>iris.darwiche@lfjpsaly.org</v>
      </c>
      <c r="S121" s="1"/>
      <c r="T121" s="1" t="str">
        <f ca="1">IFERROR(__xludf.DUMMYFUNCTION("""COMPUTED_VALUE"""),"DARWICHE Randa")</f>
        <v>DARWICHE Randa</v>
      </c>
      <c r="U121" s="1"/>
      <c r="V121" s="1" t="str">
        <f ca="1">IFERROR(__xludf.DUMMYFUNCTION("""COMPUTED_VALUE"""),"randa.darwiche@gmail.com")</f>
        <v>randa.darwiche@gmail.com</v>
      </c>
      <c r="W121" s="1"/>
      <c r="X121" s="1" t="str">
        <f ca="1">IFERROR(__xludf.DUMMYFUNCTION("""COMPUTED_VALUE"""),"+221 77 116 24 24")</f>
        <v>+221 77 116 24 24</v>
      </c>
      <c r="Y121" s="1"/>
      <c r="Z121" s="1" t="str">
        <f ca="1">IFERROR(__xludf.DUMMYFUNCTION("""COMPUTED_VALUE"""),"+221")</f>
        <v>+221</v>
      </c>
      <c r="AA121" s="1"/>
      <c r="AB121" s="2">
        <f ca="1">IFERROR(__xludf.DUMMYFUNCTION("""COMPUTED_VALUE"""),28394)</f>
        <v>28394</v>
      </c>
      <c r="AC121" s="1"/>
      <c r="AD121" s="1" t="str">
        <f ca="1">IFERROR(__xludf.DUMMYFUNCTION("""COMPUTED_VALUE"""),"MERE")</f>
        <v>MERE</v>
      </c>
      <c r="AE121" s="1"/>
      <c r="AF121" s="1" t="str">
        <f ca="1">IFERROR(__xludf.DUMMYFUNCTION("""COMPUTED_VALUE"""),"FRANCE")</f>
        <v>FRANCE</v>
      </c>
      <c r="AG121" s="1"/>
      <c r="AH121" s="1"/>
      <c r="AI121" s="1"/>
      <c r="AJ121" s="1" t="str">
        <f ca="1">IFERROR(__xludf.DUMMYFUNCTION("""COMPUTED_VALUE"""),"F1233")</f>
        <v>F1233</v>
      </c>
      <c r="AK121" s="1" t="str">
        <f ca="1">IFERROR(__xludf.DUMMYFUNCTION("""COMPUTED_VALUE"""),"Célibataire")</f>
        <v>Célibataire</v>
      </c>
      <c r="AL121" s="1"/>
      <c r="AM121" s="1" t="str">
        <f ca="1">IFERROR(__xludf.DUMMYFUNCTION("""COMPUTED_VALUE"""),"F1233")</f>
        <v>F1233</v>
      </c>
    </row>
    <row r="122" spans="1:39" ht="13" x14ac:dyDescent="0.15">
      <c r="A122" s="1" t="str">
        <f ca="1">IFERROR(__xludf.DUMMYFUNCTION("""COMPUTED_VALUE"""),"DAVID Hoel")</f>
        <v>DAVID Hoel</v>
      </c>
      <c r="B122" s="1" t="str">
        <f ca="1">IFERROR(__xludf.DUMMYFUNCTION("""COMPUTED_VALUE"""),"DAVID")</f>
        <v>DAVID</v>
      </c>
      <c r="C122" s="1" t="str">
        <f ca="1">IFERROR(__xludf.DUMMYFUNCTION("""COMPUTED_VALUE"""),"Hoel")</f>
        <v>Hoel</v>
      </c>
      <c r="D122" s="1" t="str">
        <f ca="1">IFERROR(__xludf.DUMMYFUNCTION("""COMPUTED_VALUE"""),"1234E1")</f>
        <v>1234E1</v>
      </c>
      <c r="E122" s="2">
        <f ca="1">IFERROR(__xludf.DUMMYFUNCTION("""COMPUTED_VALUE"""),39893)</f>
        <v>39893</v>
      </c>
      <c r="F122" s="1" t="str">
        <f ca="1">IFERROR(__xludf.DUMMYFUNCTION("""COMPUTED_VALUE"""),"1ERE1")</f>
        <v>1ERE1</v>
      </c>
      <c r="G122" s="1" t="str">
        <f ca="1">IFERROR(__xludf.DUMMYFUNCTION("""COMPUTED_VALUE"""),"1ère")</f>
        <v>1ère</v>
      </c>
      <c r="H122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122" s="1" t="str">
        <f ca="1">IFERROR(__xludf.DUMMYFUNCTION("""COMPUTED_VALUE"""),"LVA Anglais")</f>
        <v>LVA Anglais</v>
      </c>
      <c r="J122" s="1" t="str">
        <f ca="1">IFERROR(__xludf.DUMMYFUNCTION("""COMPUTED_VALUE"""),"LVB Espagnol")</f>
        <v>LVB Espagnol</v>
      </c>
      <c r="K122" s="1"/>
      <c r="L122" s="1"/>
      <c r="M122" s="1" t="str">
        <f ca="1">IFERROR(__xludf.DUMMYFUNCTION("""COMPUTED_VALUE"""),"SPE HGGSP, SPE LLCE AMC, SPE SES")</f>
        <v>SPE HGGSP, SPE LLCE AMC, SPE SES</v>
      </c>
      <c r="N122" s="1" t="str">
        <f ca="1">IFERROR(__xludf.DUMMYFUNCTION("""COMPUTED_VALUE"""),"Garçon")</f>
        <v>Garçon</v>
      </c>
      <c r="O122" s="1"/>
      <c r="P122" s="1" t="str">
        <f ca="1">IFERROR(__xludf.DUMMYFUNCTION("""COMPUTED_VALUE"""),"FRANCE")</f>
        <v>FRANCE</v>
      </c>
      <c r="Q122" s="1"/>
      <c r="R122" s="1" t="str">
        <f ca="1">IFERROR(__xludf.DUMMYFUNCTION("""COMPUTED_VALUE"""),"hoel.david@lfjpsaly.org")</f>
        <v>hoel.david@lfjpsaly.org</v>
      </c>
      <c r="S122" s="1"/>
      <c r="T122" s="1" t="str">
        <f ca="1">IFERROR(__xludf.DUMMYFUNCTION("""COMPUTED_VALUE"""),"DAVID Sylvana")</f>
        <v>DAVID Sylvana</v>
      </c>
      <c r="U122" s="1" t="str">
        <f ca="1">IFERROR(__xludf.DUMMYFUNCTION("""COMPUTED_VALUE"""),"DAVID Vincent")</f>
        <v>DAVID Vincent</v>
      </c>
      <c r="V122" s="1" t="str">
        <f ca="1">IFERROR(__xludf.DUMMYFUNCTION("""COMPUTED_VALUE"""),"csylvana@hotmail.com")</f>
        <v>csylvana@hotmail.com</v>
      </c>
      <c r="W122" s="1" t="str">
        <f ca="1">IFERROR(__xludf.DUMMYFUNCTION("""COMPUTED_VALUE"""),"vincent-david@hotmail.fr")</f>
        <v>vincent-david@hotmail.fr</v>
      </c>
      <c r="X122" s="1" t="str">
        <f ca="1">IFERROR(__xludf.DUMMYFUNCTION("""COMPUTED_VALUE"""),"+221 76 920 42 34")</f>
        <v>+221 76 920 42 34</v>
      </c>
      <c r="Y122" s="1" t="str">
        <f ca="1">IFERROR(__xludf.DUMMYFUNCTION("""COMPUTED_VALUE"""),"+221 78 367 41 69")</f>
        <v>+221 78 367 41 69</v>
      </c>
      <c r="Z122" s="1" t="str">
        <f ca="1">IFERROR(__xludf.DUMMYFUNCTION("""COMPUTED_VALUE"""),"+221")</f>
        <v>+221</v>
      </c>
      <c r="AA122" s="1" t="str">
        <f ca="1">IFERROR(__xludf.DUMMYFUNCTION("""COMPUTED_VALUE"""),"+221")</f>
        <v>+221</v>
      </c>
      <c r="AB122" s="2">
        <f ca="1">IFERROR(__xludf.DUMMYFUNCTION("""COMPUTED_VALUE"""),29381)</f>
        <v>29381</v>
      </c>
      <c r="AC122" s="2">
        <f ca="1">IFERROR(__xludf.DUMMYFUNCTION("""COMPUTED_VALUE"""),28535)</f>
        <v>28535</v>
      </c>
      <c r="AD122" s="1" t="str">
        <f ca="1">IFERROR(__xludf.DUMMYFUNCTION("""COMPUTED_VALUE"""),"MERE")</f>
        <v>MERE</v>
      </c>
      <c r="AE122" s="1" t="str">
        <f ca="1">IFERROR(__xludf.DUMMYFUNCTION("""COMPUTED_VALUE"""),"PERE")</f>
        <v>PERE</v>
      </c>
      <c r="AF122" s="1" t="str">
        <f ca="1">IFERROR(__xludf.DUMMYFUNCTION("""COMPUTED_VALUE"""),"FRANCE")</f>
        <v>FRANCE</v>
      </c>
      <c r="AG122" s="1" t="str">
        <f ca="1">IFERROR(__xludf.DUMMYFUNCTION("""COMPUTED_VALUE"""),"FRANCE")</f>
        <v>FRANCE</v>
      </c>
      <c r="AH122" s="1"/>
      <c r="AI122" s="1"/>
      <c r="AJ122" s="1" t="str">
        <f ca="1">IFERROR(__xludf.DUMMYFUNCTION("""COMPUTED_VALUE"""),"F1234")</f>
        <v>F1234</v>
      </c>
      <c r="AK122" s="1" t="str">
        <f ca="1">IFERROR(__xludf.DUMMYFUNCTION("""COMPUTED_VALUE"""),"Marié(e)")</f>
        <v>Marié(e)</v>
      </c>
      <c r="AL122" s="1" t="str">
        <f ca="1">IFERROR(__xludf.DUMMYFUNCTION("""COMPUTED_VALUE"""),"Marié(e)")</f>
        <v>Marié(e)</v>
      </c>
      <c r="AM122" s="1" t="str">
        <f ca="1">IFERROR(__xludf.DUMMYFUNCTION("""COMPUTED_VALUE"""),"F1234")</f>
        <v>F1234</v>
      </c>
    </row>
    <row r="123" spans="1:39" ht="13" x14ac:dyDescent="0.15">
      <c r="A123" s="1" t="str">
        <f ca="1">IFERROR(__xludf.DUMMYFUNCTION("""COMPUTED_VALUE"""),"DAVID Ilhan")</f>
        <v>DAVID Ilhan</v>
      </c>
      <c r="B123" s="1" t="str">
        <f ca="1">IFERROR(__xludf.DUMMYFUNCTION("""COMPUTED_VALUE"""),"DAVID")</f>
        <v>DAVID</v>
      </c>
      <c r="C123" s="1" t="str">
        <f ca="1">IFERROR(__xludf.DUMMYFUNCTION("""COMPUTED_VALUE"""),"Ilhan")</f>
        <v>Ilhan</v>
      </c>
      <c r="D123" s="1" t="str">
        <f ca="1">IFERROR(__xludf.DUMMYFUNCTION("""COMPUTED_VALUE"""),"1234E2")</f>
        <v>1234E2</v>
      </c>
      <c r="E123" s="2">
        <f ca="1">IFERROR(__xludf.DUMMYFUNCTION("""COMPUTED_VALUE"""),41927)</f>
        <v>41927</v>
      </c>
      <c r="F123" s="1" t="str">
        <f ca="1">IFERROR(__xludf.DUMMYFUNCTION("""COMPUTED_VALUE"""),"6EME1")</f>
        <v>6EME1</v>
      </c>
      <c r="G123" s="1" t="str">
        <f ca="1">IFERROR(__xludf.DUMMYFUNCTION("""COMPUTED_VALUE"""),"6ème")</f>
        <v>6ème</v>
      </c>
      <c r="H123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123" s="1" t="str">
        <f ca="1">IFERROR(__xludf.DUMMYFUNCTION("""COMPUTED_VALUE"""),"LVA Anglais")</f>
        <v>LVA Anglais</v>
      </c>
      <c r="J123" s="1" t="str">
        <f ca="1">IFERROR(__xludf.DUMMYFUNCTION("""COMPUTED_VALUE"""),"LVB Espagnol")</f>
        <v>LVB Espagnol</v>
      </c>
      <c r="K123" s="1"/>
      <c r="L123" s="1"/>
      <c r="M123" s="1"/>
      <c r="N123" s="1" t="str">
        <f ca="1">IFERROR(__xludf.DUMMYFUNCTION("""COMPUTED_VALUE"""),"Garçon")</f>
        <v>Garçon</v>
      </c>
      <c r="O123" s="1"/>
      <c r="P123" s="1" t="str">
        <f ca="1">IFERROR(__xludf.DUMMYFUNCTION("""COMPUTED_VALUE"""),"FRANCE")</f>
        <v>FRANCE</v>
      </c>
      <c r="Q123" s="1"/>
      <c r="R123" s="1" t="str">
        <f ca="1">IFERROR(__xludf.DUMMYFUNCTION("""COMPUTED_VALUE"""),"ilhan.david@lfjpsaly.org")</f>
        <v>ilhan.david@lfjpsaly.org</v>
      </c>
      <c r="S123" s="1"/>
      <c r="T123" s="1" t="str">
        <f ca="1">IFERROR(__xludf.DUMMYFUNCTION("""COMPUTED_VALUE"""),"DAVID Sylvana")</f>
        <v>DAVID Sylvana</v>
      </c>
      <c r="U123" s="1" t="str">
        <f ca="1">IFERROR(__xludf.DUMMYFUNCTION("""COMPUTED_VALUE"""),"DAVID Vincent")</f>
        <v>DAVID Vincent</v>
      </c>
      <c r="V123" s="1" t="str">
        <f ca="1">IFERROR(__xludf.DUMMYFUNCTION("""COMPUTED_VALUE"""),"csylvana@hotmail.com")</f>
        <v>csylvana@hotmail.com</v>
      </c>
      <c r="W123" s="1" t="str">
        <f ca="1">IFERROR(__xludf.DUMMYFUNCTION("""COMPUTED_VALUE"""),"vincent-david@hotmail.fr")</f>
        <v>vincent-david@hotmail.fr</v>
      </c>
      <c r="X123" s="1" t="str">
        <f ca="1">IFERROR(__xludf.DUMMYFUNCTION("""COMPUTED_VALUE"""),"+221 76 920 42 34")</f>
        <v>+221 76 920 42 34</v>
      </c>
      <c r="Y123" s="1" t="str">
        <f ca="1">IFERROR(__xludf.DUMMYFUNCTION("""COMPUTED_VALUE"""),"+221 78 367 41 69")</f>
        <v>+221 78 367 41 69</v>
      </c>
      <c r="Z123" s="1" t="str">
        <f ca="1">IFERROR(__xludf.DUMMYFUNCTION("""COMPUTED_VALUE"""),"+221")</f>
        <v>+221</v>
      </c>
      <c r="AA123" s="1" t="str">
        <f ca="1">IFERROR(__xludf.DUMMYFUNCTION("""COMPUTED_VALUE"""),"+221")</f>
        <v>+221</v>
      </c>
      <c r="AB123" s="2">
        <f ca="1">IFERROR(__xludf.DUMMYFUNCTION("""COMPUTED_VALUE"""),29381)</f>
        <v>29381</v>
      </c>
      <c r="AC123" s="2">
        <f ca="1">IFERROR(__xludf.DUMMYFUNCTION("""COMPUTED_VALUE"""),28535)</f>
        <v>28535</v>
      </c>
      <c r="AD123" s="1" t="str">
        <f ca="1">IFERROR(__xludf.DUMMYFUNCTION("""COMPUTED_VALUE"""),"MERE")</f>
        <v>MERE</v>
      </c>
      <c r="AE123" s="1" t="str">
        <f ca="1">IFERROR(__xludf.DUMMYFUNCTION("""COMPUTED_VALUE"""),"PERE")</f>
        <v>PERE</v>
      </c>
      <c r="AF123" s="1" t="str">
        <f ca="1">IFERROR(__xludf.DUMMYFUNCTION("""COMPUTED_VALUE"""),"FRANCE")</f>
        <v>FRANCE</v>
      </c>
      <c r="AG123" s="1" t="str">
        <f ca="1">IFERROR(__xludf.DUMMYFUNCTION("""COMPUTED_VALUE"""),"FRANCE")</f>
        <v>FRANCE</v>
      </c>
      <c r="AH123" s="1"/>
      <c r="AI123" s="1"/>
      <c r="AJ123" s="1" t="str">
        <f ca="1">IFERROR(__xludf.DUMMYFUNCTION("""COMPUTED_VALUE"""),"F1234")</f>
        <v>F1234</v>
      </c>
      <c r="AK123" s="1" t="str">
        <f ca="1">IFERROR(__xludf.DUMMYFUNCTION("""COMPUTED_VALUE"""),"Marié(e)")</f>
        <v>Marié(e)</v>
      </c>
      <c r="AL123" s="1" t="str">
        <f ca="1">IFERROR(__xludf.DUMMYFUNCTION("""COMPUTED_VALUE"""),"Marié(e)")</f>
        <v>Marié(e)</v>
      </c>
      <c r="AM123" s="1" t="str">
        <f ca="1">IFERROR(__xludf.DUMMYFUNCTION("""COMPUTED_VALUE"""),"F1234")</f>
        <v>F1234</v>
      </c>
    </row>
    <row r="124" spans="1:39" ht="13" x14ac:dyDescent="0.15">
      <c r="A124" s="1" t="str">
        <f ca="1">IFERROR(__xludf.DUMMYFUNCTION("""COMPUTED_VALUE"""),"DE GAIGNERON JOLLIMON DE MAROLLES Clovis")</f>
        <v>DE GAIGNERON JOLLIMON DE MAROLLES Clovis</v>
      </c>
      <c r="B124" s="1" t="str">
        <f ca="1">IFERROR(__xludf.DUMMYFUNCTION("""COMPUTED_VALUE"""),"DE GAIGNERON JOLLIMON DE MAROLLES")</f>
        <v>DE GAIGNERON JOLLIMON DE MAROLLES</v>
      </c>
      <c r="C124" s="1" t="str">
        <f ca="1">IFERROR(__xludf.DUMMYFUNCTION("""COMPUTED_VALUE"""),"Clovis")</f>
        <v>Clovis</v>
      </c>
      <c r="D124" s="1" t="str">
        <f ca="1">IFERROR(__xludf.DUMMYFUNCTION("""COMPUTED_VALUE"""),"1235E1")</f>
        <v>1235E1</v>
      </c>
      <c r="E124" s="2">
        <f ca="1">IFERROR(__xludf.DUMMYFUNCTION("""COMPUTED_VALUE"""),39902)</f>
        <v>39902</v>
      </c>
      <c r="F124" s="1" t="str">
        <f ca="1">IFERROR(__xludf.DUMMYFUNCTION("""COMPUTED_VALUE"""),"1ERE1")</f>
        <v>1ERE1</v>
      </c>
      <c r="G124" s="1" t="str">
        <f ca="1">IFERROR(__xludf.DUMMYFUNCTION("""COMPUTED_VALUE"""),"1ère")</f>
        <v>1ère</v>
      </c>
      <c r="H124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124" s="1" t="str">
        <f ca="1">IFERROR(__xludf.DUMMYFUNCTION("""COMPUTED_VALUE"""),"LVA Anglais")</f>
        <v>LVA Anglais</v>
      </c>
      <c r="J124" s="1" t="str">
        <f ca="1">IFERROR(__xludf.DUMMYFUNCTION("""COMPUTED_VALUE"""),"LVB Espagnol")</f>
        <v>LVB Espagnol</v>
      </c>
      <c r="K124" s="1"/>
      <c r="L124" s="1"/>
      <c r="M124" s="1" t="str">
        <f ca="1">IFERROR(__xludf.DUMMYFUNCTION("""COMPUTED_VALUE"""),"SPE MATHS, SPE SES, SPE SPC")</f>
        <v>SPE MATHS, SPE SES, SPE SPC</v>
      </c>
      <c r="N124" s="1" t="str">
        <f ca="1">IFERROR(__xludf.DUMMYFUNCTION("""COMPUTED_VALUE"""),"Garçon")</f>
        <v>Garçon</v>
      </c>
      <c r="O124" s="1"/>
      <c r="P124" s="1" t="str">
        <f ca="1">IFERROR(__xludf.DUMMYFUNCTION("""COMPUTED_VALUE"""),"FRANCE")</f>
        <v>FRANCE</v>
      </c>
      <c r="Q124" s="1"/>
      <c r="R124" s="1" t="str">
        <f ca="1">IFERROR(__xludf.DUMMYFUNCTION("""COMPUTED_VALUE"""),"clovis.degaigneron@lfjpsaly.org")</f>
        <v>clovis.degaigneron@lfjpsaly.org</v>
      </c>
      <c r="S124" s="1" t="str">
        <f ca="1">IFERROR(__xludf.DUMMYFUNCTION("""COMPUTED_VALUE"""),"+221 78 951 65 13")</f>
        <v>+221 78 951 65 13</v>
      </c>
      <c r="T124" s="1" t="str">
        <f ca="1">IFERROR(__xludf.DUMMYFUNCTION("""COMPUTED_VALUE"""),"DE MAROLLES Dorine")</f>
        <v>DE MAROLLES Dorine</v>
      </c>
      <c r="U124" s="1" t="str">
        <f ca="1">IFERROR(__xludf.DUMMYFUNCTION("""COMPUTED_VALUE"""),"DE GAIGNERON JOLLIMON DE MAROLLES Aymeric")</f>
        <v>DE GAIGNERON JOLLIMON DE MAROLLES Aymeric</v>
      </c>
      <c r="V124" s="1" t="str">
        <f ca="1">IFERROR(__xludf.DUMMYFUNCTION("""COMPUTED_VALUE"""),"adp2ma@gmail.com")</f>
        <v>adp2ma@gmail.com</v>
      </c>
      <c r="W124" s="1" t="str">
        <f ca="1">IFERROR(__xludf.DUMMYFUNCTION("""COMPUTED_VALUE"""),"adp2ma@gmail.com")</f>
        <v>adp2ma@gmail.com</v>
      </c>
      <c r="X124" s="1" t="str">
        <f ca="1">IFERROR(__xludf.DUMMYFUNCTION("""COMPUTED_VALUE"""),"+221 78 951 65 13")</f>
        <v>+221 78 951 65 13</v>
      </c>
      <c r="Y124" s="1" t="str">
        <f ca="1">IFERROR(__xludf.DUMMYFUNCTION("""COMPUTED_VALUE"""),"+221 77 218 83 49")</f>
        <v>+221 77 218 83 49</v>
      </c>
      <c r="Z124" s="1" t="str">
        <f ca="1">IFERROR(__xludf.DUMMYFUNCTION("""COMPUTED_VALUE"""),"+221")</f>
        <v>+221</v>
      </c>
      <c r="AA124" s="1" t="str">
        <f ca="1">IFERROR(__xludf.DUMMYFUNCTION("""COMPUTED_VALUE"""),"+221")</f>
        <v>+221</v>
      </c>
      <c r="AB124" s="2">
        <f ca="1">IFERROR(__xludf.DUMMYFUNCTION("""COMPUTED_VALUE"""),27931)</f>
        <v>27931</v>
      </c>
      <c r="AC124" s="2">
        <f ca="1">IFERROR(__xludf.DUMMYFUNCTION("""COMPUTED_VALUE"""),25493)</f>
        <v>25493</v>
      </c>
      <c r="AD124" s="1" t="str">
        <f ca="1">IFERROR(__xludf.DUMMYFUNCTION("""COMPUTED_VALUE"""),"MERE")</f>
        <v>MERE</v>
      </c>
      <c r="AE124" s="1" t="str">
        <f ca="1">IFERROR(__xludf.DUMMYFUNCTION("""COMPUTED_VALUE"""),"PERE")</f>
        <v>PERE</v>
      </c>
      <c r="AF124" s="1" t="str">
        <f ca="1">IFERROR(__xludf.DUMMYFUNCTION("""COMPUTED_VALUE"""),"FRANCE")</f>
        <v>FRANCE</v>
      </c>
      <c r="AG124" s="1" t="str">
        <f ca="1">IFERROR(__xludf.DUMMYFUNCTION("""COMPUTED_VALUE"""),"FRANCE")</f>
        <v>FRANCE</v>
      </c>
      <c r="AH124" s="1"/>
      <c r="AI124" s="1"/>
      <c r="AJ124" s="1" t="str">
        <f ca="1">IFERROR(__xludf.DUMMYFUNCTION("""COMPUTED_VALUE"""),"F1235")</f>
        <v>F1235</v>
      </c>
      <c r="AK124" s="1" t="str">
        <f ca="1">IFERROR(__xludf.DUMMYFUNCTION("""COMPUTED_VALUE"""),"Marié(e)")</f>
        <v>Marié(e)</v>
      </c>
      <c r="AL124" s="1" t="str">
        <f ca="1">IFERROR(__xludf.DUMMYFUNCTION("""COMPUTED_VALUE"""),"Marié(e)")</f>
        <v>Marié(e)</v>
      </c>
      <c r="AM124" s="1" t="str">
        <f ca="1">IFERROR(__xludf.DUMMYFUNCTION("""COMPUTED_VALUE"""),"F1235")</f>
        <v>F1235</v>
      </c>
    </row>
    <row r="125" spans="1:39" ht="13" x14ac:dyDescent="0.15">
      <c r="A125" s="1" t="str">
        <f ca="1">IFERROR(__xludf.DUMMYFUNCTION("""COMPUTED_VALUE"""),"DE GAIGNERON JOLLIMON DE MAROLLES Melchior")</f>
        <v>DE GAIGNERON JOLLIMON DE MAROLLES Melchior</v>
      </c>
      <c r="B125" s="1" t="str">
        <f ca="1">IFERROR(__xludf.DUMMYFUNCTION("""COMPUTED_VALUE"""),"DE GAIGNERON JOLLIMON DE MAROLLES")</f>
        <v>DE GAIGNERON JOLLIMON DE MAROLLES</v>
      </c>
      <c r="C125" s="1" t="str">
        <f ca="1">IFERROR(__xludf.DUMMYFUNCTION("""COMPUTED_VALUE"""),"Melchior")</f>
        <v>Melchior</v>
      </c>
      <c r="D125" s="1" t="str">
        <f ca="1">IFERROR(__xludf.DUMMYFUNCTION("""COMPUTED_VALUE"""),"1235E2")</f>
        <v>1235E2</v>
      </c>
      <c r="E125" s="2">
        <f ca="1">IFERROR(__xludf.DUMMYFUNCTION("""COMPUTED_VALUE"""),42320)</f>
        <v>42320</v>
      </c>
      <c r="F125" s="1" t="str">
        <f ca="1">IFERROR(__xludf.DUMMYFUNCTION("""COMPUTED_VALUE"""),"CM2A")</f>
        <v>CM2A</v>
      </c>
      <c r="G125" s="1" t="str">
        <f ca="1">IFERROR(__xludf.DUMMYFUNCTION("""COMPUTED_VALUE"""),"CM2")</f>
        <v>CM2</v>
      </c>
      <c r="H125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125" s="1"/>
      <c r="J125" s="1"/>
      <c r="K125" s="1"/>
      <c r="L125" s="1"/>
      <c r="M125" s="1"/>
      <c r="N125" s="1" t="str">
        <f ca="1">IFERROR(__xludf.DUMMYFUNCTION("""COMPUTED_VALUE"""),"Garçon")</f>
        <v>Garçon</v>
      </c>
      <c r="O125" s="1"/>
      <c r="P125" s="1" t="str">
        <f ca="1">IFERROR(__xludf.DUMMYFUNCTION("""COMPUTED_VALUE"""),"FRANCE")</f>
        <v>FRANCE</v>
      </c>
      <c r="Q125" s="1"/>
      <c r="R125" s="1"/>
      <c r="S125" s="1"/>
      <c r="T125" s="1" t="str">
        <f ca="1">IFERROR(__xludf.DUMMYFUNCTION("""COMPUTED_VALUE"""),"DE MAROLLES Dorine")</f>
        <v>DE MAROLLES Dorine</v>
      </c>
      <c r="U125" s="1" t="str">
        <f ca="1">IFERROR(__xludf.DUMMYFUNCTION("""COMPUTED_VALUE"""),"DE GAIGNERON JOLLIMON DE MAROLLES Aymeric")</f>
        <v>DE GAIGNERON JOLLIMON DE MAROLLES Aymeric</v>
      </c>
      <c r="V125" s="1" t="str">
        <f ca="1">IFERROR(__xludf.DUMMYFUNCTION("""COMPUTED_VALUE"""),"adp2ma@gmail.com")</f>
        <v>adp2ma@gmail.com</v>
      </c>
      <c r="W125" s="1" t="str">
        <f ca="1">IFERROR(__xludf.DUMMYFUNCTION("""COMPUTED_VALUE"""),"adp2ma@gmail.com")</f>
        <v>adp2ma@gmail.com</v>
      </c>
      <c r="X125" s="1" t="str">
        <f ca="1">IFERROR(__xludf.DUMMYFUNCTION("""COMPUTED_VALUE"""),"+221 78 951 65 13")</f>
        <v>+221 78 951 65 13</v>
      </c>
      <c r="Y125" s="1" t="str">
        <f ca="1">IFERROR(__xludf.DUMMYFUNCTION("""COMPUTED_VALUE"""),"+221 77 218 83 49")</f>
        <v>+221 77 218 83 49</v>
      </c>
      <c r="Z125" s="1" t="str">
        <f ca="1">IFERROR(__xludf.DUMMYFUNCTION("""COMPUTED_VALUE"""),"+221")</f>
        <v>+221</v>
      </c>
      <c r="AA125" s="1" t="str">
        <f ca="1">IFERROR(__xludf.DUMMYFUNCTION("""COMPUTED_VALUE"""),"+221")</f>
        <v>+221</v>
      </c>
      <c r="AB125" s="2">
        <f ca="1">IFERROR(__xludf.DUMMYFUNCTION("""COMPUTED_VALUE"""),27931)</f>
        <v>27931</v>
      </c>
      <c r="AC125" s="2">
        <f ca="1">IFERROR(__xludf.DUMMYFUNCTION("""COMPUTED_VALUE"""),25493)</f>
        <v>25493</v>
      </c>
      <c r="AD125" s="1" t="str">
        <f ca="1">IFERROR(__xludf.DUMMYFUNCTION("""COMPUTED_VALUE"""),"MERE")</f>
        <v>MERE</v>
      </c>
      <c r="AE125" s="1" t="str">
        <f ca="1">IFERROR(__xludf.DUMMYFUNCTION("""COMPUTED_VALUE"""),"PERE")</f>
        <v>PERE</v>
      </c>
      <c r="AF125" s="1" t="str">
        <f ca="1">IFERROR(__xludf.DUMMYFUNCTION("""COMPUTED_VALUE"""),"FRANCE")</f>
        <v>FRANCE</v>
      </c>
      <c r="AG125" s="1" t="str">
        <f ca="1">IFERROR(__xludf.DUMMYFUNCTION("""COMPUTED_VALUE"""),"FRANCE")</f>
        <v>FRANCE</v>
      </c>
      <c r="AH125" s="1"/>
      <c r="AI125" s="1"/>
      <c r="AJ125" s="1" t="str">
        <f ca="1">IFERROR(__xludf.DUMMYFUNCTION("""COMPUTED_VALUE"""),"F1235")</f>
        <v>F1235</v>
      </c>
      <c r="AK125" s="1" t="str">
        <f ca="1">IFERROR(__xludf.DUMMYFUNCTION("""COMPUTED_VALUE"""),"Marié(e)")</f>
        <v>Marié(e)</v>
      </c>
      <c r="AL125" s="1" t="str">
        <f ca="1">IFERROR(__xludf.DUMMYFUNCTION("""COMPUTED_VALUE"""),"Marié(e)")</f>
        <v>Marié(e)</v>
      </c>
      <c r="AM125" s="1" t="str">
        <f ca="1">IFERROR(__xludf.DUMMYFUNCTION("""COMPUTED_VALUE"""),"F1235")</f>
        <v>F1235</v>
      </c>
    </row>
    <row r="126" spans="1:39" ht="13" x14ac:dyDescent="0.15">
      <c r="A126" s="1" t="str">
        <f ca="1">IFERROR(__xludf.DUMMYFUNCTION("""COMPUTED_VALUE"""),"DE GAIGNERON JOLLIMON DE MAROLLES Philippine")</f>
        <v>DE GAIGNERON JOLLIMON DE MAROLLES Philippine</v>
      </c>
      <c r="B126" s="1" t="str">
        <f ca="1">IFERROR(__xludf.DUMMYFUNCTION("""COMPUTED_VALUE"""),"DE GAIGNERON JOLLIMON DE MAROLLES")</f>
        <v>DE GAIGNERON JOLLIMON DE MAROLLES</v>
      </c>
      <c r="C126" s="1" t="str">
        <f ca="1">IFERROR(__xludf.DUMMYFUNCTION("""COMPUTED_VALUE"""),"Philippine")</f>
        <v>Philippine</v>
      </c>
      <c r="D126" s="1" t="str">
        <f ca="1">IFERROR(__xludf.DUMMYFUNCTION("""COMPUTED_VALUE"""),"1235E3")</f>
        <v>1235E3</v>
      </c>
      <c r="E126" s="2">
        <f ca="1">IFERROR(__xludf.DUMMYFUNCTION("""COMPUTED_VALUE"""),39264)</f>
        <v>39264</v>
      </c>
      <c r="F126" s="1" t="str">
        <f ca="1">IFERROR(__xludf.DUMMYFUNCTION("""COMPUTED_VALUE"""),"TERMINALE2")</f>
        <v>TERMINALE2</v>
      </c>
      <c r="G126" s="1" t="str">
        <f ca="1">IFERROR(__xludf.DUMMYFUNCTION("""COMPUTED_VALUE"""),"Terminale")</f>
        <v>Terminale</v>
      </c>
      <c r="H126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126" s="1" t="str">
        <f ca="1">IFERROR(__xludf.DUMMYFUNCTION("""COMPUTED_VALUE"""),"LVA Anglais")</f>
        <v>LVA Anglais</v>
      </c>
      <c r="J126" s="1" t="str">
        <f ca="1">IFERROR(__xludf.DUMMYFUNCTION("""COMPUTED_VALUE"""),"LVB Espagnol")</f>
        <v>LVB Espagnol</v>
      </c>
      <c r="K126" s="1"/>
      <c r="L126" s="1"/>
      <c r="M126" s="1" t="str">
        <f ca="1">IFERROR(__xludf.DUMMYFUNCTION("""COMPUTED_VALUE"""),"SPE HGGSP, SPE SVT")</f>
        <v>SPE HGGSP, SPE SVT</v>
      </c>
      <c r="N126" s="1" t="str">
        <f ca="1">IFERROR(__xludf.DUMMYFUNCTION("""COMPUTED_VALUE"""),"Fille")</f>
        <v>Fille</v>
      </c>
      <c r="O126" s="1"/>
      <c r="P126" s="1" t="str">
        <f ca="1">IFERROR(__xludf.DUMMYFUNCTION("""COMPUTED_VALUE"""),"FRANCE")</f>
        <v>FRANCE</v>
      </c>
      <c r="Q126" s="1"/>
      <c r="R126" s="1" t="str">
        <f ca="1">IFERROR(__xludf.DUMMYFUNCTION("""COMPUTED_VALUE"""),"philippine.degaigneron@lfjpsaly.org")</f>
        <v>philippine.degaigneron@lfjpsaly.org</v>
      </c>
      <c r="S126" s="1" t="str">
        <f ca="1">IFERROR(__xludf.DUMMYFUNCTION("""COMPUTED_VALUE"""),"+221 78 951 65 13")</f>
        <v>+221 78 951 65 13</v>
      </c>
      <c r="T126" s="1" t="str">
        <f ca="1">IFERROR(__xludf.DUMMYFUNCTION("""COMPUTED_VALUE"""),"DE MAROLLES Dorine")</f>
        <v>DE MAROLLES Dorine</v>
      </c>
      <c r="U126" s="1" t="str">
        <f ca="1">IFERROR(__xludf.DUMMYFUNCTION("""COMPUTED_VALUE"""),"DE GAIGNERON JOLLIMON DE MAROLLES Aymeric")</f>
        <v>DE GAIGNERON JOLLIMON DE MAROLLES Aymeric</v>
      </c>
      <c r="V126" s="1" t="str">
        <f ca="1">IFERROR(__xludf.DUMMYFUNCTION("""COMPUTED_VALUE"""),"adp2ma@gmail.com")</f>
        <v>adp2ma@gmail.com</v>
      </c>
      <c r="W126" s="1" t="str">
        <f ca="1">IFERROR(__xludf.DUMMYFUNCTION("""COMPUTED_VALUE"""),"adp2ma@gmail.com")</f>
        <v>adp2ma@gmail.com</v>
      </c>
      <c r="X126" s="1" t="str">
        <f ca="1">IFERROR(__xludf.DUMMYFUNCTION("""COMPUTED_VALUE"""),"+221 78 951 65 13")</f>
        <v>+221 78 951 65 13</v>
      </c>
      <c r="Y126" s="1" t="str">
        <f ca="1">IFERROR(__xludf.DUMMYFUNCTION("""COMPUTED_VALUE"""),"+221 77 218 83 49")</f>
        <v>+221 77 218 83 49</v>
      </c>
      <c r="Z126" s="1" t="str">
        <f ca="1">IFERROR(__xludf.DUMMYFUNCTION("""COMPUTED_VALUE"""),"+221")</f>
        <v>+221</v>
      </c>
      <c r="AA126" s="1" t="str">
        <f ca="1">IFERROR(__xludf.DUMMYFUNCTION("""COMPUTED_VALUE"""),"+221")</f>
        <v>+221</v>
      </c>
      <c r="AB126" s="2">
        <f ca="1">IFERROR(__xludf.DUMMYFUNCTION("""COMPUTED_VALUE"""),27931)</f>
        <v>27931</v>
      </c>
      <c r="AC126" s="2">
        <f ca="1">IFERROR(__xludf.DUMMYFUNCTION("""COMPUTED_VALUE"""),25493)</f>
        <v>25493</v>
      </c>
      <c r="AD126" s="1" t="str">
        <f ca="1">IFERROR(__xludf.DUMMYFUNCTION("""COMPUTED_VALUE"""),"MERE")</f>
        <v>MERE</v>
      </c>
      <c r="AE126" s="1" t="str">
        <f ca="1">IFERROR(__xludf.DUMMYFUNCTION("""COMPUTED_VALUE"""),"PERE")</f>
        <v>PERE</v>
      </c>
      <c r="AF126" s="1" t="str">
        <f ca="1">IFERROR(__xludf.DUMMYFUNCTION("""COMPUTED_VALUE"""),"FRANCE")</f>
        <v>FRANCE</v>
      </c>
      <c r="AG126" s="1" t="str">
        <f ca="1">IFERROR(__xludf.DUMMYFUNCTION("""COMPUTED_VALUE"""),"FRANCE")</f>
        <v>FRANCE</v>
      </c>
      <c r="AH126" s="1"/>
      <c r="AI126" s="1"/>
      <c r="AJ126" s="1" t="str">
        <f ca="1">IFERROR(__xludf.DUMMYFUNCTION("""COMPUTED_VALUE"""),"F1235")</f>
        <v>F1235</v>
      </c>
      <c r="AK126" s="1" t="str">
        <f ca="1">IFERROR(__xludf.DUMMYFUNCTION("""COMPUTED_VALUE"""),"Marié(e)")</f>
        <v>Marié(e)</v>
      </c>
      <c r="AL126" s="1" t="str">
        <f ca="1">IFERROR(__xludf.DUMMYFUNCTION("""COMPUTED_VALUE"""),"Marié(e)")</f>
        <v>Marié(e)</v>
      </c>
      <c r="AM126" s="1" t="str">
        <f ca="1">IFERROR(__xludf.DUMMYFUNCTION("""COMPUTED_VALUE"""),"F1235")</f>
        <v>F1235</v>
      </c>
    </row>
    <row r="127" spans="1:39" ht="13" x14ac:dyDescent="0.15">
      <c r="A127" s="1" t="str">
        <f ca="1">IFERROR(__xludf.DUMMYFUNCTION("""COMPUTED_VALUE"""),"DE GAIGNERON JOLLIMON DEMAROLLES Pétronille Agnès Louis Marie")</f>
        <v>DE GAIGNERON JOLLIMON DEMAROLLES Pétronille Agnès Louis Marie</v>
      </c>
      <c r="B127" s="1" t="str">
        <f ca="1">IFERROR(__xludf.DUMMYFUNCTION("""COMPUTED_VALUE"""),"DE GAIGNERON JOLLIMON DEMAROLLES")</f>
        <v>DE GAIGNERON JOLLIMON DEMAROLLES</v>
      </c>
      <c r="C127" s="1" t="str">
        <f ca="1">IFERROR(__xludf.DUMMYFUNCTION("""COMPUTED_VALUE"""),"Pétronille Agnès Louis Marie")</f>
        <v>Pétronille Agnès Louis Marie</v>
      </c>
      <c r="D127" s="1" t="str">
        <f ca="1">IFERROR(__xludf.DUMMYFUNCTION("""COMPUTED_VALUE"""),"1235E4")</f>
        <v>1235E4</v>
      </c>
      <c r="E127" s="2">
        <f ca="1">IFERROR(__xludf.DUMMYFUNCTION("""COMPUTED_VALUE"""),40731)</f>
        <v>40731</v>
      </c>
      <c r="F127" s="1" t="str">
        <f ca="1">IFERROR(__xludf.DUMMYFUNCTION("""COMPUTED_VALUE"""),"3EME1")</f>
        <v>3EME1</v>
      </c>
      <c r="G127" s="1" t="str">
        <f ca="1">IFERROR(__xludf.DUMMYFUNCTION("""COMPUTED_VALUE"""),"3ème")</f>
        <v>3ème</v>
      </c>
      <c r="H127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127" s="1" t="str">
        <f ca="1">IFERROR(__xludf.DUMMYFUNCTION("""COMPUTED_VALUE"""),"LVA Anglais")</f>
        <v>LVA Anglais</v>
      </c>
      <c r="J127" s="1" t="str">
        <f ca="1">IFERROR(__xludf.DUMMYFUNCTION("""COMPUTED_VALUE"""),"LVB Espagnol")</f>
        <v>LVB Espagnol</v>
      </c>
      <c r="K127" s="1"/>
      <c r="L127" s="1"/>
      <c r="M127" s="1"/>
      <c r="N127" s="1" t="str">
        <f ca="1">IFERROR(__xludf.DUMMYFUNCTION("""COMPUTED_VALUE"""),"Fille")</f>
        <v>Fille</v>
      </c>
      <c r="O127" s="1"/>
      <c r="P127" s="1" t="str">
        <f ca="1">IFERROR(__xludf.DUMMYFUNCTION("""COMPUTED_VALUE"""),"FRANCE")</f>
        <v>FRANCE</v>
      </c>
      <c r="Q127" s="1"/>
      <c r="R127" s="1" t="str">
        <f ca="1">IFERROR(__xludf.DUMMYFUNCTION("""COMPUTED_VALUE"""),"petronille.degaigneron@lfjpsaly.org")</f>
        <v>petronille.degaigneron@lfjpsaly.org</v>
      </c>
      <c r="S127" s="1" t="str">
        <f ca="1">IFERROR(__xludf.DUMMYFUNCTION("""COMPUTED_VALUE"""),"+221 78 951 65 13")</f>
        <v>+221 78 951 65 13</v>
      </c>
      <c r="T127" s="1" t="str">
        <f ca="1">IFERROR(__xludf.DUMMYFUNCTION("""COMPUTED_VALUE"""),"DE MAROLLES Dorine")</f>
        <v>DE MAROLLES Dorine</v>
      </c>
      <c r="U127" s="1" t="str">
        <f ca="1">IFERROR(__xludf.DUMMYFUNCTION("""COMPUTED_VALUE"""),"DE GAIGNERON JOLLIMON DE MAROLLES Aymeric")</f>
        <v>DE GAIGNERON JOLLIMON DE MAROLLES Aymeric</v>
      </c>
      <c r="V127" s="1" t="str">
        <f ca="1">IFERROR(__xludf.DUMMYFUNCTION("""COMPUTED_VALUE"""),"adp2ma@gmail.com")</f>
        <v>adp2ma@gmail.com</v>
      </c>
      <c r="W127" s="1" t="str">
        <f ca="1">IFERROR(__xludf.DUMMYFUNCTION("""COMPUTED_VALUE"""),"adp2ma@gmail.com")</f>
        <v>adp2ma@gmail.com</v>
      </c>
      <c r="X127" s="1" t="str">
        <f ca="1">IFERROR(__xludf.DUMMYFUNCTION("""COMPUTED_VALUE"""),"+221 78 951 65 13")</f>
        <v>+221 78 951 65 13</v>
      </c>
      <c r="Y127" s="1" t="str">
        <f ca="1">IFERROR(__xludf.DUMMYFUNCTION("""COMPUTED_VALUE"""),"+221 77 218 83 49")</f>
        <v>+221 77 218 83 49</v>
      </c>
      <c r="Z127" s="1" t="str">
        <f ca="1">IFERROR(__xludf.DUMMYFUNCTION("""COMPUTED_VALUE"""),"+221")</f>
        <v>+221</v>
      </c>
      <c r="AA127" s="1" t="str">
        <f ca="1">IFERROR(__xludf.DUMMYFUNCTION("""COMPUTED_VALUE"""),"+221")</f>
        <v>+221</v>
      </c>
      <c r="AB127" s="2">
        <f ca="1">IFERROR(__xludf.DUMMYFUNCTION("""COMPUTED_VALUE"""),27931)</f>
        <v>27931</v>
      </c>
      <c r="AC127" s="2">
        <f ca="1">IFERROR(__xludf.DUMMYFUNCTION("""COMPUTED_VALUE"""),25493)</f>
        <v>25493</v>
      </c>
      <c r="AD127" s="1" t="str">
        <f ca="1">IFERROR(__xludf.DUMMYFUNCTION("""COMPUTED_VALUE"""),"MERE")</f>
        <v>MERE</v>
      </c>
      <c r="AE127" s="1" t="str">
        <f ca="1">IFERROR(__xludf.DUMMYFUNCTION("""COMPUTED_VALUE"""),"PERE")</f>
        <v>PERE</v>
      </c>
      <c r="AF127" s="1" t="str">
        <f ca="1">IFERROR(__xludf.DUMMYFUNCTION("""COMPUTED_VALUE"""),"FRANCE")</f>
        <v>FRANCE</v>
      </c>
      <c r="AG127" s="1" t="str">
        <f ca="1">IFERROR(__xludf.DUMMYFUNCTION("""COMPUTED_VALUE"""),"FRANCE")</f>
        <v>FRANCE</v>
      </c>
      <c r="AH127" s="1"/>
      <c r="AI127" s="1"/>
      <c r="AJ127" s="1" t="str">
        <f ca="1">IFERROR(__xludf.DUMMYFUNCTION("""COMPUTED_VALUE"""),"F1235")</f>
        <v>F1235</v>
      </c>
      <c r="AK127" s="1" t="str">
        <f ca="1">IFERROR(__xludf.DUMMYFUNCTION("""COMPUTED_VALUE"""),"Marié(e)")</f>
        <v>Marié(e)</v>
      </c>
      <c r="AL127" s="1" t="str">
        <f ca="1">IFERROR(__xludf.DUMMYFUNCTION("""COMPUTED_VALUE"""),"Marié(e)")</f>
        <v>Marié(e)</v>
      </c>
      <c r="AM127" s="1" t="str">
        <f ca="1">IFERROR(__xludf.DUMMYFUNCTION("""COMPUTED_VALUE"""),"F1235")</f>
        <v>F1235</v>
      </c>
    </row>
    <row r="128" spans="1:39" ht="13" x14ac:dyDescent="0.15">
      <c r="A128" s="1" t="str">
        <f ca="1">IFERROR(__xludf.DUMMYFUNCTION("""COMPUTED_VALUE"""),"DE VILLEGAS DE CLERCAMP Alexandro")</f>
        <v>DE VILLEGAS DE CLERCAMP Alexandro</v>
      </c>
      <c r="B128" s="1" t="str">
        <f ca="1">IFERROR(__xludf.DUMMYFUNCTION("""COMPUTED_VALUE"""),"DE VILLEGAS DE CLERCAMP")</f>
        <v>DE VILLEGAS DE CLERCAMP</v>
      </c>
      <c r="C128" s="1" t="str">
        <f ca="1">IFERROR(__xludf.DUMMYFUNCTION("""COMPUTED_VALUE"""),"Alexandro")</f>
        <v>Alexandro</v>
      </c>
      <c r="D128" s="1" t="str">
        <f ca="1">IFERROR(__xludf.DUMMYFUNCTION("""COMPUTED_VALUE"""),"11686S2302")</f>
        <v>11686S2302</v>
      </c>
      <c r="E128" s="2">
        <f ca="1">IFERROR(__xludf.DUMMYFUNCTION("""COMPUTED_VALUE"""),41097)</f>
        <v>41097</v>
      </c>
      <c r="F128" s="1" t="str">
        <f ca="1">IFERROR(__xludf.DUMMYFUNCTION("""COMPUTED_VALUE"""),"5EME2")</f>
        <v>5EME2</v>
      </c>
      <c r="G128" s="1" t="str">
        <f ca="1">IFERROR(__xludf.DUMMYFUNCTION("""COMPUTED_VALUE"""),"5ème")</f>
        <v>5ème</v>
      </c>
      <c r="H128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128" s="1" t="str">
        <f ca="1">IFERROR(__xludf.DUMMYFUNCTION("""COMPUTED_VALUE"""),"LVA Anglais")</f>
        <v>LVA Anglais</v>
      </c>
      <c r="J128" s="1" t="str">
        <f ca="1">IFERROR(__xludf.DUMMYFUNCTION("""COMPUTED_VALUE"""),"LVB Espagnol")</f>
        <v>LVB Espagnol</v>
      </c>
      <c r="K128" s="1"/>
      <c r="L128" s="1"/>
      <c r="M128" s="1"/>
      <c r="N128" s="1" t="str">
        <f ca="1">IFERROR(__xludf.DUMMYFUNCTION("""COMPUTED_VALUE"""),"Garçon")</f>
        <v>Garçon</v>
      </c>
      <c r="O128" s="1"/>
      <c r="P128" s="1" t="str">
        <f ca="1">IFERROR(__xludf.DUMMYFUNCTION("""COMPUTED_VALUE"""),"BELGIQUE")</f>
        <v>BELGIQUE</v>
      </c>
      <c r="Q128" s="1" t="str">
        <f ca="1">IFERROR(__xludf.DUMMYFUNCTION("""COMPUTED_VALUE"""),"SENEGAL")</f>
        <v>SENEGAL</v>
      </c>
      <c r="R128" s="1" t="str">
        <f ca="1">IFERROR(__xludf.DUMMYFUNCTION("""COMPUTED_VALUE"""),"alexandro.devillegas@lfjpsaly.org")</f>
        <v>alexandro.devillegas@lfjpsaly.org</v>
      </c>
      <c r="S128" s="1" t="str">
        <f ca="1">IFERROR(__xludf.DUMMYFUNCTION("""COMPUTED_VALUE"""),"+221 77 682 49 56")</f>
        <v>+221 77 682 49 56</v>
      </c>
      <c r="T128" s="1" t="str">
        <f ca="1">IFERROR(__xludf.DUMMYFUNCTION("""COMPUTED_VALUE"""),"DE VILLEGAS DE CLERCAMP Alonzo")</f>
        <v>DE VILLEGAS DE CLERCAMP Alonzo</v>
      </c>
      <c r="U128" s="1" t="str">
        <f ca="1">IFERROR(__xludf.DUMMYFUNCTION("""COMPUTED_VALUE"""),"TINE Florence")</f>
        <v>TINE Florence</v>
      </c>
      <c r="V128" s="1" t="str">
        <f ca="1">IFERROR(__xludf.DUMMYFUNCTION("""COMPUTED_VALUE"""),"alonzo1@live.be")</f>
        <v>alonzo1@live.be</v>
      </c>
      <c r="W128" s="1" t="str">
        <f ca="1">IFERROR(__xludf.DUMMYFUNCTION("""COMPUTED_VALUE"""),"balisaux@hotmail.com")</f>
        <v>balisaux@hotmail.com</v>
      </c>
      <c r="X128" s="1" t="str">
        <f ca="1">IFERROR(__xludf.DUMMYFUNCTION("""COMPUTED_VALUE"""),"+221 77 682 49 56")</f>
        <v>+221 77 682 49 56</v>
      </c>
      <c r="Y128" s="1" t="str">
        <f ca="1">IFERROR(__xludf.DUMMYFUNCTION("""COMPUTED_VALUE"""),"+221 78 304 44 88")</f>
        <v>+221 78 304 44 88</v>
      </c>
      <c r="Z128" s="1" t="str">
        <f ca="1">IFERROR(__xludf.DUMMYFUNCTION("""COMPUTED_VALUE"""),"+221 77 682 49 56")</f>
        <v>+221 77 682 49 56</v>
      </c>
      <c r="AA128" s="1" t="str">
        <f ca="1">IFERROR(__xludf.DUMMYFUNCTION("""COMPUTED_VALUE"""),"+221 78 304 44 88")</f>
        <v>+221 78 304 44 88</v>
      </c>
      <c r="AB128" s="2">
        <f ca="1">IFERROR(__xludf.DUMMYFUNCTION("""COMPUTED_VALUE"""),20078)</f>
        <v>20078</v>
      </c>
      <c r="AC128" s="2">
        <f ca="1">IFERROR(__xludf.DUMMYFUNCTION("""COMPUTED_VALUE"""),30321)</f>
        <v>30321</v>
      </c>
      <c r="AD128" s="1" t="str">
        <f ca="1">IFERROR(__xludf.DUMMYFUNCTION("""COMPUTED_VALUE"""),"PERE")</f>
        <v>PERE</v>
      </c>
      <c r="AE128" s="1" t="str">
        <f ca="1">IFERROR(__xludf.DUMMYFUNCTION("""COMPUTED_VALUE"""),"MERE")</f>
        <v>MERE</v>
      </c>
      <c r="AF128" s="1" t="str">
        <f ca="1">IFERROR(__xludf.DUMMYFUNCTION("""COMPUTED_VALUE"""),"BELGIQUE")</f>
        <v>BELGIQUE</v>
      </c>
      <c r="AG128" s="1" t="str">
        <f ca="1">IFERROR(__xludf.DUMMYFUNCTION("""COMPUTED_VALUE"""),"SENEGAL")</f>
        <v>SENEGAL</v>
      </c>
      <c r="AH128" s="1"/>
      <c r="AI128" s="1"/>
      <c r="AJ128" s="1" t="str">
        <f ca="1">IFERROR(__xludf.DUMMYFUNCTION("""COMPUTED_VALUE"""),"U11686")</f>
        <v>U11686</v>
      </c>
      <c r="AK128" s="1" t="str">
        <f ca="1">IFERROR(__xludf.DUMMYFUNCTION("""COMPUTED_VALUE"""),"Marié(e)")</f>
        <v>Marié(e)</v>
      </c>
      <c r="AL128" s="1" t="str">
        <f ca="1">IFERROR(__xludf.DUMMYFUNCTION("""COMPUTED_VALUE"""),"Marié(e)")</f>
        <v>Marié(e)</v>
      </c>
      <c r="AM128" s="1" t="str">
        <f ca="1">IFERROR(__xludf.DUMMYFUNCTION("""COMPUTED_VALUE"""),"U11686")</f>
        <v>U11686</v>
      </c>
    </row>
    <row r="129" spans="1:39" ht="13" x14ac:dyDescent="0.15">
      <c r="A129" s="1" t="str">
        <f ca="1">IFERROR(__xludf.DUMMYFUNCTION("""COMPUTED_VALUE"""),"DE VILLEGAS DE CLERCAMP Laura")</f>
        <v>DE VILLEGAS DE CLERCAMP Laura</v>
      </c>
      <c r="B129" s="1" t="str">
        <f ca="1">IFERROR(__xludf.DUMMYFUNCTION("""COMPUTED_VALUE"""),"DE VILLEGAS DE CLERCAMP")</f>
        <v>DE VILLEGAS DE CLERCAMP</v>
      </c>
      <c r="C129" s="1" t="str">
        <f ca="1">IFERROR(__xludf.DUMMYFUNCTION("""COMPUTED_VALUE"""),"Laura")</f>
        <v>Laura</v>
      </c>
      <c r="D129" s="1" t="str">
        <f ca="1">IFERROR(__xludf.DUMMYFUNCTION("""COMPUTED_VALUE"""),"11686S2301")</f>
        <v>11686S2301</v>
      </c>
      <c r="E129" s="2">
        <f ca="1">IFERROR(__xludf.DUMMYFUNCTION("""COMPUTED_VALUE"""),42179)</f>
        <v>42179</v>
      </c>
      <c r="F129" s="1" t="str">
        <f ca="1">IFERROR(__xludf.DUMMYFUNCTION("""COMPUTED_VALUE"""),"CM2A")</f>
        <v>CM2A</v>
      </c>
      <c r="G129" s="1" t="str">
        <f ca="1">IFERROR(__xludf.DUMMYFUNCTION("""COMPUTED_VALUE"""),"CM2")</f>
        <v>CM2</v>
      </c>
      <c r="H129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129" s="1"/>
      <c r="J129" s="1"/>
      <c r="K129" s="1"/>
      <c r="L129" s="1"/>
      <c r="M129" s="1"/>
      <c r="N129" s="1" t="str">
        <f ca="1">IFERROR(__xludf.DUMMYFUNCTION("""COMPUTED_VALUE"""),"Fille")</f>
        <v>Fille</v>
      </c>
      <c r="O129" s="1"/>
      <c r="P129" s="1" t="str">
        <f ca="1">IFERROR(__xludf.DUMMYFUNCTION("""COMPUTED_VALUE"""),"BELGIQUE")</f>
        <v>BELGIQUE</v>
      </c>
      <c r="Q129" s="1" t="str">
        <f ca="1">IFERROR(__xludf.DUMMYFUNCTION("""COMPUTED_VALUE"""),"SENEGAL")</f>
        <v>SENEGAL</v>
      </c>
      <c r="R129" s="1"/>
      <c r="S129" s="1" t="str">
        <f ca="1">IFERROR(__xludf.DUMMYFUNCTION("""COMPUTED_VALUE"""),"+221")</f>
        <v>+221</v>
      </c>
      <c r="T129" s="1" t="str">
        <f ca="1">IFERROR(__xludf.DUMMYFUNCTION("""COMPUTED_VALUE"""),"DE VILLEGAS DE CLERCAMP Alonzo")</f>
        <v>DE VILLEGAS DE CLERCAMP Alonzo</v>
      </c>
      <c r="U129" s="1" t="str">
        <f ca="1">IFERROR(__xludf.DUMMYFUNCTION("""COMPUTED_VALUE"""),"TINE Florence")</f>
        <v>TINE Florence</v>
      </c>
      <c r="V129" s="1" t="str">
        <f ca="1">IFERROR(__xludf.DUMMYFUNCTION("""COMPUTED_VALUE"""),"alonzo1@live.be")</f>
        <v>alonzo1@live.be</v>
      </c>
      <c r="W129" s="1" t="str">
        <f ca="1">IFERROR(__xludf.DUMMYFUNCTION("""COMPUTED_VALUE"""),"balisaux@hotmail.com")</f>
        <v>balisaux@hotmail.com</v>
      </c>
      <c r="X129" s="1" t="str">
        <f ca="1">IFERROR(__xludf.DUMMYFUNCTION("""COMPUTED_VALUE"""),"+221 77 682 49 56")</f>
        <v>+221 77 682 49 56</v>
      </c>
      <c r="Y129" s="1" t="str">
        <f ca="1">IFERROR(__xludf.DUMMYFUNCTION("""COMPUTED_VALUE"""),"+221 78 304 44 88")</f>
        <v>+221 78 304 44 88</v>
      </c>
      <c r="Z129" s="1" t="str">
        <f ca="1">IFERROR(__xludf.DUMMYFUNCTION("""COMPUTED_VALUE"""),"+221 77 682 49 56")</f>
        <v>+221 77 682 49 56</v>
      </c>
      <c r="AA129" s="1" t="str">
        <f ca="1">IFERROR(__xludf.DUMMYFUNCTION("""COMPUTED_VALUE"""),"+221 78 304 44 88")</f>
        <v>+221 78 304 44 88</v>
      </c>
      <c r="AB129" s="2">
        <f ca="1">IFERROR(__xludf.DUMMYFUNCTION("""COMPUTED_VALUE"""),20078)</f>
        <v>20078</v>
      </c>
      <c r="AC129" s="2">
        <f ca="1">IFERROR(__xludf.DUMMYFUNCTION("""COMPUTED_VALUE"""),30321)</f>
        <v>30321</v>
      </c>
      <c r="AD129" s="1" t="str">
        <f ca="1">IFERROR(__xludf.DUMMYFUNCTION("""COMPUTED_VALUE"""),"PERE")</f>
        <v>PERE</v>
      </c>
      <c r="AE129" s="1" t="str">
        <f ca="1">IFERROR(__xludf.DUMMYFUNCTION("""COMPUTED_VALUE"""),"MERE")</f>
        <v>MERE</v>
      </c>
      <c r="AF129" s="1" t="str">
        <f ca="1">IFERROR(__xludf.DUMMYFUNCTION("""COMPUTED_VALUE"""),"BELGIQUE")</f>
        <v>BELGIQUE</v>
      </c>
      <c r="AG129" s="1" t="str">
        <f ca="1">IFERROR(__xludf.DUMMYFUNCTION("""COMPUTED_VALUE"""),"SENEGAL")</f>
        <v>SENEGAL</v>
      </c>
      <c r="AH129" s="1"/>
      <c r="AI129" s="1"/>
      <c r="AJ129" s="1" t="str">
        <f ca="1">IFERROR(__xludf.DUMMYFUNCTION("""COMPUTED_VALUE"""),"U11686")</f>
        <v>U11686</v>
      </c>
      <c r="AK129" s="1" t="str">
        <f ca="1">IFERROR(__xludf.DUMMYFUNCTION("""COMPUTED_VALUE"""),"Marié(e)")</f>
        <v>Marié(e)</v>
      </c>
      <c r="AL129" s="1" t="str">
        <f ca="1">IFERROR(__xludf.DUMMYFUNCTION("""COMPUTED_VALUE"""),"Marié(e)")</f>
        <v>Marié(e)</v>
      </c>
      <c r="AM129" s="1" t="str">
        <f ca="1">IFERROR(__xludf.DUMMYFUNCTION("""COMPUTED_VALUE"""),"U11686")</f>
        <v>U11686</v>
      </c>
    </row>
    <row r="130" spans="1:39" ht="13" x14ac:dyDescent="0.15">
      <c r="A130" s="1" t="str">
        <f ca="1">IFERROR(__xludf.DUMMYFUNCTION("""COMPUTED_VALUE"""),"DEFAYS Clara Geneviève")</f>
        <v>DEFAYS Clara Geneviève</v>
      </c>
      <c r="B130" s="1" t="str">
        <f ca="1">IFERROR(__xludf.DUMMYFUNCTION("""COMPUTED_VALUE"""),"DEFAYS")</f>
        <v>DEFAYS</v>
      </c>
      <c r="C130" s="1" t="str">
        <f ca="1">IFERROR(__xludf.DUMMYFUNCTION("""COMPUTED_VALUE"""),"Clara Geneviève")</f>
        <v>Clara Geneviève</v>
      </c>
      <c r="D130" s="1" t="str">
        <f ca="1">IFERROR(__xludf.DUMMYFUNCTION("""COMPUTED_VALUE"""),"1237E1")</f>
        <v>1237E1</v>
      </c>
      <c r="E130" s="2">
        <f ca="1">IFERROR(__xludf.DUMMYFUNCTION("""COMPUTED_VALUE"""),41304)</f>
        <v>41304</v>
      </c>
      <c r="F130" s="1" t="str">
        <f ca="1">IFERROR(__xludf.DUMMYFUNCTION("""COMPUTED_VALUE"""),"5EME2")</f>
        <v>5EME2</v>
      </c>
      <c r="G130" s="1" t="str">
        <f ca="1">IFERROR(__xludf.DUMMYFUNCTION("""COMPUTED_VALUE"""),"5ème")</f>
        <v>5ème</v>
      </c>
      <c r="H130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130" s="1" t="str">
        <f ca="1">IFERROR(__xludf.DUMMYFUNCTION("""COMPUTED_VALUE"""),"LVA Anglais")</f>
        <v>LVA Anglais</v>
      </c>
      <c r="J130" s="1" t="str">
        <f ca="1">IFERROR(__xludf.DUMMYFUNCTION("""COMPUTED_VALUE"""),"LVB Espagnol")</f>
        <v>LVB Espagnol</v>
      </c>
      <c r="K130" s="1"/>
      <c r="L130" s="1"/>
      <c r="M130" s="1"/>
      <c r="N130" s="1" t="str">
        <f ca="1">IFERROR(__xludf.DUMMYFUNCTION("""COMPUTED_VALUE"""),"Fille")</f>
        <v>Fille</v>
      </c>
      <c r="O130" s="1"/>
      <c r="P130" s="1" t="str">
        <f ca="1">IFERROR(__xludf.DUMMYFUNCTION("""COMPUTED_VALUE"""),"BELGIQUE")</f>
        <v>BELGIQUE</v>
      </c>
      <c r="Q130" s="1"/>
      <c r="R130" s="1" t="str">
        <f ca="1">IFERROR(__xludf.DUMMYFUNCTION("""COMPUTED_VALUE"""),"clara.defays@lfjpsaly.org")</f>
        <v>clara.defays@lfjpsaly.org</v>
      </c>
      <c r="S130" s="1" t="str">
        <f ca="1">IFERROR(__xludf.DUMMYFUNCTION("""COMPUTED_VALUE"""),"+221 77 778 28 63")</f>
        <v>+221 77 778 28 63</v>
      </c>
      <c r="T130" s="1" t="str">
        <f ca="1">IFERROR(__xludf.DUMMYFUNCTION("""COMPUTED_VALUE"""),"DEFAYS Pierre")</f>
        <v>DEFAYS Pierre</v>
      </c>
      <c r="U130" s="1" t="str">
        <f ca="1">IFERROR(__xludf.DUMMYFUNCTION("""COMPUTED_VALUE"""),"SECK Fatou")</f>
        <v>SECK Fatou</v>
      </c>
      <c r="V130" s="1" t="str">
        <f ca="1">IFERROR(__xludf.DUMMYFUNCTION("""COMPUTED_VALUE"""),"pierre.defays@gmail.com")</f>
        <v>pierre.defays@gmail.com</v>
      </c>
      <c r="W130" s="1" t="str">
        <f ca="1">IFERROR(__xludf.DUMMYFUNCTION("""COMPUTED_VALUE"""),"pierre.defays@gmail.com")</f>
        <v>pierre.defays@gmail.com</v>
      </c>
      <c r="X130" s="1" t="str">
        <f ca="1">IFERROR(__xludf.DUMMYFUNCTION("""COMPUTED_VALUE"""),"77 778 28 63")</f>
        <v>77 778 28 63</v>
      </c>
      <c r="Y130" s="1" t="str">
        <f ca="1">IFERROR(__xludf.DUMMYFUNCTION("""COMPUTED_VALUE"""),"77 121 90 72")</f>
        <v>77 121 90 72</v>
      </c>
      <c r="Z130" s="1"/>
      <c r="AA130" s="1"/>
      <c r="AB130" s="2">
        <f ca="1">IFERROR(__xludf.DUMMYFUNCTION("""COMPUTED_VALUE"""),19399)</f>
        <v>19399</v>
      </c>
      <c r="AC130" s="2">
        <f ca="1">IFERROR(__xludf.DUMMYFUNCTION("""COMPUTED_VALUE"""),29717)</f>
        <v>29717</v>
      </c>
      <c r="AD130" s="1" t="str">
        <f ca="1">IFERROR(__xludf.DUMMYFUNCTION("""COMPUTED_VALUE"""),"PERE")</f>
        <v>PERE</v>
      </c>
      <c r="AE130" s="1" t="str">
        <f ca="1">IFERROR(__xludf.DUMMYFUNCTION("""COMPUTED_VALUE"""),"MERE")</f>
        <v>MERE</v>
      </c>
      <c r="AF130" s="1" t="str">
        <f ca="1">IFERROR(__xludf.DUMMYFUNCTION("""COMPUTED_VALUE"""),"BELGIQUE")</f>
        <v>BELGIQUE</v>
      </c>
      <c r="AG130" s="1" t="str">
        <f ca="1">IFERROR(__xludf.DUMMYFUNCTION("""COMPUTED_VALUE"""),"SENEGAL")</f>
        <v>SENEGAL</v>
      </c>
      <c r="AH130" s="1" t="str">
        <f ca="1">IFERROR(__xludf.DUMMYFUNCTION("""COMPUTED_VALUE"""),"BELGIQUE")</f>
        <v>BELGIQUE</v>
      </c>
      <c r="AI130" s="1" t="str">
        <f ca="1">IFERROR(__xludf.DUMMYFUNCTION("""COMPUTED_VALUE"""),"BELGIQUE")</f>
        <v>BELGIQUE</v>
      </c>
      <c r="AJ130" s="1" t="str">
        <f ca="1">IFERROR(__xludf.DUMMYFUNCTION("""COMPUTED_VALUE"""),"F1237")</f>
        <v>F1237</v>
      </c>
      <c r="AK130" s="1" t="str">
        <f ca="1">IFERROR(__xludf.DUMMYFUNCTION("""COMPUTED_VALUE"""),"Séparé(e)")</f>
        <v>Séparé(e)</v>
      </c>
      <c r="AL130" s="1" t="str">
        <f ca="1">IFERROR(__xludf.DUMMYFUNCTION("""COMPUTED_VALUE"""),"Séparé(e)")</f>
        <v>Séparé(e)</v>
      </c>
      <c r="AM130" s="1" t="str">
        <f ca="1">IFERROR(__xludf.DUMMYFUNCTION("""COMPUTED_VALUE"""),"F1237")</f>
        <v>F1237</v>
      </c>
    </row>
    <row r="131" spans="1:39" ht="13" x14ac:dyDescent="0.15">
      <c r="A131" s="1" t="str">
        <f ca="1">IFERROR(__xludf.DUMMYFUNCTION("""COMPUTED_VALUE"""),"DEHONE David")</f>
        <v>DEHONE David</v>
      </c>
      <c r="B131" s="1" t="str">
        <f ca="1">IFERROR(__xludf.DUMMYFUNCTION("""COMPUTED_VALUE"""),"DEHONE")</f>
        <v>DEHONE</v>
      </c>
      <c r="C131" s="1" t="str">
        <f ca="1">IFERROR(__xludf.DUMMYFUNCTION("""COMPUTED_VALUE"""),"David")</f>
        <v>David</v>
      </c>
      <c r="D131" s="1" t="str">
        <f ca="1">IFERROR(__xludf.DUMMYFUNCTION("""COMPUTED_VALUE"""),"11653S2214")</f>
        <v>11653S2214</v>
      </c>
      <c r="E131" s="2">
        <f ca="1">IFERROR(__xludf.DUMMYFUNCTION("""COMPUTED_VALUE"""),43819)</f>
        <v>43819</v>
      </c>
      <c r="F131" s="1" t="str">
        <f ca="1">IFERROR(__xludf.DUMMYFUNCTION("""COMPUTED_VALUE"""),"CP")</f>
        <v>CP</v>
      </c>
      <c r="G131" s="1" t="str">
        <f ca="1">IFERROR(__xludf.DUMMYFUNCTION("""COMPUTED_VALUE"""),"CP")</f>
        <v>CP</v>
      </c>
      <c r="H131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131" s="1"/>
      <c r="J131" s="1"/>
      <c r="K131" s="1"/>
      <c r="L131" s="1"/>
      <c r="M131" s="1"/>
      <c r="N131" s="1" t="str">
        <f ca="1">IFERROR(__xludf.DUMMYFUNCTION("""COMPUTED_VALUE"""),"Garçon")</f>
        <v>Garçon</v>
      </c>
      <c r="O131" s="1"/>
      <c r="P131" s="1" t="str">
        <f ca="1">IFERROR(__xludf.DUMMYFUNCTION("""COMPUTED_VALUE"""),"CENTRAFRICAINE (REPUBLIQUE)")</f>
        <v>CENTRAFRICAINE (REPUBLIQUE)</v>
      </c>
      <c r="Q131" s="1"/>
      <c r="R131" s="1"/>
      <c r="S131" s="1" t="str">
        <f ca="1">IFERROR(__xludf.DUMMYFUNCTION("""COMPUTED_VALUE"""),"+221")</f>
        <v>+221</v>
      </c>
      <c r="T131" s="1" t="str">
        <f ca="1">IFERROR(__xludf.DUMMYFUNCTION("""COMPUTED_VALUE"""),"DEHONE-DJANNE BONA Naomie Olivia Clemencia Princia")</f>
        <v>DEHONE-DJANNE BONA Naomie Olivia Clemencia Princia</v>
      </c>
      <c r="U131" s="1" t="str">
        <f ca="1">IFERROR(__xludf.DUMMYFUNCTION("""COMPUTED_VALUE"""),"FAZECAS Ioan Fazecas")</f>
        <v>FAZECAS Ioan Fazecas</v>
      </c>
      <c r="V131" s="1" t="str">
        <f ca="1">IFERROR(__xludf.DUMMYFUNCTION("""COMPUTED_VALUE"""),"oliviadehone@gmail.com")</f>
        <v>oliviadehone@gmail.com</v>
      </c>
      <c r="W131" s="1" t="str">
        <f ca="1">IFERROR(__xludf.DUMMYFUNCTION("""COMPUTED_VALUE"""),"fazecas_norbert@yahoo.com")</f>
        <v>fazecas_norbert@yahoo.com</v>
      </c>
      <c r="X131" s="1" t="str">
        <f ca="1">IFERROR(__xludf.DUMMYFUNCTION("""COMPUTED_VALUE"""),"+221 78 468 58 28")</f>
        <v>+221 78 468 58 28</v>
      </c>
      <c r="Y131" s="1" t="str">
        <f ca="1">IFERROR(__xludf.DUMMYFUNCTION("""COMPUTED_VALUE"""),"+41 77 957 57 04")</f>
        <v>+41 77 957 57 04</v>
      </c>
      <c r="Z131" s="1" t="str">
        <f ca="1">IFERROR(__xludf.DUMMYFUNCTION("""COMPUTED_VALUE"""),"+221 78 468 58 28")</f>
        <v>+221 78 468 58 28</v>
      </c>
      <c r="AA131" s="1" t="str">
        <f ca="1">IFERROR(__xludf.DUMMYFUNCTION("""COMPUTED_VALUE"""),"+41 77 957 57 04")</f>
        <v>+41 77 957 57 04</v>
      </c>
      <c r="AB131" s="2">
        <f ca="1">IFERROR(__xludf.DUMMYFUNCTION("""COMPUTED_VALUE"""),36313)</f>
        <v>36313</v>
      </c>
      <c r="AC131" s="2">
        <f ca="1">IFERROR(__xludf.DUMMYFUNCTION("""COMPUTED_VALUE"""),28919)</f>
        <v>28919</v>
      </c>
      <c r="AD131" s="1" t="str">
        <f ca="1">IFERROR(__xludf.DUMMYFUNCTION("""COMPUTED_VALUE"""),"MERE")</f>
        <v>MERE</v>
      </c>
      <c r="AE131" s="1" t="str">
        <f ca="1">IFERROR(__xludf.DUMMYFUNCTION("""COMPUTED_VALUE"""),"AUTRE LIEN")</f>
        <v>AUTRE LIEN</v>
      </c>
      <c r="AF131" s="1" t="str">
        <f ca="1">IFERROR(__xludf.DUMMYFUNCTION("""COMPUTED_VALUE"""),"CENTRAFRICAINE (REPUBLIQUE)")</f>
        <v>CENTRAFRICAINE (REPUBLIQUE)</v>
      </c>
      <c r="AG131" s="1" t="str">
        <f ca="1">IFERROR(__xludf.DUMMYFUNCTION("""COMPUTED_VALUE"""),"HONGRIE")</f>
        <v>HONGRIE</v>
      </c>
      <c r="AH131" s="1"/>
      <c r="AI131" s="1" t="str">
        <f ca="1">IFERROR(__xludf.DUMMYFUNCTION("""COMPUTED_VALUE"""),"ROUMANIE")</f>
        <v>ROUMANIE</v>
      </c>
      <c r="AJ131" s="1" t="str">
        <f ca="1">IFERROR(__xludf.DUMMYFUNCTION("""COMPUTED_VALUE"""),"U11653")</f>
        <v>U11653</v>
      </c>
      <c r="AK131" s="1" t="str">
        <f ca="1">IFERROR(__xludf.DUMMYFUNCTION("""COMPUTED_VALUE"""),"Marié(e)")</f>
        <v>Marié(e)</v>
      </c>
      <c r="AL131" s="1" t="str">
        <f ca="1">IFERROR(__xludf.DUMMYFUNCTION("""COMPUTED_VALUE"""),"Marié(e)")</f>
        <v>Marié(e)</v>
      </c>
      <c r="AM131" s="1" t="str">
        <f ca="1">IFERROR(__xludf.DUMMYFUNCTION("""COMPUTED_VALUE"""),"U11653")</f>
        <v>U11653</v>
      </c>
    </row>
    <row r="132" spans="1:39" ht="13" x14ac:dyDescent="0.15">
      <c r="A132" s="1" t="str">
        <f ca="1">IFERROR(__xludf.DUMMYFUNCTION("""COMPUTED_VALUE"""),"DELSOL Clara-Lina")</f>
        <v>DELSOL Clara-Lina</v>
      </c>
      <c r="B132" s="1" t="str">
        <f ca="1">IFERROR(__xludf.DUMMYFUNCTION("""COMPUTED_VALUE"""),"DELSOL")</f>
        <v>DELSOL</v>
      </c>
      <c r="C132" s="1" t="str">
        <f ca="1">IFERROR(__xludf.DUMMYFUNCTION("""COMPUTED_VALUE"""),"Clara-Lina")</f>
        <v>Clara-Lina</v>
      </c>
      <c r="D132" s="1" t="str">
        <f ca="1">IFERROR(__xludf.DUMMYFUNCTION("""COMPUTED_VALUE"""),"1238E1")</f>
        <v>1238E1</v>
      </c>
      <c r="E132" s="2">
        <f ca="1">IFERROR(__xludf.DUMMYFUNCTION("""COMPUTED_VALUE"""),41453)</f>
        <v>41453</v>
      </c>
      <c r="F132" s="1" t="str">
        <f ca="1">IFERROR(__xludf.DUMMYFUNCTION("""COMPUTED_VALUE"""),"5EME1")</f>
        <v>5EME1</v>
      </c>
      <c r="G132" s="1" t="str">
        <f ca="1">IFERROR(__xludf.DUMMYFUNCTION("""COMPUTED_VALUE"""),"5ème")</f>
        <v>5ème</v>
      </c>
      <c r="H132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132" s="1" t="str">
        <f ca="1">IFERROR(__xludf.DUMMYFUNCTION("""COMPUTED_VALUE"""),"LVA Anglais")</f>
        <v>LVA Anglais</v>
      </c>
      <c r="J132" s="1" t="str">
        <f ca="1">IFERROR(__xludf.DUMMYFUNCTION("""COMPUTED_VALUE"""),"LVB Espagnol")</f>
        <v>LVB Espagnol</v>
      </c>
      <c r="K132" s="1"/>
      <c r="L132" s="1"/>
      <c r="M132" s="1"/>
      <c r="N132" s="1" t="str">
        <f ca="1">IFERROR(__xludf.DUMMYFUNCTION("""COMPUTED_VALUE"""),"Fille")</f>
        <v>Fille</v>
      </c>
      <c r="O132" s="1"/>
      <c r="P132" s="1" t="str">
        <f ca="1">IFERROR(__xludf.DUMMYFUNCTION("""COMPUTED_VALUE"""),"FRANCE")</f>
        <v>FRANCE</v>
      </c>
      <c r="Q132" s="1"/>
      <c r="R132" s="1" t="str">
        <f ca="1">IFERROR(__xludf.DUMMYFUNCTION("""COMPUTED_VALUE"""),"clara-lina.delsol@lfjpsaly.org")</f>
        <v>clara-lina.delsol@lfjpsaly.org</v>
      </c>
      <c r="S132" s="1"/>
      <c r="T132" s="1" t="str">
        <f ca="1">IFERROR(__xludf.DUMMYFUNCTION("""COMPUTED_VALUE"""),"SOW Seynabou")</f>
        <v>SOW Seynabou</v>
      </c>
      <c r="U132" s="1" t="str">
        <f ca="1">IFERROR(__xludf.DUMMYFUNCTION("""COMPUTED_VALUE"""),"DELSOL Marc")</f>
        <v>DELSOL Marc</v>
      </c>
      <c r="V132" s="1" t="str">
        <f ca="1">IFERROR(__xludf.DUMMYFUNCTION("""COMPUTED_VALUE"""),"nabousow10@gmail.com")</f>
        <v>nabousow10@gmail.com</v>
      </c>
      <c r="W132" s="1" t="str">
        <f ca="1">IFERROR(__xludf.DUMMYFUNCTION("""COMPUTED_VALUE"""),"pedromarco635@gmail.com")</f>
        <v>pedromarco635@gmail.com</v>
      </c>
      <c r="X132" s="1" t="str">
        <f ca="1">IFERROR(__xludf.DUMMYFUNCTION("""COMPUTED_VALUE"""),"+221 77 698 06 74")</f>
        <v>+221 77 698 06 74</v>
      </c>
      <c r="Y132" s="1" t="str">
        <f ca="1">IFERROR(__xludf.DUMMYFUNCTION("""COMPUTED_VALUE"""),"+221 77 639 13 93")</f>
        <v>+221 77 639 13 93</v>
      </c>
      <c r="Z132" s="1" t="str">
        <f ca="1">IFERROR(__xludf.DUMMYFUNCTION("""COMPUTED_VALUE"""),"+221")</f>
        <v>+221</v>
      </c>
      <c r="AA132" s="1" t="str">
        <f ca="1">IFERROR(__xludf.DUMMYFUNCTION("""COMPUTED_VALUE"""),"+221 77 639 12 93")</f>
        <v>+221 77 639 12 93</v>
      </c>
      <c r="AB132" s="2">
        <f ca="1">IFERROR(__xludf.DUMMYFUNCTION("""COMPUTED_VALUE"""),33880)</f>
        <v>33880</v>
      </c>
      <c r="AC132" s="2">
        <f ca="1">IFERROR(__xludf.DUMMYFUNCTION("""COMPUTED_VALUE"""),19933)</f>
        <v>19933</v>
      </c>
      <c r="AD132" s="1" t="str">
        <f ca="1">IFERROR(__xludf.DUMMYFUNCTION("""COMPUTED_VALUE"""),"MERE")</f>
        <v>MERE</v>
      </c>
      <c r="AE132" s="1" t="str">
        <f ca="1">IFERROR(__xludf.DUMMYFUNCTION("""COMPUTED_VALUE"""),"PERE")</f>
        <v>PERE</v>
      </c>
      <c r="AF132" s="1" t="str">
        <f ca="1">IFERROR(__xludf.DUMMYFUNCTION("""COMPUTED_VALUE"""),"SENEGAL")</f>
        <v>SENEGAL</v>
      </c>
      <c r="AG132" s="1" t="str">
        <f ca="1">IFERROR(__xludf.DUMMYFUNCTION("""COMPUTED_VALUE"""),"FRANCE")</f>
        <v>FRANCE</v>
      </c>
      <c r="AH132" s="1"/>
      <c r="AI132" s="1"/>
      <c r="AJ132" s="1" t="str">
        <f ca="1">IFERROR(__xludf.DUMMYFUNCTION("""COMPUTED_VALUE"""),"F1238")</f>
        <v>F1238</v>
      </c>
      <c r="AK132" s="1" t="str">
        <f ca="1">IFERROR(__xludf.DUMMYFUNCTION("""COMPUTED_VALUE"""),"Célibataire")</f>
        <v>Célibataire</v>
      </c>
      <c r="AL132" s="1" t="str">
        <f ca="1">IFERROR(__xludf.DUMMYFUNCTION("""COMPUTED_VALUE"""),"Divorcée")</f>
        <v>Divorcée</v>
      </c>
      <c r="AM132" s="1" t="str">
        <f ca="1">IFERROR(__xludf.DUMMYFUNCTION("""COMPUTED_VALUE"""),"F1238")</f>
        <v>F1238</v>
      </c>
    </row>
    <row r="133" spans="1:39" ht="13" x14ac:dyDescent="0.15">
      <c r="A133" s="1" t="str">
        <f ca="1">IFERROR(__xludf.DUMMYFUNCTION("""COMPUTED_VALUE"""),"DEMANGE Laura Sokhna")</f>
        <v>DEMANGE Laura Sokhna</v>
      </c>
      <c r="B133" s="1" t="str">
        <f ca="1">IFERROR(__xludf.DUMMYFUNCTION("""COMPUTED_VALUE"""),"DEMANGE")</f>
        <v>DEMANGE</v>
      </c>
      <c r="C133" s="1" t="str">
        <f ca="1">IFERROR(__xludf.DUMMYFUNCTION("""COMPUTED_VALUE"""),"Laura Sokhna")</f>
        <v>Laura Sokhna</v>
      </c>
      <c r="D133" s="1" t="str">
        <f ca="1">IFERROR(__xludf.DUMMYFUNCTION("""COMPUTED_VALUE"""),"1239E1")</f>
        <v>1239E1</v>
      </c>
      <c r="E133" s="2">
        <f ca="1">IFERROR(__xludf.DUMMYFUNCTION("""COMPUTED_VALUE"""),40345)</f>
        <v>40345</v>
      </c>
      <c r="F133" s="1" t="str">
        <f ca="1">IFERROR(__xludf.DUMMYFUNCTION("""COMPUTED_VALUE"""),"3EME2")</f>
        <v>3EME2</v>
      </c>
      <c r="G133" s="1" t="str">
        <f ca="1">IFERROR(__xludf.DUMMYFUNCTION("""COMPUTED_VALUE"""),"3ème")</f>
        <v>3ème</v>
      </c>
      <c r="H133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133" s="1" t="str">
        <f ca="1">IFERROR(__xludf.DUMMYFUNCTION("""COMPUTED_VALUE"""),"LVA Anglais")</f>
        <v>LVA Anglais</v>
      </c>
      <c r="J133" s="1" t="str">
        <f ca="1">IFERROR(__xludf.DUMMYFUNCTION("""COMPUTED_VALUE"""),"LVB Espagnol")</f>
        <v>LVB Espagnol</v>
      </c>
      <c r="K133" s="1"/>
      <c r="L133" s="1"/>
      <c r="M133" s="1"/>
      <c r="N133" s="1" t="str">
        <f ca="1">IFERROR(__xludf.DUMMYFUNCTION("""COMPUTED_VALUE"""),"Fille")</f>
        <v>Fille</v>
      </c>
      <c r="O133" s="1"/>
      <c r="P133" s="1" t="str">
        <f ca="1">IFERROR(__xludf.DUMMYFUNCTION("""COMPUTED_VALUE"""),"FRANCE")</f>
        <v>FRANCE</v>
      </c>
      <c r="Q133" s="1"/>
      <c r="R133" s="1" t="str">
        <f ca="1">IFERROR(__xludf.DUMMYFUNCTION("""COMPUTED_VALUE"""),"laura.demange@lfjpsaly.org")</f>
        <v>laura.demange@lfjpsaly.org</v>
      </c>
      <c r="S133" s="1"/>
      <c r="T133" s="1" t="str">
        <f ca="1">IFERROR(__xludf.DUMMYFUNCTION("""COMPUTED_VALUE"""),"DEMANGE-FOFANA Marie")</f>
        <v>DEMANGE-FOFANA Marie</v>
      </c>
      <c r="U133" s="1"/>
      <c r="V133" s="1" t="str">
        <f ca="1">IFERROR(__xludf.DUMMYFUNCTION("""COMPUTED_VALUE"""),"laurademange450@icloud.com")</f>
        <v>laurademange450@icloud.com</v>
      </c>
      <c r="W133" s="1"/>
      <c r="X133" s="1" t="str">
        <f ca="1">IFERROR(__xludf.DUMMYFUNCTION("""COMPUTED_VALUE"""),"+221 77 289 85 17")</f>
        <v>+221 77 289 85 17</v>
      </c>
      <c r="Y133" s="1"/>
      <c r="Z133" s="1"/>
      <c r="AA133" s="1"/>
      <c r="AB133" s="2">
        <f ca="1">IFERROR(__xludf.DUMMYFUNCTION("""COMPUTED_VALUE"""),40345)</f>
        <v>40345</v>
      </c>
      <c r="AC133" s="1"/>
      <c r="AD133" s="1" t="str">
        <f ca="1">IFERROR(__xludf.DUMMYFUNCTION("""COMPUTED_VALUE"""),"MERE")</f>
        <v>MERE</v>
      </c>
      <c r="AE133" s="1"/>
      <c r="AF133" s="1" t="str">
        <f ca="1">IFERROR(__xludf.DUMMYFUNCTION("""COMPUTED_VALUE"""),"SENEGAL")</f>
        <v>SENEGAL</v>
      </c>
      <c r="AG133" s="1"/>
      <c r="AH133" s="1"/>
      <c r="AI133" s="1"/>
      <c r="AJ133" s="1" t="str">
        <f ca="1">IFERROR(__xludf.DUMMYFUNCTION("""COMPUTED_VALUE"""),"F1239")</f>
        <v>F1239</v>
      </c>
      <c r="AK133" s="1" t="str">
        <f ca="1">IFERROR(__xludf.DUMMYFUNCTION("""COMPUTED_VALUE"""),"Célibataire")</f>
        <v>Célibataire</v>
      </c>
      <c r="AL133" s="1"/>
      <c r="AM133" s="1" t="str">
        <f ca="1">IFERROR(__xludf.DUMMYFUNCTION("""COMPUTED_VALUE"""),"F1239")</f>
        <v>F1239</v>
      </c>
    </row>
    <row r="134" spans="1:39" ht="13" x14ac:dyDescent="0.15">
      <c r="A134" s="1" t="str">
        <f ca="1">IFERROR(__xludf.DUMMYFUNCTION("""COMPUTED_VALUE"""),"DEME Yalis")</f>
        <v>DEME Yalis</v>
      </c>
      <c r="B134" s="1" t="str">
        <f ca="1">IFERROR(__xludf.DUMMYFUNCTION("""COMPUTED_VALUE"""),"DEME")</f>
        <v>DEME</v>
      </c>
      <c r="C134" s="1" t="str">
        <f ca="1">IFERROR(__xludf.DUMMYFUNCTION("""COMPUTED_VALUE"""),"Yalis")</f>
        <v>Yalis</v>
      </c>
      <c r="D134" s="1" t="str">
        <f ca="1">IFERROR(__xludf.DUMMYFUNCTION("""COMPUTED_VALUE"""),"1240E1")</f>
        <v>1240E1</v>
      </c>
      <c r="E134" s="2">
        <f ca="1">IFERROR(__xludf.DUMMYFUNCTION("""COMPUTED_VALUE"""),42195)</f>
        <v>42195</v>
      </c>
      <c r="F134" s="1" t="str">
        <f ca="1">IFERROR(__xludf.DUMMYFUNCTION("""COMPUTED_VALUE"""),"CM2A")</f>
        <v>CM2A</v>
      </c>
      <c r="G134" s="1" t="str">
        <f ca="1">IFERROR(__xludf.DUMMYFUNCTION("""COMPUTED_VALUE"""),"CM2")</f>
        <v>CM2</v>
      </c>
      <c r="H134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134" s="1"/>
      <c r="J134" s="1"/>
      <c r="K134" s="1"/>
      <c r="L134" s="1"/>
      <c r="M134" s="1"/>
      <c r="N134" s="1" t="str">
        <f ca="1">IFERROR(__xludf.DUMMYFUNCTION("""COMPUTED_VALUE"""),"Fille")</f>
        <v>Fille</v>
      </c>
      <c r="O134" s="1"/>
      <c r="P134" s="1" t="str">
        <f ca="1">IFERROR(__xludf.DUMMYFUNCTION("""COMPUTED_VALUE"""),"SENEGAL")</f>
        <v>SENEGAL</v>
      </c>
      <c r="Q134" s="1" t="str">
        <f ca="1">IFERROR(__xludf.DUMMYFUNCTION("""COMPUTED_VALUE"""),"FRANCE")</f>
        <v>FRANCE</v>
      </c>
      <c r="R134" s="1"/>
      <c r="S134" s="1" t="str">
        <f ca="1">IFERROR(__xludf.DUMMYFUNCTION("""COMPUTED_VALUE"""),"+221 78 303 71 58")</f>
        <v>+221 78 303 71 58</v>
      </c>
      <c r="T134" s="1" t="str">
        <f ca="1">IFERROR(__xludf.DUMMYFUNCTION("""COMPUTED_VALUE"""),"MICHON-GUILLAUME Mathilde")</f>
        <v>MICHON-GUILLAUME Mathilde</v>
      </c>
      <c r="U134" s="1" t="str">
        <f ca="1">IFERROR(__xludf.DUMMYFUNCTION("""COMPUTED_VALUE"""),"DEME Amadou Doudou")</f>
        <v>DEME Amadou Doudou</v>
      </c>
      <c r="V134" s="1" t="str">
        <f ca="1">IFERROR(__xludf.DUMMYFUNCTION("""COMPUTED_VALUE"""),"mathilde.michonguillaume@gmail.com")</f>
        <v>mathilde.michonguillaume@gmail.com</v>
      </c>
      <c r="W134" s="1" t="str">
        <f ca="1">IFERROR(__xludf.DUMMYFUNCTION("""COMPUTED_VALUE"""),"uddudem@gmail.com")</f>
        <v>uddudem@gmail.com</v>
      </c>
      <c r="X134" s="1" t="str">
        <f ca="1">IFERROR(__xludf.DUMMYFUNCTION("""COMPUTED_VALUE"""),"+221 78 303 71 58")</f>
        <v>+221 78 303 71 58</v>
      </c>
      <c r="Y134" s="1" t="str">
        <f ca="1">IFERROR(__xludf.DUMMYFUNCTION("""COMPUTED_VALUE"""),"+221 77 596 42 56")</f>
        <v>+221 77 596 42 56</v>
      </c>
      <c r="Z134" s="1" t="str">
        <f ca="1">IFERROR(__xludf.DUMMYFUNCTION("""COMPUTED_VALUE"""),"+221")</f>
        <v>+221</v>
      </c>
      <c r="AA134" s="1" t="str">
        <f ca="1">IFERROR(__xludf.DUMMYFUNCTION("""COMPUTED_VALUE"""),"+221 77 596 42 56")</f>
        <v>+221 77 596 42 56</v>
      </c>
      <c r="AB134" s="2">
        <f ca="1">IFERROR(__xludf.DUMMYFUNCTION("""COMPUTED_VALUE"""),30668)</f>
        <v>30668</v>
      </c>
      <c r="AC134" s="2">
        <f ca="1">IFERROR(__xludf.DUMMYFUNCTION("""COMPUTED_VALUE"""),30040)</f>
        <v>30040</v>
      </c>
      <c r="AD134" s="1" t="str">
        <f ca="1">IFERROR(__xludf.DUMMYFUNCTION("""COMPUTED_VALUE"""),"MERE")</f>
        <v>MERE</v>
      </c>
      <c r="AE134" s="1" t="str">
        <f ca="1">IFERROR(__xludf.DUMMYFUNCTION("""COMPUTED_VALUE"""),"PERE")</f>
        <v>PERE</v>
      </c>
      <c r="AF134" s="1" t="str">
        <f ca="1">IFERROR(__xludf.DUMMYFUNCTION("""COMPUTED_VALUE"""),"FRANCE")</f>
        <v>FRANCE</v>
      </c>
      <c r="AG134" s="1" t="str">
        <f ca="1">IFERROR(__xludf.DUMMYFUNCTION("""COMPUTED_VALUE"""),"SENEGAL")</f>
        <v>SENEGAL</v>
      </c>
      <c r="AH134" s="1"/>
      <c r="AI134" s="1"/>
      <c r="AJ134" s="1" t="str">
        <f ca="1">IFERROR(__xludf.DUMMYFUNCTION("""COMPUTED_VALUE"""),"F1240")</f>
        <v>F1240</v>
      </c>
      <c r="AK134" s="1" t="str">
        <f ca="1">IFERROR(__xludf.DUMMYFUNCTION("""COMPUTED_VALUE"""),"Marié(e)")</f>
        <v>Marié(e)</v>
      </c>
      <c r="AL134" s="1" t="str">
        <f ca="1">IFERROR(__xludf.DUMMYFUNCTION("""COMPUTED_VALUE"""),"Marié(e)")</f>
        <v>Marié(e)</v>
      </c>
      <c r="AM134" s="1" t="str">
        <f ca="1">IFERROR(__xludf.DUMMYFUNCTION("""COMPUTED_VALUE"""),"F1240")</f>
        <v>F1240</v>
      </c>
    </row>
    <row r="135" spans="1:39" ht="13" x14ac:dyDescent="0.15">
      <c r="A135" s="1" t="str">
        <f ca="1">IFERROR(__xludf.DUMMYFUNCTION("""COMPUTED_VALUE"""),"DIA Noah")</f>
        <v>DIA Noah</v>
      </c>
      <c r="B135" s="1" t="str">
        <f ca="1">IFERROR(__xludf.DUMMYFUNCTION("""COMPUTED_VALUE"""),"DIA")</f>
        <v>DIA</v>
      </c>
      <c r="C135" s="1" t="str">
        <f ca="1">IFERROR(__xludf.DUMMYFUNCTION("""COMPUTED_VALUE"""),"Noah")</f>
        <v>Noah</v>
      </c>
      <c r="D135" s="1" t="str">
        <f ca="1">IFERROR(__xludf.DUMMYFUNCTION("""COMPUTED_VALUE"""),"1644E1")</f>
        <v>1644E1</v>
      </c>
      <c r="E135" s="2">
        <f ca="1">IFERROR(__xludf.DUMMYFUNCTION("""COMPUTED_VALUE"""),43510)</f>
        <v>43510</v>
      </c>
      <c r="F135" s="1" t="str">
        <f ca="1">IFERROR(__xludf.DUMMYFUNCTION("""COMPUTED_VALUE"""),"CP")</f>
        <v>CP</v>
      </c>
      <c r="G135" s="1" t="str">
        <f ca="1">IFERROR(__xludf.DUMMYFUNCTION("""COMPUTED_VALUE"""),"CP")</f>
        <v>CP</v>
      </c>
      <c r="H135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135" s="1"/>
      <c r="J135" s="1"/>
      <c r="K135" s="1"/>
      <c r="L135" s="1"/>
      <c r="M135" s="1"/>
      <c r="N135" s="1" t="str">
        <f ca="1">IFERROR(__xludf.DUMMYFUNCTION("""COMPUTED_VALUE"""),"Garçon")</f>
        <v>Garçon</v>
      </c>
      <c r="O135" s="1"/>
      <c r="P135" s="1" t="str">
        <f ca="1">IFERROR(__xludf.DUMMYFUNCTION("""COMPUTED_VALUE"""),"ITALIE")</f>
        <v>ITALIE</v>
      </c>
      <c r="Q135" s="1"/>
      <c r="R135" s="1"/>
      <c r="S135" s="1"/>
      <c r="T135" s="1" t="str">
        <f ca="1">IFERROR(__xludf.DUMMYFUNCTION("""COMPUTED_VALUE"""),"DIA Adama")</f>
        <v>DIA Adama</v>
      </c>
      <c r="U135" s="1" t="str">
        <f ca="1">IFERROR(__xludf.DUMMYFUNCTION("""COMPUTED_VALUE"""),"EL KAMEL Malak")</f>
        <v>EL KAMEL Malak</v>
      </c>
      <c r="V135" s="1" t="str">
        <f ca="1">IFERROR(__xludf.DUMMYFUNCTION("""COMPUTED_VALUE"""),"adama.dia@casaoptima.com")</f>
        <v>adama.dia@casaoptima.com</v>
      </c>
      <c r="W135" s="1" t="str">
        <f ca="1">IFERROR(__xludf.DUMMYFUNCTION("""COMPUTED_VALUE"""),"malakelkamel@hotmail.it")</f>
        <v>malakelkamel@hotmail.it</v>
      </c>
      <c r="X135" s="1" t="str">
        <f ca="1">IFERROR(__xludf.DUMMYFUNCTION("""COMPUTED_VALUE"""),"+39 338 366 3924")</f>
        <v>+39 338 366 3924</v>
      </c>
      <c r="Y135" s="1" t="str">
        <f ca="1">IFERROR(__xludf.DUMMYFUNCTION("""COMPUTED_VALUE"""),"+221 78 789 86 87")</f>
        <v>+221 78 789 86 87</v>
      </c>
      <c r="Z135" s="1"/>
      <c r="AA135" s="1" t="str">
        <f ca="1">IFERROR(__xludf.DUMMYFUNCTION("""COMPUTED_VALUE"""),"+221 78 789 86 87")</f>
        <v>+221 78 789 86 87</v>
      </c>
      <c r="AB135" s="2">
        <f ca="1">IFERROR(__xludf.DUMMYFUNCTION("""COMPUTED_VALUE"""),27635)</f>
        <v>27635</v>
      </c>
      <c r="AC135" s="2">
        <f ca="1">IFERROR(__xludf.DUMMYFUNCTION("""COMPUTED_VALUE"""),33797)</f>
        <v>33797</v>
      </c>
      <c r="AD135" s="1" t="str">
        <f ca="1">IFERROR(__xludf.DUMMYFUNCTION("""COMPUTED_VALUE"""),"PERE")</f>
        <v>PERE</v>
      </c>
      <c r="AE135" s="1" t="str">
        <f ca="1">IFERROR(__xludf.DUMMYFUNCTION("""COMPUTED_VALUE"""),"MERE")</f>
        <v>MERE</v>
      </c>
      <c r="AF135" s="1" t="str">
        <f ca="1">IFERROR(__xludf.DUMMYFUNCTION("""COMPUTED_VALUE"""),"SENEGAL")</f>
        <v>SENEGAL</v>
      </c>
      <c r="AG135" s="1" t="str">
        <f ca="1">IFERROR(__xludf.DUMMYFUNCTION("""COMPUTED_VALUE"""),"ITALIE")</f>
        <v>ITALIE</v>
      </c>
      <c r="AH135" s="1" t="str">
        <f ca="1">IFERROR(__xludf.DUMMYFUNCTION("""COMPUTED_VALUE"""),"ITALIE")</f>
        <v>ITALIE</v>
      </c>
      <c r="AI135" s="1" t="str">
        <f ca="1">IFERROR(__xludf.DUMMYFUNCTION("""COMPUTED_VALUE"""),"MAROC")</f>
        <v>MAROC</v>
      </c>
      <c r="AJ135" s="1" t="str">
        <f ca="1">IFERROR(__xludf.DUMMYFUNCTION("""COMPUTED_VALUE"""),"F1644")</f>
        <v>F1644</v>
      </c>
      <c r="AK135" s="1" t="str">
        <f ca="1">IFERROR(__xludf.DUMMYFUNCTION("""COMPUTED_VALUE"""),"Marié(e)")</f>
        <v>Marié(e)</v>
      </c>
      <c r="AL135" s="1" t="str">
        <f ca="1">IFERROR(__xludf.DUMMYFUNCTION("""COMPUTED_VALUE"""),"Marié(e)")</f>
        <v>Marié(e)</v>
      </c>
      <c r="AM135" s="1" t="str">
        <f ca="1">IFERROR(__xludf.DUMMYFUNCTION("""COMPUTED_VALUE"""),"F1644")</f>
        <v>F1644</v>
      </c>
    </row>
    <row r="136" spans="1:39" ht="13" x14ac:dyDescent="0.15">
      <c r="A136" s="1" t="str">
        <f ca="1">IFERROR(__xludf.DUMMYFUNCTION("""COMPUTED_VALUE"""),"DIACK Adja Fatou Kiné")</f>
        <v>DIACK Adja Fatou Kiné</v>
      </c>
      <c r="B136" s="1" t="str">
        <f ca="1">IFERROR(__xludf.DUMMYFUNCTION("""COMPUTED_VALUE"""),"DIACK")</f>
        <v>DIACK</v>
      </c>
      <c r="C136" s="1" t="str">
        <f ca="1">IFERROR(__xludf.DUMMYFUNCTION("""COMPUTED_VALUE"""),"Adja Fatou Kiné")</f>
        <v>Adja Fatou Kiné</v>
      </c>
      <c r="D136" s="1" t="str">
        <f ca="1">IFERROR(__xludf.DUMMYFUNCTION("""COMPUTED_VALUE"""),"1247E3")</f>
        <v>1247E3</v>
      </c>
      <c r="E136" s="2">
        <f ca="1">IFERROR(__xludf.DUMMYFUNCTION("""COMPUTED_VALUE"""),41761)</f>
        <v>41761</v>
      </c>
      <c r="F136" s="1" t="str">
        <f ca="1">IFERROR(__xludf.DUMMYFUNCTION("""COMPUTED_VALUE"""),"6EME2")</f>
        <v>6EME2</v>
      </c>
      <c r="G136" s="1" t="str">
        <f ca="1">IFERROR(__xludf.DUMMYFUNCTION("""COMPUTED_VALUE"""),"6ème")</f>
        <v>6ème</v>
      </c>
      <c r="H136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136" s="1" t="str">
        <f ca="1">IFERROR(__xludf.DUMMYFUNCTION("""COMPUTED_VALUE"""),"LVA Anglais")</f>
        <v>LVA Anglais</v>
      </c>
      <c r="J136" s="1" t="str">
        <f ca="1">IFERROR(__xludf.DUMMYFUNCTION("""COMPUTED_VALUE"""),"LVB Espagnol")</f>
        <v>LVB Espagnol</v>
      </c>
      <c r="K136" s="1"/>
      <c r="L136" s="1"/>
      <c r="M136" s="1"/>
      <c r="N136" s="1" t="str">
        <f ca="1">IFERROR(__xludf.DUMMYFUNCTION("""COMPUTED_VALUE"""),"Fille")</f>
        <v>Fille</v>
      </c>
      <c r="O136" s="1"/>
      <c r="P136" s="1" t="str">
        <f ca="1">IFERROR(__xludf.DUMMYFUNCTION("""COMPUTED_VALUE"""),"SENEGAL")</f>
        <v>SENEGAL</v>
      </c>
      <c r="Q136" s="1" t="str">
        <f ca="1">IFERROR(__xludf.DUMMYFUNCTION("""COMPUTED_VALUE"""),"FRANCE")</f>
        <v>FRANCE</v>
      </c>
      <c r="R136" s="1" t="str">
        <f ca="1">IFERROR(__xludf.DUMMYFUNCTION("""COMPUTED_VALUE"""),"adja.diack@lfjpsaly.org")</f>
        <v>adja.diack@lfjpsaly.org</v>
      </c>
      <c r="S136" s="1"/>
      <c r="T136" s="1" t="str">
        <f ca="1">IFERROR(__xludf.DUMMYFUNCTION("""COMPUTED_VALUE"""),"MARCOS Rachel")</f>
        <v>MARCOS Rachel</v>
      </c>
      <c r="U136" s="1" t="str">
        <f ca="1">IFERROR(__xludf.DUMMYFUNCTION("""COMPUTED_VALUE"""),"DIACK Moussa")</f>
        <v>DIACK Moussa</v>
      </c>
      <c r="V136" s="1" t="str">
        <f ca="1">IFERROR(__xludf.DUMMYFUNCTION("""COMPUTED_VALUE"""),"rachelmarcos78@gmail.com")</f>
        <v>rachelmarcos78@gmail.com</v>
      </c>
      <c r="W136" s="1" t="str">
        <f ca="1">IFERROR(__xludf.DUMMYFUNCTION("""COMPUTED_VALUE"""),"lalaaissa@hotmail.com")</f>
        <v>lalaaissa@hotmail.com</v>
      </c>
      <c r="X136" s="1" t="str">
        <f ca="1">IFERROR(__xludf.DUMMYFUNCTION("""COMPUTED_VALUE"""),"+221 77 179 70 55")</f>
        <v>+221 77 179 70 55</v>
      </c>
      <c r="Y136" s="1" t="str">
        <f ca="1">IFERROR(__xludf.DUMMYFUNCTION("""COMPUTED_VALUE"""),"+221 77 215 93 91")</f>
        <v>+221 77 215 93 91</v>
      </c>
      <c r="Z136" s="1"/>
      <c r="AA136" s="1"/>
      <c r="AB136" s="2">
        <f ca="1">IFERROR(__xludf.DUMMYFUNCTION("""COMPUTED_VALUE"""),25464)</f>
        <v>25464</v>
      </c>
      <c r="AC136" s="2">
        <f ca="1">IFERROR(__xludf.DUMMYFUNCTION("""COMPUTED_VALUE"""),27247)</f>
        <v>27247</v>
      </c>
      <c r="AD136" s="1" t="str">
        <f ca="1">IFERROR(__xludf.DUMMYFUNCTION("""COMPUTED_VALUE"""),"MERE")</f>
        <v>MERE</v>
      </c>
      <c r="AE136" s="1" t="str">
        <f ca="1">IFERROR(__xludf.DUMMYFUNCTION("""COMPUTED_VALUE"""),"PERE")</f>
        <v>PERE</v>
      </c>
      <c r="AF136" s="1" t="str">
        <f ca="1">IFERROR(__xludf.DUMMYFUNCTION("""COMPUTED_VALUE"""),"FRANCE")</f>
        <v>FRANCE</v>
      </c>
      <c r="AG136" s="1" t="str">
        <f ca="1">IFERROR(__xludf.DUMMYFUNCTION("""COMPUTED_VALUE"""),"SENEGAL")</f>
        <v>SENEGAL</v>
      </c>
      <c r="AH136" s="1" t="str">
        <f ca="1">IFERROR(__xludf.DUMMYFUNCTION("""COMPUTED_VALUE"""),"SENEGAL")</f>
        <v>SENEGAL</v>
      </c>
      <c r="AI136" s="1" t="str">
        <f ca="1">IFERROR(__xludf.DUMMYFUNCTION("""COMPUTED_VALUE"""),"FRANCE")</f>
        <v>FRANCE</v>
      </c>
      <c r="AJ136" s="1" t="str">
        <f ca="1">IFERROR(__xludf.DUMMYFUNCTION("""COMPUTED_VALUE"""),"F1247")</f>
        <v>F1247</v>
      </c>
      <c r="AK136" s="1" t="str">
        <f ca="1">IFERROR(__xludf.DUMMYFUNCTION("""COMPUTED_VALUE"""),"Divorcée")</f>
        <v>Divorcée</v>
      </c>
      <c r="AL136" s="1" t="str">
        <f ca="1">IFERROR(__xludf.DUMMYFUNCTION("""COMPUTED_VALUE"""),"Divorcée")</f>
        <v>Divorcée</v>
      </c>
      <c r="AM136" s="1" t="str">
        <f ca="1">IFERROR(__xludf.DUMMYFUNCTION("""COMPUTED_VALUE"""),"F1247")</f>
        <v>F1247</v>
      </c>
    </row>
    <row r="137" spans="1:39" ht="13" x14ac:dyDescent="0.15">
      <c r="A137" s="1" t="str">
        <f ca="1">IFERROR(__xludf.DUMMYFUNCTION("""COMPUTED_VALUE"""),"DIACK Cheikh Modou Fallou")</f>
        <v>DIACK Cheikh Modou Fallou</v>
      </c>
      <c r="B137" s="1" t="str">
        <f ca="1">IFERROR(__xludf.DUMMYFUNCTION("""COMPUTED_VALUE"""),"DIACK")</f>
        <v>DIACK</v>
      </c>
      <c r="C137" s="1" t="str">
        <f ca="1">IFERROR(__xludf.DUMMYFUNCTION("""COMPUTED_VALUE"""),"Cheikh Modou Fallou")</f>
        <v>Cheikh Modou Fallou</v>
      </c>
      <c r="D137" s="1" t="str">
        <f ca="1">IFERROR(__xludf.DUMMYFUNCTION("""COMPUTED_VALUE"""),"1247E2")</f>
        <v>1247E2</v>
      </c>
      <c r="E137" s="2">
        <f ca="1">IFERROR(__xludf.DUMMYFUNCTION("""COMPUTED_VALUE"""),40112)</f>
        <v>40112</v>
      </c>
      <c r="F137" s="1" t="str">
        <f ca="1">IFERROR(__xludf.DUMMYFUNCTION("""COMPUTED_VALUE"""),"2NDE1 COOP")</f>
        <v>2NDE1 COOP</v>
      </c>
      <c r="G137" s="1" t="str">
        <f ca="1">IFERROR(__xludf.DUMMYFUNCTION("""COMPUTED_VALUE"""),"2nde")</f>
        <v>2nde</v>
      </c>
      <c r="H137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137" s="1" t="str">
        <f ca="1">IFERROR(__xludf.DUMMYFUNCTION("""COMPUTED_VALUE"""),"LVA Anglais")</f>
        <v>LVA Anglais</v>
      </c>
      <c r="J137" s="1" t="str">
        <f ca="1">IFERROR(__xludf.DUMMYFUNCTION("""COMPUTED_VALUE"""),"LVB Espagnol")</f>
        <v>LVB Espagnol</v>
      </c>
      <c r="K137" s="1"/>
      <c r="L137" s="1"/>
      <c r="M137" s="1"/>
      <c r="N137" s="1" t="str">
        <f ca="1">IFERROR(__xludf.DUMMYFUNCTION("""COMPUTED_VALUE"""),"Garçon")</f>
        <v>Garçon</v>
      </c>
      <c r="O137" s="1"/>
      <c r="P137" s="1" t="str">
        <f ca="1">IFERROR(__xludf.DUMMYFUNCTION("""COMPUTED_VALUE"""),"FRANCE")</f>
        <v>FRANCE</v>
      </c>
      <c r="Q137" s="1" t="str">
        <f ca="1">IFERROR(__xludf.DUMMYFUNCTION("""COMPUTED_VALUE"""),"SENEGAL")</f>
        <v>SENEGAL</v>
      </c>
      <c r="R137" s="1" t="str">
        <f ca="1">IFERROR(__xludf.DUMMYFUNCTION("""COMPUTED_VALUE"""),"cheikh.diack@lfjpsaly.org")</f>
        <v>cheikh.diack@lfjpsaly.org</v>
      </c>
      <c r="S137" s="1"/>
      <c r="T137" s="1" t="str">
        <f ca="1">IFERROR(__xludf.DUMMYFUNCTION("""COMPUTED_VALUE"""),"MARCOS Rachel")</f>
        <v>MARCOS Rachel</v>
      </c>
      <c r="U137" s="1" t="str">
        <f ca="1">IFERROR(__xludf.DUMMYFUNCTION("""COMPUTED_VALUE"""),"DIACK Moussa")</f>
        <v>DIACK Moussa</v>
      </c>
      <c r="V137" s="1" t="str">
        <f ca="1">IFERROR(__xludf.DUMMYFUNCTION("""COMPUTED_VALUE"""),"rachelmarcos78@gmail.com")</f>
        <v>rachelmarcos78@gmail.com</v>
      </c>
      <c r="W137" s="1" t="str">
        <f ca="1">IFERROR(__xludf.DUMMYFUNCTION("""COMPUTED_VALUE"""),"lalaaissa@hotmail.com")</f>
        <v>lalaaissa@hotmail.com</v>
      </c>
      <c r="X137" s="1" t="str">
        <f ca="1">IFERROR(__xludf.DUMMYFUNCTION("""COMPUTED_VALUE"""),"+221 77 179 70 55")</f>
        <v>+221 77 179 70 55</v>
      </c>
      <c r="Y137" s="1" t="str">
        <f ca="1">IFERROR(__xludf.DUMMYFUNCTION("""COMPUTED_VALUE"""),"+221 77 215 93 91")</f>
        <v>+221 77 215 93 91</v>
      </c>
      <c r="Z137" s="1"/>
      <c r="AA137" s="1"/>
      <c r="AB137" s="2">
        <f ca="1">IFERROR(__xludf.DUMMYFUNCTION("""COMPUTED_VALUE"""),25464)</f>
        <v>25464</v>
      </c>
      <c r="AC137" s="2">
        <f ca="1">IFERROR(__xludf.DUMMYFUNCTION("""COMPUTED_VALUE"""),27247)</f>
        <v>27247</v>
      </c>
      <c r="AD137" s="1" t="str">
        <f ca="1">IFERROR(__xludf.DUMMYFUNCTION("""COMPUTED_VALUE"""),"MERE")</f>
        <v>MERE</v>
      </c>
      <c r="AE137" s="1" t="str">
        <f ca="1">IFERROR(__xludf.DUMMYFUNCTION("""COMPUTED_VALUE"""),"PERE")</f>
        <v>PERE</v>
      </c>
      <c r="AF137" s="1" t="str">
        <f ca="1">IFERROR(__xludf.DUMMYFUNCTION("""COMPUTED_VALUE"""),"FRANCE")</f>
        <v>FRANCE</v>
      </c>
      <c r="AG137" s="1" t="str">
        <f ca="1">IFERROR(__xludf.DUMMYFUNCTION("""COMPUTED_VALUE"""),"SENEGAL")</f>
        <v>SENEGAL</v>
      </c>
      <c r="AH137" s="1" t="str">
        <f ca="1">IFERROR(__xludf.DUMMYFUNCTION("""COMPUTED_VALUE"""),"SENEGAL")</f>
        <v>SENEGAL</v>
      </c>
      <c r="AI137" s="1" t="str">
        <f ca="1">IFERROR(__xludf.DUMMYFUNCTION("""COMPUTED_VALUE"""),"FRANCE")</f>
        <v>FRANCE</v>
      </c>
      <c r="AJ137" s="1" t="str">
        <f ca="1">IFERROR(__xludf.DUMMYFUNCTION("""COMPUTED_VALUE"""),"F1247")</f>
        <v>F1247</v>
      </c>
      <c r="AK137" s="1" t="str">
        <f ca="1">IFERROR(__xludf.DUMMYFUNCTION("""COMPUTED_VALUE"""),"Divorcée")</f>
        <v>Divorcée</v>
      </c>
      <c r="AL137" s="1" t="str">
        <f ca="1">IFERROR(__xludf.DUMMYFUNCTION("""COMPUTED_VALUE"""),"Divorcée")</f>
        <v>Divorcée</v>
      </c>
      <c r="AM137" s="1" t="str">
        <f ca="1">IFERROR(__xludf.DUMMYFUNCTION("""COMPUTED_VALUE"""),"F1247")</f>
        <v>F1247</v>
      </c>
    </row>
    <row r="138" spans="1:39" ht="13" x14ac:dyDescent="0.15">
      <c r="A138" s="1" t="str">
        <f ca="1">IFERROR(__xludf.DUMMYFUNCTION("""COMPUTED_VALUE"""),"DIAGNE Aida Abdou Aziz")</f>
        <v>DIAGNE Aida Abdou Aziz</v>
      </c>
      <c r="B138" s="1" t="str">
        <f ca="1">IFERROR(__xludf.DUMMYFUNCTION("""COMPUTED_VALUE"""),"DIAGNE")</f>
        <v>DIAGNE</v>
      </c>
      <c r="C138" s="1" t="str">
        <f ca="1">IFERROR(__xludf.DUMMYFUNCTION("""COMPUTED_VALUE"""),"Aida Abdou Aziz")</f>
        <v>Aida Abdou Aziz</v>
      </c>
      <c r="D138" s="1" t="str">
        <f ca="1">IFERROR(__xludf.DUMMYFUNCTION("""COMPUTED_VALUE"""),"1251E1")</f>
        <v>1251E1</v>
      </c>
      <c r="E138" s="2">
        <f ca="1">IFERROR(__xludf.DUMMYFUNCTION("""COMPUTED_VALUE"""),42686)</f>
        <v>42686</v>
      </c>
      <c r="F138" s="1" t="str">
        <f ca="1">IFERROR(__xludf.DUMMYFUNCTION("""COMPUTED_VALUE"""),"CP-CE2")</f>
        <v>CP-CE2</v>
      </c>
      <c r="G138" s="1" t="str">
        <f ca="1">IFERROR(__xludf.DUMMYFUNCTION("""COMPUTED_VALUE"""),"CE2")</f>
        <v>CE2</v>
      </c>
      <c r="H138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138" s="1"/>
      <c r="J138" s="1"/>
      <c r="K138" s="1"/>
      <c r="L138" s="1"/>
      <c r="M138" s="1"/>
      <c r="N138" s="1" t="str">
        <f ca="1">IFERROR(__xludf.DUMMYFUNCTION("""COMPUTED_VALUE"""),"Fille")</f>
        <v>Fille</v>
      </c>
      <c r="O138" s="1"/>
      <c r="P138" s="1" t="str">
        <f ca="1">IFERROR(__xludf.DUMMYFUNCTION("""COMPUTED_VALUE"""),"SENEGAL")</f>
        <v>SENEGAL</v>
      </c>
      <c r="Q138" s="1"/>
      <c r="R138" s="1"/>
      <c r="S138" s="1"/>
      <c r="T138" s="1" t="str">
        <f ca="1">IFERROR(__xludf.DUMMYFUNCTION("""COMPUTED_VALUE"""),"DIAGNE Abdou Aziz")</f>
        <v>DIAGNE Abdou Aziz</v>
      </c>
      <c r="U138" s="1" t="str">
        <f ca="1">IFERROR(__xludf.DUMMYFUNCTION("""COMPUTED_VALUE"""),"DIAGNE Daba")</f>
        <v>DIAGNE Daba</v>
      </c>
      <c r="V138" s="1" t="str">
        <f ca="1">IFERROR(__xludf.DUMMYFUNCTION("""COMPUTED_VALUE"""),"abdouazizdiagne24@gmail.com")</f>
        <v>abdouazizdiagne24@gmail.com</v>
      </c>
      <c r="W138" s="1" t="str">
        <f ca="1">IFERROR(__xludf.DUMMYFUNCTION("""COMPUTED_VALUE"""),"abdouazizdiagne24@gmail.com")</f>
        <v>abdouazizdiagne24@gmail.com</v>
      </c>
      <c r="X138" s="1" t="str">
        <f ca="1">IFERROR(__xludf.DUMMYFUNCTION("""COMPUTED_VALUE"""),"+221 77 549 51 17")</f>
        <v>+221 77 549 51 17</v>
      </c>
      <c r="Y138" s="1" t="str">
        <f ca="1">IFERROR(__xludf.DUMMYFUNCTION("""COMPUTED_VALUE"""),"+221 77 606 53 19")</f>
        <v>+221 77 606 53 19</v>
      </c>
      <c r="Z138" s="1" t="str">
        <f ca="1">IFERROR(__xludf.DUMMYFUNCTION("""COMPUTED_VALUE"""),"+221")</f>
        <v>+221</v>
      </c>
      <c r="AA138" s="1" t="str">
        <f ca="1">IFERROR(__xludf.DUMMYFUNCTION("""COMPUTED_VALUE"""),"+221")</f>
        <v>+221</v>
      </c>
      <c r="AB138" s="2">
        <f ca="1">IFERROR(__xludf.DUMMYFUNCTION("""COMPUTED_VALUE"""),29426)</f>
        <v>29426</v>
      </c>
      <c r="AC138" s="2">
        <f ca="1">IFERROR(__xludf.DUMMYFUNCTION("""COMPUTED_VALUE"""),32157)</f>
        <v>32157</v>
      </c>
      <c r="AD138" s="1" t="str">
        <f ca="1">IFERROR(__xludf.DUMMYFUNCTION("""COMPUTED_VALUE"""),"PERE")</f>
        <v>PERE</v>
      </c>
      <c r="AE138" s="1" t="str">
        <f ca="1">IFERROR(__xludf.DUMMYFUNCTION("""COMPUTED_VALUE"""),"MERE")</f>
        <v>MERE</v>
      </c>
      <c r="AF138" s="1" t="str">
        <f ca="1">IFERROR(__xludf.DUMMYFUNCTION("""COMPUTED_VALUE"""),"SENEGAL")</f>
        <v>SENEGAL</v>
      </c>
      <c r="AG138" s="1" t="str">
        <f ca="1">IFERROR(__xludf.DUMMYFUNCTION("""COMPUTED_VALUE"""),"SENEGAL")</f>
        <v>SENEGAL</v>
      </c>
      <c r="AH138" s="1"/>
      <c r="AI138" s="1"/>
      <c r="AJ138" s="1" t="str">
        <f ca="1">IFERROR(__xludf.DUMMYFUNCTION("""COMPUTED_VALUE"""),"F1251")</f>
        <v>F1251</v>
      </c>
      <c r="AK138" s="1" t="str">
        <f ca="1">IFERROR(__xludf.DUMMYFUNCTION("""COMPUTED_VALUE"""),"Marié(e)")</f>
        <v>Marié(e)</v>
      </c>
      <c r="AL138" s="1" t="str">
        <f ca="1">IFERROR(__xludf.DUMMYFUNCTION("""COMPUTED_VALUE"""),"Marié(e)")</f>
        <v>Marié(e)</v>
      </c>
      <c r="AM138" s="1" t="str">
        <f ca="1">IFERROR(__xludf.DUMMYFUNCTION("""COMPUTED_VALUE"""),"F1251")</f>
        <v>F1251</v>
      </c>
    </row>
    <row r="139" spans="1:39" ht="13" x14ac:dyDescent="0.15">
      <c r="A139" s="1" t="str">
        <f ca="1">IFERROR(__xludf.DUMMYFUNCTION("""COMPUTED_VALUE"""),"DIAGNE Mohamed Mamadou Rassoul")</f>
        <v>DIAGNE Mohamed Mamadou Rassoul</v>
      </c>
      <c r="B139" s="1" t="str">
        <f ca="1">IFERROR(__xludf.DUMMYFUNCTION("""COMPUTED_VALUE"""),"DIAGNE")</f>
        <v>DIAGNE</v>
      </c>
      <c r="C139" s="1" t="str">
        <f ca="1">IFERROR(__xludf.DUMMYFUNCTION("""COMPUTED_VALUE"""),"Mohamed Mamadou Rassoul")</f>
        <v>Mohamed Mamadou Rassoul</v>
      </c>
      <c r="D139" s="1" t="str">
        <f ca="1">IFERROR(__xludf.DUMMYFUNCTION("""COMPUTED_VALUE"""),"1249E1")</f>
        <v>1249E1</v>
      </c>
      <c r="E139" s="2">
        <f ca="1">IFERROR(__xludf.DUMMYFUNCTION("""COMPUTED_VALUE"""),43943)</f>
        <v>43943</v>
      </c>
      <c r="F139" s="1" t="str">
        <f ca="1">IFERROR(__xludf.DUMMYFUNCTION("""COMPUTED_VALUE"""),"Mat 2")</f>
        <v>Mat 2</v>
      </c>
      <c r="G139" s="1" t="str">
        <f ca="1">IFERROR(__xludf.DUMMYFUNCTION("""COMPUTED_VALUE"""),"GS")</f>
        <v>GS</v>
      </c>
      <c r="H139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139" s="1"/>
      <c r="J139" s="1"/>
      <c r="K139" s="1"/>
      <c r="L139" s="1"/>
      <c r="M139" s="1"/>
      <c r="N139" s="1" t="str">
        <f ca="1">IFERROR(__xludf.DUMMYFUNCTION("""COMPUTED_VALUE"""),"Garçon")</f>
        <v>Garçon</v>
      </c>
      <c r="O139" s="1"/>
      <c r="P139" s="1" t="str">
        <f ca="1">IFERROR(__xludf.DUMMYFUNCTION("""COMPUTED_VALUE"""),"SENEGAL")</f>
        <v>SENEGAL</v>
      </c>
      <c r="Q139" s="1"/>
      <c r="R139" s="1"/>
      <c r="S139" s="1"/>
      <c r="T139" s="1" t="str">
        <f ca="1">IFERROR(__xludf.DUMMYFUNCTION("""COMPUTED_VALUE"""),"DIAGNE Babacar")</f>
        <v>DIAGNE Babacar</v>
      </c>
      <c r="U139" s="1" t="str">
        <f ca="1">IFERROR(__xludf.DUMMYFUNCTION("""COMPUTED_VALUE"""),"DIAGNE Yaye Dior")</f>
        <v>DIAGNE Yaye Dior</v>
      </c>
      <c r="V139" s="1" t="str">
        <f ca="1">IFERROR(__xludf.DUMMYFUNCTION("""COMPUTED_VALUE"""),"babsdiagne011@gmail.com")</f>
        <v>babsdiagne011@gmail.com</v>
      </c>
      <c r="W139" s="1" t="str">
        <f ca="1">IFERROR(__xludf.DUMMYFUNCTION("""COMPUTED_VALUE"""),"diortoure13@live.fr")</f>
        <v>diortoure13@live.fr</v>
      </c>
      <c r="X139" s="1" t="str">
        <f ca="1">IFERROR(__xludf.DUMMYFUNCTION("""COMPUTED_VALUE"""),"+221 77 611 04 50")</f>
        <v>+221 77 611 04 50</v>
      </c>
      <c r="Y139" s="1" t="str">
        <f ca="1">IFERROR(__xludf.DUMMYFUNCTION("""COMPUTED_VALUE"""),"779496058")</f>
        <v>779496058</v>
      </c>
      <c r="Z139" s="1" t="str">
        <f ca="1">IFERROR(__xludf.DUMMYFUNCTION("""COMPUTED_VALUE"""),"+221 77 611 04 50")</f>
        <v>+221 77 611 04 50</v>
      </c>
      <c r="AA139" s="1"/>
      <c r="AB139" s="2">
        <f ca="1">IFERROR(__xludf.DUMMYFUNCTION("""COMPUTED_VALUE"""),32291)</f>
        <v>32291</v>
      </c>
      <c r="AC139" s="2">
        <f ca="1">IFERROR(__xludf.DUMMYFUNCTION("""COMPUTED_VALUE"""),33589)</f>
        <v>33589</v>
      </c>
      <c r="AD139" s="1" t="str">
        <f ca="1">IFERROR(__xludf.DUMMYFUNCTION("""COMPUTED_VALUE"""),"PERE")</f>
        <v>PERE</v>
      </c>
      <c r="AE139" s="1" t="str">
        <f ca="1">IFERROR(__xludf.DUMMYFUNCTION("""COMPUTED_VALUE"""),"MERE")</f>
        <v>MERE</v>
      </c>
      <c r="AF139" s="1" t="str">
        <f ca="1">IFERROR(__xludf.DUMMYFUNCTION("""COMPUTED_VALUE"""),"SENEGAL")</f>
        <v>SENEGAL</v>
      </c>
      <c r="AG139" s="1" t="str">
        <f ca="1">IFERROR(__xludf.DUMMYFUNCTION("""COMPUTED_VALUE"""),"SENEGAL")</f>
        <v>SENEGAL</v>
      </c>
      <c r="AH139" s="1"/>
      <c r="AI139" s="1"/>
      <c r="AJ139" s="1" t="str">
        <f ca="1">IFERROR(__xludf.DUMMYFUNCTION("""COMPUTED_VALUE"""),"F1249")</f>
        <v>F1249</v>
      </c>
      <c r="AK139" s="1" t="str">
        <f ca="1">IFERROR(__xludf.DUMMYFUNCTION("""COMPUTED_VALUE"""),"Marié(e)")</f>
        <v>Marié(e)</v>
      </c>
      <c r="AL139" s="1" t="str">
        <f ca="1">IFERROR(__xludf.DUMMYFUNCTION("""COMPUTED_VALUE"""),"Marié(e)")</f>
        <v>Marié(e)</v>
      </c>
      <c r="AM139" s="1" t="str">
        <f ca="1">IFERROR(__xludf.DUMMYFUNCTION("""COMPUTED_VALUE"""),"F1249")</f>
        <v>F1249</v>
      </c>
    </row>
    <row r="140" spans="1:39" ht="13" x14ac:dyDescent="0.15">
      <c r="A140" s="1" t="str">
        <f ca="1">IFERROR(__xludf.DUMMYFUNCTION("""COMPUTED_VALUE"""),"DIAGNE Ndeye Awa")</f>
        <v>DIAGNE Ndeye Awa</v>
      </c>
      <c r="B140" s="1" t="str">
        <f ca="1">IFERROR(__xludf.DUMMYFUNCTION("""COMPUTED_VALUE"""),"DIAGNE")</f>
        <v>DIAGNE</v>
      </c>
      <c r="C140" s="1" t="str">
        <f ca="1">IFERROR(__xludf.DUMMYFUNCTION("""COMPUTED_VALUE"""),"Ndeye Awa")</f>
        <v>Ndeye Awa</v>
      </c>
      <c r="D140" s="1" t="str">
        <f ca="1">IFERROR(__xludf.DUMMYFUNCTION("""COMPUTED_VALUE"""),"1251E2")</f>
        <v>1251E2</v>
      </c>
      <c r="E140" s="2">
        <f ca="1">IFERROR(__xludf.DUMMYFUNCTION("""COMPUTED_VALUE"""),40241)</f>
        <v>40241</v>
      </c>
      <c r="F140" s="1" t="str">
        <f ca="1">IFERROR(__xludf.DUMMYFUNCTION("""COMPUTED_VALUE"""),"3EME2")</f>
        <v>3EME2</v>
      </c>
      <c r="G140" s="1" t="str">
        <f ca="1">IFERROR(__xludf.DUMMYFUNCTION("""COMPUTED_VALUE"""),"3ème")</f>
        <v>3ème</v>
      </c>
      <c r="H140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140" s="1" t="str">
        <f ca="1">IFERROR(__xludf.DUMMYFUNCTION("""COMPUTED_VALUE"""),"LVA Anglais")</f>
        <v>LVA Anglais</v>
      </c>
      <c r="J140" s="1" t="str">
        <f ca="1">IFERROR(__xludf.DUMMYFUNCTION("""COMPUTED_VALUE"""),"LVB Espagnol")</f>
        <v>LVB Espagnol</v>
      </c>
      <c r="K140" s="1"/>
      <c r="L140" s="1"/>
      <c r="M140" s="1"/>
      <c r="N140" s="1" t="str">
        <f ca="1">IFERROR(__xludf.DUMMYFUNCTION("""COMPUTED_VALUE"""),"Fille")</f>
        <v>Fille</v>
      </c>
      <c r="O140" s="1"/>
      <c r="P140" s="1" t="str">
        <f ca="1">IFERROR(__xludf.DUMMYFUNCTION("""COMPUTED_VALUE"""),"SENEGAL")</f>
        <v>SENEGAL</v>
      </c>
      <c r="Q140" s="1"/>
      <c r="R140" s="1" t="str">
        <f ca="1">IFERROR(__xludf.DUMMYFUNCTION("""COMPUTED_VALUE"""),"ndeye.diagne@lfjpsaly.org")</f>
        <v>ndeye.diagne@lfjpsaly.org</v>
      </c>
      <c r="S140" s="1"/>
      <c r="T140" s="1" t="str">
        <f ca="1">IFERROR(__xludf.DUMMYFUNCTION("""COMPUTED_VALUE"""),"DIAGNE Abdou Aziz")</f>
        <v>DIAGNE Abdou Aziz</v>
      </c>
      <c r="U140" s="1" t="str">
        <f ca="1">IFERROR(__xludf.DUMMYFUNCTION("""COMPUTED_VALUE"""),"DIAGNE Daba")</f>
        <v>DIAGNE Daba</v>
      </c>
      <c r="V140" s="1" t="str">
        <f ca="1">IFERROR(__xludf.DUMMYFUNCTION("""COMPUTED_VALUE"""),"abdouazizdiagne24@gmail.com")</f>
        <v>abdouazizdiagne24@gmail.com</v>
      </c>
      <c r="W140" s="1" t="str">
        <f ca="1">IFERROR(__xludf.DUMMYFUNCTION("""COMPUTED_VALUE"""),"abdouazizdiagne24@gmail.com")</f>
        <v>abdouazizdiagne24@gmail.com</v>
      </c>
      <c r="X140" s="1" t="str">
        <f ca="1">IFERROR(__xludf.DUMMYFUNCTION("""COMPUTED_VALUE"""),"+221 77 549 51 17")</f>
        <v>+221 77 549 51 17</v>
      </c>
      <c r="Y140" s="1" t="str">
        <f ca="1">IFERROR(__xludf.DUMMYFUNCTION("""COMPUTED_VALUE"""),"+221 77 606 53 19")</f>
        <v>+221 77 606 53 19</v>
      </c>
      <c r="Z140" s="1" t="str">
        <f ca="1">IFERROR(__xludf.DUMMYFUNCTION("""COMPUTED_VALUE"""),"+221")</f>
        <v>+221</v>
      </c>
      <c r="AA140" s="1" t="str">
        <f ca="1">IFERROR(__xludf.DUMMYFUNCTION("""COMPUTED_VALUE"""),"+221")</f>
        <v>+221</v>
      </c>
      <c r="AB140" s="2">
        <f ca="1">IFERROR(__xludf.DUMMYFUNCTION("""COMPUTED_VALUE"""),29426)</f>
        <v>29426</v>
      </c>
      <c r="AC140" s="2">
        <f ca="1">IFERROR(__xludf.DUMMYFUNCTION("""COMPUTED_VALUE"""),32157)</f>
        <v>32157</v>
      </c>
      <c r="AD140" s="1" t="str">
        <f ca="1">IFERROR(__xludf.DUMMYFUNCTION("""COMPUTED_VALUE"""),"PERE")</f>
        <v>PERE</v>
      </c>
      <c r="AE140" s="1" t="str">
        <f ca="1">IFERROR(__xludf.DUMMYFUNCTION("""COMPUTED_VALUE"""),"MERE")</f>
        <v>MERE</v>
      </c>
      <c r="AF140" s="1" t="str">
        <f ca="1">IFERROR(__xludf.DUMMYFUNCTION("""COMPUTED_VALUE"""),"SENEGAL")</f>
        <v>SENEGAL</v>
      </c>
      <c r="AG140" s="1" t="str">
        <f ca="1">IFERROR(__xludf.DUMMYFUNCTION("""COMPUTED_VALUE"""),"SENEGAL")</f>
        <v>SENEGAL</v>
      </c>
      <c r="AH140" s="1"/>
      <c r="AI140" s="1"/>
      <c r="AJ140" s="1" t="str">
        <f ca="1">IFERROR(__xludf.DUMMYFUNCTION("""COMPUTED_VALUE"""),"F1251")</f>
        <v>F1251</v>
      </c>
      <c r="AK140" s="1" t="str">
        <f ca="1">IFERROR(__xludf.DUMMYFUNCTION("""COMPUTED_VALUE"""),"Marié(e)")</f>
        <v>Marié(e)</v>
      </c>
      <c r="AL140" s="1" t="str">
        <f ca="1">IFERROR(__xludf.DUMMYFUNCTION("""COMPUTED_VALUE"""),"Marié(e)")</f>
        <v>Marié(e)</v>
      </c>
      <c r="AM140" s="1" t="str">
        <f ca="1">IFERROR(__xludf.DUMMYFUNCTION("""COMPUTED_VALUE"""),"F1251")</f>
        <v>F1251</v>
      </c>
    </row>
    <row r="141" spans="1:39" ht="13" x14ac:dyDescent="0.15">
      <c r="A141" s="1" t="str">
        <f ca="1">IFERROR(__xludf.DUMMYFUNCTION("""COMPUTED_VALUE"""),"DIAGNE Seydina  Alioune")</f>
        <v>DIAGNE Seydina  Alioune</v>
      </c>
      <c r="B141" s="1" t="str">
        <f ca="1">IFERROR(__xludf.DUMMYFUNCTION("""COMPUTED_VALUE"""),"DIAGNE")</f>
        <v>DIAGNE</v>
      </c>
      <c r="C141" s="1" t="str">
        <f ca="1">IFERROR(__xludf.DUMMYFUNCTION("""COMPUTED_VALUE"""),"Seydina  Alioune")</f>
        <v>Seydina  Alioune</v>
      </c>
      <c r="D141" s="1" t="str">
        <f ca="1">IFERROR(__xludf.DUMMYFUNCTION("""COMPUTED_VALUE"""),"1251E3")</f>
        <v>1251E3</v>
      </c>
      <c r="E141" s="2">
        <f ca="1">IFERROR(__xludf.DUMMYFUNCTION("""COMPUTED_VALUE"""),39851)</f>
        <v>39851</v>
      </c>
      <c r="F141" s="1" t="str">
        <f ca="1">IFERROR(__xludf.DUMMYFUNCTION("""COMPUTED_VALUE"""),"1ERE1")</f>
        <v>1ERE1</v>
      </c>
      <c r="G141" s="1" t="str">
        <f ca="1">IFERROR(__xludf.DUMMYFUNCTION("""COMPUTED_VALUE"""),"1ère")</f>
        <v>1ère</v>
      </c>
      <c r="H141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141" s="1" t="str">
        <f ca="1">IFERROR(__xludf.DUMMYFUNCTION("""COMPUTED_VALUE"""),"LVA Anglais")</f>
        <v>LVA Anglais</v>
      </c>
      <c r="J141" s="1" t="str">
        <f ca="1">IFERROR(__xludf.DUMMYFUNCTION("""COMPUTED_VALUE"""),"LVB Espagnol")</f>
        <v>LVB Espagnol</v>
      </c>
      <c r="K141" s="1"/>
      <c r="L141" s="1"/>
      <c r="M141" s="1" t="str">
        <f ca="1">IFERROR(__xludf.DUMMYFUNCTION("""COMPUTED_VALUE"""),"SPE HGGSP, SPE LLCE AMC, SPE SES")</f>
        <v>SPE HGGSP, SPE LLCE AMC, SPE SES</v>
      </c>
      <c r="N141" s="1" t="str">
        <f ca="1">IFERROR(__xludf.DUMMYFUNCTION("""COMPUTED_VALUE"""),"Garçon")</f>
        <v>Garçon</v>
      </c>
      <c r="O141" s="1"/>
      <c r="P141" s="1" t="str">
        <f ca="1">IFERROR(__xludf.DUMMYFUNCTION("""COMPUTED_VALUE"""),"SENEGAL")</f>
        <v>SENEGAL</v>
      </c>
      <c r="Q141" s="1"/>
      <c r="R141" s="1" t="str">
        <f ca="1">IFERROR(__xludf.DUMMYFUNCTION("""COMPUTED_VALUE"""),"seydina.diagne@lfjpsaly.org")</f>
        <v>seydina.diagne@lfjpsaly.org</v>
      </c>
      <c r="S141" s="1"/>
      <c r="T141" s="1" t="str">
        <f ca="1">IFERROR(__xludf.DUMMYFUNCTION("""COMPUTED_VALUE"""),"DIAGNE Abdou Aziz")</f>
        <v>DIAGNE Abdou Aziz</v>
      </c>
      <c r="U141" s="1" t="str">
        <f ca="1">IFERROR(__xludf.DUMMYFUNCTION("""COMPUTED_VALUE"""),"DIAGNE Daba")</f>
        <v>DIAGNE Daba</v>
      </c>
      <c r="V141" s="1" t="str">
        <f ca="1">IFERROR(__xludf.DUMMYFUNCTION("""COMPUTED_VALUE"""),"abdouazizdiagne24@gmail.com")</f>
        <v>abdouazizdiagne24@gmail.com</v>
      </c>
      <c r="W141" s="1" t="str">
        <f ca="1">IFERROR(__xludf.DUMMYFUNCTION("""COMPUTED_VALUE"""),"abdouazizdiagne24@gmail.com")</f>
        <v>abdouazizdiagne24@gmail.com</v>
      </c>
      <c r="X141" s="1" t="str">
        <f ca="1">IFERROR(__xludf.DUMMYFUNCTION("""COMPUTED_VALUE"""),"+221 77 549 51 17")</f>
        <v>+221 77 549 51 17</v>
      </c>
      <c r="Y141" s="1" t="str">
        <f ca="1">IFERROR(__xludf.DUMMYFUNCTION("""COMPUTED_VALUE"""),"+221 77 606 53 19")</f>
        <v>+221 77 606 53 19</v>
      </c>
      <c r="Z141" s="1" t="str">
        <f ca="1">IFERROR(__xludf.DUMMYFUNCTION("""COMPUTED_VALUE"""),"+221")</f>
        <v>+221</v>
      </c>
      <c r="AA141" s="1" t="str">
        <f ca="1">IFERROR(__xludf.DUMMYFUNCTION("""COMPUTED_VALUE"""),"+221")</f>
        <v>+221</v>
      </c>
      <c r="AB141" s="2">
        <f ca="1">IFERROR(__xludf.DUMMYFUNCTION("""COMPUTED_VALUE"""),29426)</f>
        <v>29426</v>
      </c>
      <c r="AC141" s="2">
        <f ca="1">IFERROR(__xludf.DUMMYFUNCTION("""COMPUTED_VALUE"""),32157)</f>
        <v>32157</v>
      </c>
      <c r="AD141" s="1" t="str">
        <f ca="1">IFERROR(__xludf.DUMMYFUNCTION("""COMPUTED_VALUE"""),"PERE")</f>
        <v>PERE</v>
      </c>
      <c r="AE141" s="1" t="str">
        <f ca="1">IFERROR(__xludf.DUMMYFUNCTION("""COMPUTED_VALUE"""),"MERE")</f>
        <v>MERE</v>
      </c>
      <c r="AF141" s="1" t="str">
        <f ca="1">IFERROR(__xludf.DUMMYFUNCTION("""COMPUTED_VALUE"""),"SENEGAL")</f>
        <v>SENEGAL</v>
      </c>
      <c r="AG141" s="1" t="str">
        <f ca="1">IFERROR(__xludf.DUMMYFUNCTION("""COMPUTED_VALUE"""),"SENEGAL")</f>
        <v>SENEGAL</v>
      </c>
      <c r="AH141" s="1"/>
      <c r="AI141" s="1"/>
      <c r="AJ141" s="1" t="str">
        <f ca="1">IFERROR(__xludf.DUMMYFUNCTION("""COMPUTED_VALUE"""),"F1251")</f>
        <v>F1251</v>
      </c>
      <c r="AK141" s="1" t="str">
        <f ca="1">IFERROR(__xludf.DUMMYFUNCTION("""COMPUTED_VALUE"""),"Marié(e)")</f>
        <v>Marié(e)</v>
      </c>
      <c r="AL141" s="1" t="str">
        <f ca="1">IFERROR(__xludf.DUMMYFUNCTION("""COMPUTED_VALUE"""),"Marié(e)")</f>
        <v>Marié(e)</v>
      </c>
      <c r="AM141" s="1" t="str">
        <f ca="1">IFERROR(__xludf.DUMMYFUNCTION("""COMPUTED_VALUE"""),"F1251")</f>
        <v>F1251</v>
      </c>
    </row>
    <row r="142" spans="1:39" ht="13" x14ac:dyDescent="0.15">
      <c r="A142" s="1" t="str">
        <f ca="1">IFERROR(__xludf.DUMMYFUNCTION("""COMPUTED_VALUE"""),"DIAKHABY Safia")</f>
        <v>DIAKHABY Safia</v>
      </c>
      <c r="B142" s="1" t="str">
        <f ca="1">IFERROR(__xludf.DUMMYFUNCTION("""COMPUTED_VALUE"""),"DIAKHABY")</f>
        <v>DIAKHABY</v>
      </c>
      <c r="C142" s="1" t="str">
        <f ca="1">IFERROR(__xludf.DUMMYFUNCTION("""COMPUTED_VALUE"""),"Safia")</f>
        <v>Safia</v>
      </c>
      <c r="D142" s="1" t="str">
        <f ca="1">IFERROR(__xludf.DUMMYFUNCTION("""COMPUTED_VALUE"""),"1252E1")</f>
        <v>1252E1</v>
      </c>
      <c r="E142" s="2">
        <f ca="1">IFERROR(__xludf.DUMMYFUNCTION("""COMPUTED_VALUE"""),39781)</f>
        <v>39781</v>
      </c>
      <c r="F142" s="1" t="str">
        <f ca="1">IFERROR(__xludf.DUMMYFUNCTION("""COMPUTED_VALUE"""),"1ERE2")</f>
        <v>1ERE2</v>
      </c>
      <c r="G142" s="1" t="str">
        <f ca="1">IFERROR(__xludf.DUMMYFUNCTION("""COMPUTED_VALUE"""),"1ère")</f>
        <v>1ère</v>
      </c>
      <c r="H142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142" s="1" t="str">
        <f ca="1">IFERROR(__xludf.DUMMYFUNCTION("""COMPUTED_VALUE"""),"LVA Anglais")</f>
        <v>LVA Anglais</v>
      </c>
      <c r="J142" s="1" t="str">
        <f ca="1">IFERROR(__xludf.DUMMYFUNCTION("""COMPUTED_VALUE"""),"LVB Espagnol")</f>
        <v>LVB Espagnol</v>
      </c>
      <c r="K142" s="1"/>
      <c r="L142" s="1"/>
      <c r="M142" s="1" t="str">
        <f ca="1">IFERROR(__xludf.DUMMYFUNCTION("""COMPUTED_VALUE"""),"SPE MATHS, SPE SES, SPE SPC")</f>
        <v>SPE MATHS, SPE SES, SPE SPC</v>
      </c>
      <c r="N142" s="1" t="str">
        <f ca="1">IFERROR(__xludf.DUMMYFUNCTION("""COMPUTED_VALUE"""),"Fille")</f>
        <v>Fille</v>
      </c>
      <c r="O142" s="1"/>
      <c r="P142" s="1" t="str">
        <f ca="1">IFERROR(__xludf.DUMMYFUNCTION("""COMPUTED_VALUE"""),"FRANCE")</f>
        <v>FRANCE</v>
      </c>
      <c r="Q142" s="1"/>
      <c r="R142" s="1" t="str">
        <f ca="1">IFERROR(__xludf.DUMMYFUNCTION("""COMPUTED_VALUE"""),"safia.diakhaby@lfjpsaly.org")</f>
        <v>safia.diakhaby@lfjpsaly.org</v>
      </c>
      <c r="S142" s="1" t="str">
        <f ca="1">IFERROR(__xludf.DUMMYFUNCTION("""COMPUTED_VALUE"""),"+221")</f>
        <v>+221</v>
      </c>
      <c r="T142" s="1" t="str">
        <f ca="1">IFERROR(__xludf.DUMMYFUNCTION("""COMPUTED_VALUE"""),"DIAKHABY Mamadou")</f>
        <v>DIAKHABY Mamadou</v>
      </c>
      <c r="U142" s="1" t="str">
        <f ca="1">IFERROR(__xludf.DUMMYFUNCTION("""COMPUTED_VALUE"""),"DIAKHABY Fanta")</f>
        <v>DIAKHABY Fanta</v>
      </c>
      <c r="V142" s="1" t="str">
        <f ca="1">IFERROR(__xludf.DUMMYFUNCTION("""COMPUTED_VALUE"""),"adjisokhna12@yahoo.fr")</f>
        <v>adjisokhna12@yahoo.fr</v>
      </c>
      <c r="W142" s="1" t="str">
        <f ca="1">IFERROR(__xludf.DUMMYFUNCTION("""COMPUTED_VALUE"""),"fantamint@yahoo.fr")</f>
        <v>fantamint@yahoo.fr</v>
      </c>
      <c r="X142" s="1" t="str">
        <f ca="1">IFERROR(__xludf.DUMMYFUNCTION("""COMPUTED_VALUE"""),"+221 77 540 83 76")</f>
        <v>+221 77 540 83 76</v>
      </c>
      <c r="Y142" s="1" t="str">
        <f ca="1">IFERROR(__xludf.DUMMYFUNCTION("""COMPUTED_VALUE"""),"+221 77 540 83 76")</f>
        <v>+221 77 540 83 76</v>
      </c>
      <c r="Z142" s="1"/>
      <c r="AA142" s="1" t="str">
        <f ca="1">IFERROR(__xludf.DUMMYFUNCTION("""COMPUTED_VALUE"""),"+221")</f>
        <v>+221</v>
      </c>
      <c r="AB142" s="2">
        <f ca="1">IFERROR(__xludf.DUMMYFUNCTION("""COMPUTED_VALUE"""),27882)</f>
        <v>27882</v>
      </c>
      <c r="AC142" s="2">
        <f ca="1">IFERROR(__xludf.DUMMYFUNCTION("""COMPUTED_VALUE"""),27856)</f>
        <v>27856</v>
      </c>
      <c r="AD142" s="1" t="str">
        <f ca="1">IFERROR(__xludf.DUMMYFUNCTION("""COMPUTED_VALUE"""),"PERE")</f>
        <v>PERE</v>
      </c>
      <c r="AE142" s="1" t="str">
        <f ca="1">IFERROR(__xludf.DUMMYFUNCTION("""COMPUTED_VALUE"""),"MERE")</f>
        <v>MERE</v>
      </c>
      <c r="AF142" s="1" t="str">
        <f ca="1">IFERROR(__xludf.DUMMYFUNCTION("""COMPUTED_VALUE"""),"FRANCE")</f>
        <v>FRANCE</v>
      </c>
      <c r="AG142" s="1" t="str">
        <f ca="1">IFERROR(__xludf.DUMMYFUNCTION("""COMPUTED_VALUE"""),"FRANCE")</f>
        <v>FRANCE</v>
      </c>
      <c r="AH142" s="1"/>
      <c r="AI142" s="1"/>
      <c r="AJ142" s="1" t="str">
        <f ca="1">IFERROR(__xludf.DUMMYFUNCTION("""COMPUTED_VALUE"""),"F1252")</f>
        <v>F1252</v>
      </c>
      <c r="AK142" s="1" t="str">
        <f ca="1">IFERROR(__xludf.DUMMYFUNCTION("""COMPUTED_VALUE"""),"Marié(e)")</f>
        <v>Marié(e)</v>
      </c>
      <c r="AL142" s="1" t="str">
        <f ca="1">IFERROR(__xludf.DUMMYFUNCTION("""COMPUTED_VALUE"""),"Marié(e)")</f>
        <v>Marié(e)</v>
      </c>
      <c r="AM142" s="1" t="str">
        <f ca="1">IFERROR(__xludf.DUMMYFUNCTION("""COMPUTED_VALUE"""),"F1252")</f>
        <v>F1252</v>
      </c>
    </row>
    <row r="143" spans="1:39" ht="13" x14ac:dyDescent="0.15">
      <c r="A143" s="1" t="str">
        <f ca="1">IFERROR(__xludf.DUMMYFUNCTION("""COMPUTED_VALUE"""),"DIAKHATE Tabara Gaye")</f>
        <v>DIAKHATE Tabara Gaye</v>
      </c>
      <c r="B143" s="1" t="str">
        <f ca="1">IFERROR(__xludf.DUMMYFUNCTION("""COMPUTED_VALUE"""),"DIAKHATE")</f>
        <v>DIAKHATE</v>
      </c>
      <c r="C143" s="1" t="str">
        <f ca="1">IFERROR(__xludf.DUMMYFUNCTION("""COMPUTED_VALUE"""),"Tabara Gaye")</f>
        <v>Tabara Gaye</v>
      </c>
      <c r="D143" s="1" t="str">
        <f ca="1">IFERROR(__xludf.DUMMYFUNCTION("""COMPUTED_VALUE"""),"11808S2576")</f>
        <v>11808S2576</v>
      </c>
      <c r="E143" s="2">
        <f ca="1">IFERROR(__xludf.DUMMYFUNCTION("""COMPUTED_VALUE"""),41768)</f>
        <v>41768</v>
      </c>
      <c r="F143" s="1" t="str">
        <f ca="1">IFERROR(__xludf.DUMMYFUNCTION("""COMPUTED_VALUE"""),"CM2B")</f>
        <v>CM2B</v>
      </c>
      <c r="G143" s="1" t="str">
        <f ca="1">IFERROR(__xludf.DUMMYFUNCTION("""COMPUTED_VALUE"""),"CM2")</f>
        <v>CM2</v>
      </c>
      <c r="H143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143" s="1"/>
      <c r="J143" s="1"/>
      <c r="K143" s="1"/>
      <c r="L143" s="1"/>
      <c r="M143" s="1"/>
      <c r="N143" s="1" t="str">
        <f ca="1">IFERROR(__xludf.DUMMYFUNCTION("""COMPUTED_VALUE"""),"Fille")</f>
        <v>Fille</v>
      </c>
      <c r="O143" s="1"/>
      <c r="P143" s="1" t="str">
        <f ca="1">IFERROR(__xludf.DUMMYFUNCTION("""COMPUTED_VALUE"""),"SENEGAL")</f>
        <v>SENEGAL</v>
      </c>
      <c r="Q143" s="1" t="str">
        <f ca="1">IFERROR(__xludf.DUMMYFUNCTION("""COMPUTED_VALUE"""),"SENEGAL")</f>
        <v>SENEGAL</v>
      </c>
      <c r="R143" s="1"/>
      <c r="S143" s="1" t="str">
        <f ca="1">IFERROR(__xludf.DUMMYFUNCTION("""COMPUTED_VALUE"""),"+221 77 645 48 46")</f>
        <v>+221 77 645 48 46</v>
      </c>
      <c r="T143" s="1" t="str">
        <f ca="1">IFERROR(__xludf.DUMMYFUNCTION("""COMPUTED_VALUE"""),"DJIGO Aminata Moussa")</f>
        <v>DJIGO Aminata Moussa</v>
      </c>
      <c r="U143" s="1" t="str">
        <f ca="1">IFERROR(__xludf.DUMMYFUNCTION("""COMPUTED_VALUE"""),"DJIGO Aminata Moussa")</f>
        <v>DJIGO Aminata Moussa</v>
      </c>
      <c r="V143" s="1" t="str">
        <f ca="1">IFERROR(__xludf.DUMMYFUNCTION("""COMPUTED_VALUE"""),"djigoami@gmail.com")</f>
        <v>djigoami@gmail.com</v>
      </c>
      <c r="W143" s="1" t="str">
        <f ca="1">IFERROR(__xludf.DUMMYFUNCTION("""COMPUTED_VALUE"""),"djigo_amina@yahoo.com")</f>
        <v>djigo_amina@yahoo.com</v>
      </c>
      <c r="X143" s="1" t="str">
        <f ca="1">IFERROR(__xludf.DUMMYFUNCTION("""COMPUTED_VALUE"""),"+221 77 645 48 46")</f>
        <v>+221 77 645 48 46</v>
      </c>
      <c r="Y143" s="1" t="str">
        <f ca="1">IFERROR(__xludf.DUMMYFUNCTION("""COMPUTED_VALUE"""),"+221 77 645 48 46")</f>
        <v>+221 77 645 48 46</v>
      </c>
      <c r="Z143" s="1" t="str">
        <f ca="1">IFERROR(__xludf.DUMMYFUNCTION("""COMPUTED_VALUE"""),"+221 77 645 48 46")</f>
        <v>+221 77 645 48 46</v>
      </c>
      <c r="AA143" s="1" t="str">
        <f ca="1">IFERROR(__xludf.DUMMYFUNCTION("""COMPUTED_VALUE"""),"+221 77 645 48 46")</f>
        <v>+221 77 645 48 46</v>
      </c>
      <c r="AB143" s="2">
        <f ca="1">IFERROR(__xludf.DUMMYFUNCTION("""COMPUTED_VALUE"""),29462)</f>
        <v>29462</v>
      </c>
      <c r="AC143" s="2">
        <f ca="1">IFERROR(__xludf.DUMMYFUNCTION("""COMPUTED_VALUE"""),29462)</f>
        <v>29462</v>
      </c>
      <c r="AD143" s="1" t="str">
        <f ca="1">IFERROR(__xludf.DUMMYFUNCTION("""COMPUTED_VALUE"""),"MERE")</f>
        <v>MERE</v>
      </c>
      <c r="AE143" s="1" t="str">
        <f ca="1">IFERROR(__xludf.DUMMYFUNCTION("""COMPUTED_VALUE"""),"MERE")</f>
        <v>MERE</v>
      </c>
      <c r="AF143" s="1" t="str">
        <f ca="1">IFERROR(__xludf.DUMMYFUNCTION("""COMPUTED_VALUE"""),"SENEGAL")</f>
        <v>SENEGAL</v>
      </c>
      <c r="AG143" s="1" t="str">
        <f ca="1">IFERROR(__xludf.DUMMYFUNCTION("""COMPUTED_VALUE"""),"SENEGAL")</f>
        <v>SENEGAL</v>
      </c>
      <c r="AH143" s="1" t="str">
        <f ca="1">IFERROR(__xludf.DUMMYFUNCTION("""COMPUTED_VALUE"""),"SENEGAL")</f>
        <v>SENEGAL</v>
      </c>
      <c r="AI143" s="1" t="str">
        <f ca="1">IFERROR(__xludf.DUMMYFUNCTION("""COMPUTED_VALUE"""),"SENEGAL")</f>
        <v>SENEGAL</v>
      </c>
      <c r="AJ143" s="1" t="str">
        <f ca="1">IFERROR(__xludf.DUMMYFUNCTION("""COMPUTED_VALUE"""),"U11808")</f>
        <v>U11808</v>
      </c>
      <c r="AK143" s="1" t="str">
        <f ca="1">IFERROR(__xludf.DUMMYFUNCTION("""COMPUTED_VALUE"""),"Séparé(e)")</f>
        <v>Séparé(e)</v>
      </c>
      <c r="AL143" s="1" t="str">
        <f ca="1">IFERROR(__xludf.DUMMYFUNCTION("""COMPUTED_VALUE"""),"Séparé(e)")</f>
        <v>Séparé(e)</v>
      </c>
      <c r="AM143" s="1" t="str">
        <f ca="1">IFERROR(__xludf.DUMMYFUNCTION("""COMPUTED_VALUE"""),"U11808")</f>
        <v>U11808</v>
      </c>
    </row>
    <row r="144" spans="1:39" ht="13" x14ac:dyDescent="0.15">
      <c r="A144" s="1" t="str">
        <f ca="1">IFERROR(__xludf.DUMMYFUNCTION("""COMPUTED_VALUE"""),"DIAKITE Assietou Dite Assy")</f>
        <v>DIAKITE Assietou Dite Assy</v>
      </c>
      <c r="B144" s="1" t="str">
        <f ca="1">IFERROR(__xludf.DUMMYFUNCTION("""COMPUTED_VALUE"""),"DIAKITE")</f>
        <v>DIAKITE</v>
      </c>
      <c r="C144" s="1" t="str">
        <f ca="1">IFERROR(__xludf.DUMMYFUNCTION("""COMPUTED_VALUE"""),"Assietou Dite Assy")</f>
        <v>Assietou Dite Assy</v>
      </c>
      <c r="D144" s="1" t="str">
        <f ca="1">IFERROR(__xludf.DUMMYFUNCTION("""COMPUTED_VALUE"""),"11761S2487")</f>
        <v>11761S2487</v>
      </c>
      <c r="E144" s="2">
        <f ca="1">IFERROR(__xludf.DUMMYFUNCTION("""COMPUTED_VALUE"""),39918)</f>
        <v>39918</v>
      </c>
      <c r="F144" s="1" t="str">
        <f ca="1">IFERROR(__xludf.DUMMYFUNCTION("""COMPUTED_VALUE"""),"1ERE2")</f>
        <v>1ERE2</v>
      </c>
      <c r="G144" s="1" t="str">
        <f ca="1">IFERROR(__xludf.DUMMYFUNCTION("""COMPUTED_VALUE"""),"1ère")</f>
        <v>1ère</v>
      </c>
      <c r="H144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144" s="1" t="str">
        <f ca="1">IFERROR(__xludf.DUMMYFUNCTION("""COMPUTED_VALUE"""),"LVA Anglais")</f>
        <v>LVA Anglais</v>
      </c>
      <c r="J144" s="1" t="str">
        <f ca="1">IFERROR(__xludf.DUMMYFUNCTION("""COMPUTED_VALUE"""),"LVB Espagnol")</f>
        <v>LVB Espagnol</v>
      </c>
      <c r="K144" s="1"/>
      <c r="L144" s="1"/>
      <c r="M144" s="1" t="str">
        <f ca="1">IFERROR(__xludf.DUMMYFUNCTION("""COMPUTED_VALUE"""),"SPE HGGSP, SPE SES, SPE LLCE AMC")</f>
        <v>SPE HGGSP, SPE SES, SPE LLCE AMC</v>
      </c>
      <c r="N144" s="1" t="str">
        <f ca="1">IFERROR(__xludf.DUMMYFUNCTION("""COMPUTED_VALUE"""),"Fille")</f>
        <v>Fille</v>
      </c>
      <c r="O144" s="1"/>
      <c r="P144" s="1" t="str">
        <f ca="1">IFERROR(__xludf.DUMMYFUNCTION("""COMPUTED_VALUE"""),"SENEGAL")</f>
        <v>SENEGAL</v>
      </c>
      <c r="Q144" s="1"/>
      <c r="R144" s="1" t="str">
        <f ca="1">IFERROR(__xludf.DUMMYFUNCTION("""COMPUTED_VALUE"""),"assietou.diakite@lfjpsaly.org")</f>
        <v>assietou.diakite@lfjpsaly.org</v>
      </c>
      <c r="S144" s="1" t="str">
        <f ca="1">IFERROR(__xludf.DUMMYFUNCTION("""COMPUTED_VALUE"""),"+221 77 495 57 79")</f>
        <v>+221 77 495 57 79</v>
      </c>
      <c r="T144" s="1" t="str">
        <f ca="1">IFERROR(__xludf.DUMMYFUNCTION("""COMPUTED_VALUE"""),"TOURE Penda")</f>
        <v>TOURE Penda</v>
      </c>
      <c r="U144" s="1"/>
      <c r="V144" s="1" t="str">
        <f ca="1">IFERROR(__xludf.DUMMYFUNCTION("""COMPUTED_VALUE"""),"pendatoure40a@gmail.com")</f>
        <v>pendatoure40a@gmail.com</v>
      </c>
      <c r="W144" s="1"/>
      <c r="X144" s="1" t="str">
        <f ca="1">IFERROR(__xludf.DUMMYFUNCTION("""COMPUTED_VALUE"""),"+221 77 495 57 79")</f>
        <v>+221 77 495 57 79</v>
      </c>
      <c r="Y144" s="1"/>
      <c r="Z144" s="1" t="str">
        <f ca="1">IFERROR(__xludf.DUMMYFUNCTION("""COMPUTED_VALUE"""),"+221 77 495 57 79")</f>
        <v>+221 77 495 57 79</v>
      </c>
      <c r="AA144" s="1"/>
      <c r="AB144" s="2">
        <f ca="1">IFERROR(__xludf.DUMMYFUNCTION("""COMPUTED_VALUE"""),25313)</f>
        <v>25313</v>
      </c>
      <c r="AC144" s="1"/>
      <c r="AD144" s="1" t="str">
        <f ca="1">IFERROR(__xludf.DUMMYFUNCTION("""COMPUTED_VALUE"""),"MERE")</f>
        <v>MERE</v>
      </c>
      <c r="AE144" s="1"/>
      <c r="AF144" s="1" t="str">
        <f ca="1">IFERROR(__xludf.DUMMYFUNCTION("""COMPUTED_VALUE"""),"SENEGAL")</f>
        <v>SENEGAL</v>
      </c>
      <c r="AG144" s="1"/>
      <c r="AH144" s="1"/>
      <c r="AI144" s="1"/>
      <c r="AJ144" s="1" t="str">
        <f ca="1">IFERROR(__xludf.DUMMYFUNCTION("""COMPUTED_VALUE"""),"U11761")</f>
        <v>U11761</v>
      </c>
      <c r="AK144" s="1" t="str">
        <f ca="1">IFERROR(__xludf.DUMMYFUNCTION("""COMPUTED_VALUE"""),"Divorcée")</f>
        <v>Divorcée</v>
      </c>
      <c r="AL144" s="1"/>
      <c r="AM144" s="1" t="str">
        <f ca="1">IFERROR(__xludf.DUMMYFUNCTION("""COMPUTED_VALUE"""),"U11761")</f>
        <v>U11761</v>
      </c>
    </row>
    <row r="145" spans="1:39" ht="13" x14ac:dyDescent="0.15">
      <c r="A145" s="1" t="str">
        <f ca="1">IFERROR(__xludf.DUMMYFUNCTION("""COMPUTED_VALUE"""),"DIALLO Djibril")</f>
        <v>DIALLO Djibril</v>
      </c>
      <c r="B145" s="1" t="str">
        <f ca="1">IFERROR(__xludf.DUMMYFUNCTION("""COMPUTED_VALUE"""),"DIALLO")</f>
        <v>DIALLO</v>
      </c>
      <c r="C145" s="1" t="str">
        <f ca="1">IFERROR(__xludf.DUMMYFUNCTION("""COMPUTED_VALUE"""),"Djibril")</f>
        <v>Djibril</v>
      </c>
      <c r="D145" s="1" t="str">
        <f ca="1">IFERROR(__xludf.DUMMYFUNCTION("""COMPUTED_VALUE"""),"1257E1")</f>
        <v>1257E1</v>
      </c>
      <c r="E145" s="2">
        <f ca="1">IFERROR(__xludf.DUMMYFUNCTION("""COMPUTED_VALUE"""),40864)</f>
        <v>40864</v>
      </c>
      <c r="F145" s="1" t="str">
        <f ca="1">IFERROR(__xludf.DUMMYFUNCTION("""COMPUTED_VALUE"""),"3EME2")</f>
        <v>3EME2</v>
      </c>
      <c r="G145" s="1" t="str">
        <f ca="1">IFERROR(__xludf.DUMMYFUNCTION("""COMPUTED_VALUE"""),"3ème")</f>
        <v>3ème</v>
      </c>
      <c r="H145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145" s="1" t="str">
        <f ca="1">IFERROR(__xludf.DUMMYFUNCTION("""COMPUTED_VALUE"""),"LVA Anglais")</f>
        <v>LVA Anglais</v>
      </c>
      <c r="J145" s="1" t="str">
        <f ca="1">IFERROR(__xludf.DUMMYFUNCTION("""COMPUTED_VALUE"""),"LVB Espagnol")</f>
        <v>LVB Espagnol</v>
      </c>
      <c r="K145" s="1"/>
      <c r="L145" s="1"/>
      <c r="M145" s="1"/>
      <c r="N145" s="1" t="str">
        <f ca="1">IFERROR(__xludf.DUMMYFUNCTION("""COMPUTED_VALUE"""),"Garçon")</f>
        <v>Garçon</v>
      </c>
      <c r="O145" s="1"/>
      <c r="P145" s="1" t="str">
        <f ca="1">IFERROR(__xludf.DUMMYFUNCTION("""COMPUTED_VALUE"""),"FRANCE")</f>
        <v>FRANCE</v>
      </c>
      <c r="Q145" s="1" t="str">
        <f ca="1">IFERROR(__xludf.DUMMYFUNCTION("""COMPUTED_VALUE"""),"SENEGAL")</f>
        <v>SENEGAL</v>
      </c>
      <c r="R145" s="1" t="str">
        <f ca="1">IFERROR(__xludf.DUMMYFUNCTION("""COMPUTED_VALUE"""),"djibril.diallo@lfjpsaly.org")</f>
        <v>djibril.diallo@lfjpsaly.org</v>
      </c>
      <c r="S145" s="1"/>
      <c r="T145" s="1" t="str">
        <f ca="1">IFERROR(__xludf.DUMMYFUNCTION("""COMPUTED_VALUE"""),"DIALLO Mamadou")</f>
        <v>DIALLO Mamadou</v>
      </c>
      <c r="U145" s="1" t="str">
        <f ca="1">IFERROR(__xludf.DUMMYFUNCTION("""COMPUTED_VALUE"""),"DIALLO Halimetou")</f>
        <v>DIALLO Halimetou</v>
      </c>
      <c r="V145" s="1" t="str">
        <f ca="1">IFERROR(__xludf.DUMMYFUNCTION("""COMPUTED_VALUE"""),"mamdia@gmail.com")</f>
        <v>mamdia@gmail.com</v>
      </c>
      <c r="W145" s="1" t="str">
        <f ca="1">IFERROR(__xludf.DUMMYFUNCTION("""COMPUTED_VALUE"""),"halisakho@gmail.com")</f>
        <v>halisakho@gmail.com</v>
      </c>
      <c r="X145" s="1" t="str">
        <f ca="1">IFERROR(__xludf.DUMMYFUNCTION("""COMPUTED_VALUE"""),"+221 78 593 50 23")</f>
        <v>+221 78 593 50 23</v>
      </c>
      <c r="Y145" s="1" t="str">
        <f ca="1">IFERROR(__xludf.DUMMYFUNCTION("""COMPUTED_VALUE"""),"+221 77 705 43 21")</f>
        <v>+221 77 705 43 21</v>
      </c>
      <c r="Z145" s="1" t="str">
        <f ca="1">IFERROR(__xludf.DUMMYFUNCTION("""COMPUTED_VALUE"""),"+221")</f>
        <v>+221</v>
      </c>
      <c r="AA145" s="1" t="str">
        <f ca="1">IFERROR(__xludf.DUMMYFUNCTION("""COMPUTED_VALUE"""),"+221")</f>
        <v>+221</v>
      </c>
      <c r="AB145" s="2">
        <f ca="1">IFERROR(__xludf.DUMMYFUNCTION("""COMPUTED_VALUE"""),29003)</f>
        <v>29003</v>
      </c>
      <c r="AC145" s="2">
        <f ca="1">IFERROR(__xludf.DUMMYFUNCTION("""COMPUTED_VALUE"""),30065)</f>
        <v>30065</v>
      </c>
      <c r="AD145" s="1" t="str">
        <f ca="1">IFERROR(__xludf.DUMMYFUNCTION("""COMPUTED_VALUE"""),"PERE")</f>
        <v>PERE</v>
      </c>
      <c r="AE145" s="1" t="str">
        <f ca="1">IFERROR(__xludf.DUMMYFUNCTION("""COMPUTED_VALUE"""),"MERE")</f>
        <v>MERE</v>
      </c>
      <c r="AF145" s="1" t="str">
        <f ca="1">IFERROR(__xludf.DUMMYFUNCTION("""COMPUTED_VALUE"""),"FRANCE")</f>
        <v>FRANCE</v>
      </c>
      <c r="AG145" s="1" t="str">
        <f ca="1">IFERROR(__xludf.DUMMYFUNCTION("""COMPUTED_VALUE"""),"FRANCE")</f>
        <v>FRANCE</v>
      </c>
      <c r="AH145" s="1" t="str">
        <f ca="1">IFERROR(__xludf.DUMMYFUNCTION("""COMPUTED_VALUE"""),"SENEGAL")</f>
        <v>SENEGAL</v>
      </c>
      <c r="AI145" s="1" t="str">
        <f ca="1">IFERROR(__xludf.DUMMYFUNCTION("""COMPUTED_VALUE"""),"SENEGAL")</f>
        <v>SENEGAL</v>
      </c>
      <c r="AJ145" s="1" t="str">
        <f ca="1">IFERROR(__xludf.DUMMYFUNCTION("""COMPUTED_VALUE"""),"F1257")</f>
        <v>F1257</v>
      </c>
      <c r="AK145" s="1" t="str">
        <f ca="1">IFERROR(__xludf.DUMMYFUNCTION("""COMPUTED_VALUE"""),"Marié(e)")</f>
        <v>Marié(e)</v>
      </c>
      <c r="AL145" s="1" t="str">
        <f ca="1">IFERROR(__xludf.DUMMYFUNCTION("""COMPUTED_VALUE"""),"Marié(e)")</f>
        <v>Marié(e)</v>
      </c>
      <c r="AM145" s="1" t="str">
        <f ca="1">IFERROR(__xludf.DUMMYFUNCTION("""COMPUTED_VALUE"""),"F1257")</f>
        <v>F1257</v>
      </c>
    </row>
    <row r="146" spans="1:39" ht="13" x14ac:dyDescent="0.15">
      <c r="A146" s="1" t="str">
        <f ca="1">IFERROR(__xludf.DUMMYFUNCTION("""COMPUTED_VALUE"""),"DIALLO Hassimiou Djélani Gérard")</f>
        <v>DIALLO Hassimiou Djélani Gérard</v>
      </c>
      <c r="B146" s="1" t="str">
        <f ca="1">IFERROR(__xludf.DUMMYFUNCTION("""COMPUTED_VALUE"""),"DIALLO")</f>
        <v>DIALLO</v>
      </c>
      <c r="C146" s="1" t="str">
        <f ca="1">IFERROR(__xludf.DUMMYFUNCTION("""COMPUTED_VALUE"""),"Hassimiou Djélani Gérard")</f>
        <v>Hassimiou Djélani Gérard</v>
      </c>
      <c r="D146" s="1" t="str">
        <f ca="1">IFERROR(__xludf.DUMMYFUNCTION("""COMPUTED_VALUE"""),"1258E1")</f>
        <v>1258E1</v>
      </c>
      <c r="E146" s="2">
        <f ca="1">IFERROR(__xludf.DUMMYFUNCTION("""COMPUTED_VALUE"""),40313)</f>
        <v>40313</v>
      </c>
      <c r="F146" s="1" t="str">
        <f ca="1">IFERROR(__xludf.DUMMYFUNCTION("""COMPUTED_VALUE"""),"3EME2")</f>
        <v>3EME2</v>
      </c>
      <c r="G146" s="1" t="str">
        <f ca="1">IFERROR(__xludf.DUMMYFUNCTION("""COMPUTED_VALUE"""),"3ème")</f>
        <v>3ème</v>
      </c>
      <c r="H146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146" s="1" t="str">
        <f ca="1">IFERROR(__xludf.DUMMYFUNCTION("""COMPUTED_VALUE"""),"LVA Anglais")</f>
        <v>LVA Anglais</v>
      </c>
      <c r="J146" s="1" t="str">
        <f ca="1">IFERROR(__xludf.DUMMYFUNCTION("""COMPUTED_VALUE"""),"LVB Espagnol")</f>
        <v>LVB Espagnol</v>
      </c>
      <c r="K146" s="1"/>
      <c r="L146" s="1"/>
      <c r="M146" s="1"/>
      <c r="N146" s="1" t="str">
        <f ca="1">IFERROR(__xludf.DUMMYFUNCTION("""COMPUTED_VALUE"""),"Garçon")</f>
        <v>Garçon</v>
      </c>
      <c r="O146" s="1"/>
      <c r="P146" s="1" t="str">
        <f ca="1">IFERROR(__xludf.DUMMYFUNCTION("""COMPUTED_VALUE"""),"FRANCE")</f>
        <v>FRANCE</v>
      </c>
      <c r="Q146" s="1"/>
      <c r="R146" s="1" t="str">
        <f ca="1">IFERROR(__xludf.DUMMYFUNCTION("""COMPUTED_VALUE"""),"hassimiou.diallo@lfjpsaly.org")</f>
        <v>hassimiou.diallo@lfjpsaly.org</v>
      </c>
      <c r="S146" s="1" t="str">
        <f ca="1">IFERROR(__xludf.DUMMYFUNCTION("""COMPUTED_VALUE"""),"+221 78 184 78 51")</f>
        <v>+221 78 184 78 51</v>
      </c>
      <c r="T146" s="1" t="str">
        <f ca="1">IFERROR(__xludf.DUMMYFUNCTION("""COMPUTED_VALUE"""),"DIALLO Mamadou Chérif")</f>
        <v>DIALLO Mamadou Chérif</v>
      </c>
      <c r="U146" s="1"/>
      <c r="V146" s="1" t="str">
        <f ca="1">IFERROR(__xludf.DUMMYFUNCTION("""COMPUTED_VALUE"""),"fafaya.diallo@gmail.com")</f>
        <v>fafaya.diallo@gmail.com</v>
      </c>
      <c r="W146" s="1"/>
      <c r="X146" s="1" t="str">
        <f ca="1">IFERROR(__xludf.DUMMYFUNCTION("""COMPUTED_VALUE"""),"+221 78 184 78 51")</f>
        <v>+221 78 184 78 51</v>
      </c>
      <c r="Y146" s="1"/>
      <c r="Z146" s="1" t="str">
        <f ca="1">IFERROR(__xludf.DUMMYFUNCTION("""COMPUTED_VALUE"""),"+221 78 184 78 51")</f>
        <v>+221 78 184 78 51</v>
      </c>
      <c r="AA146" s="1"/>
      <c r="AB146" s="2">
        <f ca="1">IFERROR(__xludf.DUMMYFUNCTION("""COMPUTED_VALUE"""),20602)</f>
        <v>20602</v>
      </c>
      <c r="AC146" s="1"/>
      <c r="AD146" s="1" t="str">
        <f ca="1">IFERROR(__xludf.DUMMYFUNCTION("""COMPUTED_VALUE"""),"PERE")</f>
        <v>PERE</v>
      </c>
      <c r="AE146" s="1"/>
      <c r="AF146" s="1" t="str">
        <f ca="1">IFERROR(__xludf.DUMMYFUNCTION("""COMPUTED_VALUE"""),"FRANCE")</f>
        <v>FRANCE</v>
      </c>
      <c r="AG146" s="1"/>
      <c r="AH146" s="1"/>
      <c r="AI146" s="1"/>
      <c r="AJ146" s="1" t="str">
        <f ca="1">IFERROR(__xludf.DUMMYFUNCTION("""COMPUTED_VALUE"""),"F1258")</f>
        <v>F1258</v>
      </c>
      <c r="AK146" s="1" t="str">
        <f ca="1">IFERROR(__xludf.DUMMYFUNCTION("""COMPUTED_VALUE"""),"Célibataire")</f>
        <v>Célibataire</v>
      </c>
      <c r="AL146" s="1"/>
      <c r="AM146" s="1" t="str">
        <f ca="1">IFERROR(__xludf.DUMMYFUNCTION("""COMPUTED_VALUE"""),"F1258")</f>
        <v>F1258</v>
      </c>
    </row>
    <row r="147" spans="1:39" ht="13" x14ac:dyDescent="0.15">
      <c r="A147" s="1" t="str">
        <f ca="1">IFERROR(__xludf.DUMMYFUNCTION("""COMPUTED_VALUE"""),"DIALLO Ibrahima Sory")</f>
        <v>DIALLO Ibrahima Sory</v>
      </c>
      <c r="B147" s="1" t="str">
        <f ca="1">IFERROR(__xludf.DUMMYFUNCTION("""COMPUTED_VALUE"""),"DIALLO")</f>
        <v>DIALLO</v>
      </c>
      <c r="C147" s="1" t="str">
        <f ca="1">IFERROR(__xludf.DUMMYFUNCTION("""COMPUTED_VALUE"""),"Ibrahima Sory")</f>
        <v>Ibrahima Sory</v>
      </c>
      <c r="D147" s="1" t="str">
        <f ca="1">IFERROR(__xludf.DUMMYFUNCTION("""COMPUTED_VALUE"""),"11801S2555")</f>
        <v>11801S2555</v>
      </c>
      <c r="E147" s="2">
        <f ca="1">IFERROR(__xludf.DUMMYFUNCTION("""COMPUTED_VALUE"""),40417)</f>
        <v>40417</v>
      </c>
      <c r="F147" s="1" t="str">
        <f ca="1">IFERROR(__xludf.DUMMYFUNCTION("""COMPUTED_VALUE"""),"3EME2")</f>
        <v>3EME2</v>
      </c>
      <c r="G147" s="1" t="str">
        <f ca="1">IFERROR(__xludf.DUMMYFUNCTION("""COMPUTED_VALUE"""),"3ème")</f>
        <v>3ème</v>
      </c>
      <c r="H147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147" s="1" t="str">
        <f ca="1">IFERROR(__xludf.DUMMYFUNCTION("""COMPUTED_VALUE"""),"LVA Anglais")</f>
        <v>LVA Anglais</v>
      </c>
      <c r="J147" s="1" t="str">
        <f ca="1">IFERROR(__xludf.DUMMYFUNCTION("""COMPUTED_VALUE"""),"LVB Espagnol")</f>
        <v>LVB Espagnol</v>
      </c>
      <c r="K147" s="1"/>
      <c r="L147" s="1"/>
      <c r="M147" s="1"/>
      <c r="N147" s="1" t="str">
        <f ca="1">IFERROR(__xludf.DUMMYFUNCTION("""COMPUTED_VALUE"""),"Garçon")</f>
        <v>Garçon</v>
      </c>
      <c r="O147" s="1"/>
      <c r="P147" s="1" t="str">
        <f ca="1">IFERROR(__xludf.DUMMYFUNCTION("""COMPUTED_VALUE"""),"FRANCE")</f>
        <v>FRANCE</v>
      </c>
      <c r="Q147" s="1"/>
      <c r="R147" s="1" t="str">
        <f ca="1">IFERROR(__xludf.DUMMYFUNCTION("""COMPUTED_VALUE"""),"ibrahima.diallo@lfjpsaly.org")</f>
        <v>ibrahima.diallo@lfjpsaly.org</v>
      </c>
      <c r="S147" s="1" t="str">
        <f ca="1">IFERROR(__xludf.DUMMYFUNCTION("""COMPUTED_VALUE"""),"+221")</f>
        <v>+221</v>
      </c>
      <c r="T147" s="1" t="str">
        <f ca="1">IFERROR(__xludf.DUMMYFUNCTION("""COMPUTED_VALUE"""),"DIOP DOUMBOUYA Ndeye Anta")</f>
        <v>DIOP DOUMBOUYA Ndeye Anta</v>
      </c>
      <c r="U147" s="1" t="str">
        <f ca="1">IFERROR(__xludf.DUMMYFUNCTION("""COMPUTED_VALUE"""),"DOUMBOUYA Cheikh Talibouya")</f>
        <v>DOUMBOUYA Cheikh Talibouya</v>
      </c>
      <c r="V147" s="1" t="str">
        <f ca="1">IFERROR(__xludf.DUMMYFUNCTION("""COMPUTED_VALUE"""),"nidiop82@gmail.com")</f>
        <v>nidiop82@gmail.com</v>
      </c>
      <c r="W147" s="1" t="str">
        <f ca="1">IFERROR(__xludf.DUMMYFUNCTION("""COMPUTED_VALUE"""),"cadoums2208@gmail.com")</f>
        <v>cadoums2208@gmail.com</v>
      </c>
      <c r="X147" s="1" t="str">
        <f ca="1">IFERROR(__xludf.DUMMYFUNCTION("""COMPUTED_VALUE"""),"+221 78 122 98 80")</f>
        <v>+221 78 122 98 80</v>
      </c>
      <c r="Y147" s="1" t="str">
        <f ca="1">IFERROR(__xludf.DUMMYFUNCTION("""COMPUTED_VALUE"""),"+221 78 773 00 00")</f>
        <v>+221 78 773 00 00</v>
      </c>
      <c r="Z147" s="1" t="str">
        <f ca="1">IFERROR(__xludf.DUMMYFUNCTION("""COMPUTED_VALUE"""),"+22178695000")</f>
        <v>+22178695000</v>
      </c>
      <c r="AA147" s="1" t="str">
        <f ca="1">IFERROR(__xludf.DUMMYFUNCTION("""COMPUTED_VALUE"""),"+221")</f>
        <v>+221</v>
      </c>
      <c r="AB147" s="2">
        <f ca="1">IFERROR(__xludf.DUMMYFUNCTION("""COMPUTED_VALUE"""),30251)</f>
        <v>30251</v>
      </c>
      <c r="AC147" s="2">
        <f ca="1">IFERROR(__xludf.DUMMYFUNCTION("""COMPUTED_VALUE"""),28542)</f>
        <v>28542</v>
      </c>
      <c r="AD147" s="1" t="str">
        <f ca="1">IFERROR(__xludf.DUMMYFUNCTION("""COMPUTED_VALUE"""),"MERE")</f>
        <v>MERE</v>
      </c>
      <c r="AE147" s="1" t="str">
        <f ca="1">IFERROR(__xludf.DUMMYFUNCTION("""COMPUTED_VALUE"""),"PERE")</f>
        <v>PERE</v>
      </c>
      <c r="AF147" s="1" t="str">
        <f ca="1">IFERROR(__xludf.DUMMYFUNCTION("""COMPUTED_VALUE"""),"FRANCE")</f>
        <v>FRANCE</v>
      </c>
      <c r="AG147" s="1" t="str">
        <f ca="1">IFERROR(__xludf.DUMMYFUNCTION("""COMPUTED_VALUE"""),"SENEGAL")</f>
        <v>SENEGAL</v>
      </c>
      <c r="AH147" s="1" t="str">
        <f ca="1">IFERROR(__xludf.DUMMYFUNCTION("""COMPUTED_VALUE"""),"SENEGAL")</f>
        <v>SENEGAL</v>
      </c>
      <c r="AI147" s="1"/>
      <c r="AJ147" s="1" t="str">
        <f ca="1">IFERROR(__xludf.DUMMYFUNCTION("""COMPUTED_VALUE"""),"U11801")</f>
        <v>U11801</v>
      </c>
      <c r="AK147" s="1" t="str">
        <f ca="1">IFERROR(__xludf.DUMMYFUNCTION("""COMPUTED_VALUE"""),"Marié(e)")</f>
        <v>Marié(e)</v>
      </c>
      <c r="AL147" s="1" t="str">
        <f ca="1">IFERROR(__xludf.DUMMYFUNCTION("""COMPUTED_VALUE"""),"Marié(e)")</f>
        <v>Marié(e)</v>
      </c>
      <c r="AM147" s="1" t="str">
        <f ca="1">IFERROR(__xludf.DUMMYFUNCTION("""COMPUTED_VALUE"""),"U11801")</f>
        <v>U11801</v>
      </c>
    </row>
    <row r="148" spans="1:39" ht="13" x14ac:dyDescent="0.15">
      <c r="A148" s="1" t="str">
        <f ca="1">IFERROR(__xludf.DUMMYFUNCTION("""COMPUTED_VALUE"""),"DIALLO Laliyah Victorine")</f>
        <v>DIALLO Laliyah Victorine</v>
      </c>
      <c r="B148" s="1" t="str">
        <f ca="1">IFERROR(__xludf.DUMMYFUNCTION("""COMPUTED_VALUE"""),"DIALLO")</f>
        <v>DIALLO</v>
      </c>
      <c r="C148" s="1" t="str">
        <f ca="1">IFERROR(__xludf.DUMMYFUNCTION("""COMPUTED_VALUE"""),"Laliyah Victorine")</f>
        <v>Laliyah Victorine</v>
      </c>
      <c r="D148" s="1" t="str">
        <f ca="1">IFERROR(__xludf.DUMMYFUNCTION("""COMPUTED_VALUE"""),"11801S2558")</f>
        <v>11801S2558</v>
      </c>
      <c r="E148" s="2">
        <f ca="1">IFERROR(__xludf.DUMMYFUNCTION("""COMPUTED_VALUE"""),43261)</f>
        <v>43261</v>
      </c>
      <c r="F148" s="1" t="str">
        <f ca="1">IFERROR(__xludf.DUMMYFUNCTION("""COMPUTED_VALUE"""),"CE1A")</f>
        <v>CE1A</v>
      </c>
      <c r="G148" s="1" t="str">
        <f ca="1">IFERROR(__xludf.DUMMYFUNCTION("""COMPUTED_VALUE"""),"CE1")</f>
        <v>CE1</v>
      </c>
      <c r="H148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148" s="1"/>
      <c r="J148" s="1"/>
      <c r="K148" s="1"/>
      <c r="L148" s="1"/>
      <c r="M148" s="1"/>
      <c r="N148" s="1" t="str">
        <f ca="1">IFERROR(__xludf.DUMMYFUNCTION("""COMPUTED_VALUE"""),"Fille")</f>
        <v>Fille</v>
      </c>
      <c r="O148" s="1"/>
      <c r="P148" s="1" t="str">
        <f ca="1">IFERROR(__xludf.DUMMYFUNCTION("""COMPUTED_VALUE"""),"FRANCE")</f>
        <v>FRANCE</v>
      </c>
      <c r="Q148" s="1" t="str">
        <f ca="1">IFERROR(__xludf.DUMMYFUNCTION("""COMPUTED_VALUE"""),"SENEGAL")</f>
        <v>SENEGAL</v>
      </c>
      <c r="R148" s="1"/>
      <c r="S148" s="1" t="str">
        <f ca="1">IFERROR(__xludf.DUMMYFUNCTION("""COMPUTED_VALUE"""),"+221")</f>
        <v>+221</v>
      </c>
      <c r="T148" s="1" t="str">
        <f ca="1">IFERROR(__xludf.DUMMYFUNCTION("""COMPUTED_VALUE"""),"DIOP DOUMBOUYA Ndeye Anta")</f>
        <v>DIOP DOUMBOUYA Ndeye Anta</v>
      </c>
      <c r="U148" s="1" t="str">
        <f ca="1">IFERROR(__xludf.DUMMYFUNCTION("""COMPUTED_VALUE"""),"DOUMBOUYA Cheikh Talibouya")</f>
        <v>DOUMBOUYA Cheikh Talibouya</v>
      </c>
      <c r="V148" s="1" t="str">
        <f ca="1">IFERROR(__xludf.DUMMYFUNCTION("""COMPUTED_VALUE"""),"nidiop82@gmail.com")</f>
        <v>nidiop82@gmail.com</v>
      </c>
      <c r="W148" s="1" t="str">
        <f ca="1">IFERROR(__xludf.DUMMYFUNCTION("""COMPUTED_VALUE"""),"cadoums2208@gmail.com")</f>
        <v>cadoums2208@gmail.com</v>
      </c>
      <c r="X148" s="1" t="str">
        <f ca="1">IFERROR(__xludf.DUMMYFUNCTION("""COMPUTED_VALUE"""),"+221 78 122 98 80")</f>
        <v>+221 78 122 98 80</v>
      </c>
      <c r="Y148" s="1" t="str">
        <f ca="1">IFERROR(__xludf.DUMMYFUNCTION("""COMPUTED_VALUE"""),"+221 78 773 00 00")</f>
        <v>+221 78 773 00 00</v>
      </c>
      <c r="Z148" s="1" t="str">
        <f ca="1">IFERROR(__xludf.DUMMYFUNCTION("""COMPUTED_VALUE"""),"+22178695000")</f>
        <v>+22178695000</v>
      </c>
      <c r="AA148" s="1" t="str">
        <f ca="1">IFERROR(__xludf.DUMMYFUNCTION("""COMPUTED_VALUE"""),"+221")</f>
        <v>+221</v>
      </c>
      <c r="AB148" s="2">
        <f ca="1">IFERROR(__xludf.DUMMYFUNCTION("""COMPUTED_VALUE"""),30251)</f>
        <v>30251</v>
      </c>
      <c r="AC148" s="2">
        <f ca="1">IFERROR(__xludf.DUMMYFUNCTION("""COMPUTED_VALUE"""),28542)</f>
        <v>28542</v>
      </c>
      <c r="AD148" s="1" t="str">
        <f ca="1">IFERROR(__xludf.DUMMYFUNCTION("""COMPUTED_VALUE"""),"MERE")</f>
        <v>MERE</v>
      </c>
      <c r="AE148" s="1" t="str">
        <f ca="1">IFERROR(__xludf.DUMMYFUNCTION("""COMPUTED_VALUE"""),"PERE")</f>
        <v>PERE</v>
      </c>
      <c r="AF148" s="1" t="str">
        <f ca="1">IFERROR(__xludf.DUMMYFUNCTION("""COMPUTED_VALUE"""),"FRANCE")</f>
        <v>FRANCE</v>
      </c>
      <c r="AG148" s="1" t="str">
        <f ca="1">IFERROR(__xludf.DUMMYFUNCTION("""COMPUTED_VALUE"""),"SENEGAL")</f>
        <v>SENEGAL</v>
      </c>
      <c r="AH148" s="1" t="str">
        <f ca="1">IFERROR(__xludf.DUMMYFUNCTION("""COMPUTED_VALUE"""),"SENEGAL")</f>
        <v>SENEGAL</v>
      </c>
      <c r="AI148" s="1"/>
      <c r="AJ148" s="1" t="str">
        <f ca="1">IFERROR(__xludf.DUMMYFUNCTION("""COMPUTED_VALUE"""),"U11801")</f>
        <v>U11801</v>
      </c>
      <c r="AK148" s="1" t="str">
        <f ca="1">IFERROR(__xludf.DUMMYFUNCTION("""COMPUTED_VALUE"""),"Marié(e)")</f>
        <v>Marié(e)</v>
      </c>
      <c r="AL148" s="1" t="str">
        <f ca="1">IFERROR(__xludf.DUMMYFUNCTION("""COMPUTED_VALUE"""),"Marié(e)")</f>
        <v>Marié(e)</v>
      </c>
      <c r="AM148" s="1" t="str">
        <f ca="1">IFERROR(__xludf.DUMMYFUNCTION("""COMPUTED_VALUE"""),"U11801")</f>
        <v>U11801</v>
      </c>
    </row>
    <row r="149" spans="1:39" ht="13" x14ac:dyDescent="0.15">
      <c r="A149" s="1" t="str">
        <f ca="1">IFERROR(__xludf.DUMMYFUNCTION("""COMPUTED_VALUE"""),"DIALLO Mame-Marie")</f>
        <v>DIALLO Mame-Marie</v>
      </c>
      <c r="B149" s="1" t="str">
        <f ca="1">IFERROR(__xludf.DUMMYFUNCTION("""COMPUTED_VALUE"""),"DIALLO")</f>
        <v>DIALLO</v>
      </c>
      <c r="C149" s="1" t="str">
        <f ca="1">IFERROR(__xludf.DUMMYFUNCTION("""COMPUTED_VALUE"""),"Mame-Marie")</f>
        <v>Mame-Marie</v>
      </c>
      <c r="D149" s="1" t="str">
        <f ca="1">IFERROR(__xludf.DUMMYFUNCTION("""COMPUTED_VALUE"""),"11801S2557")</f>
        <v>11801S2557</v>
      </c>
      <c r="E149" s="2">
        <f ca="1">IFERROR(__xludf.DUMMYFUNCTION("""COMPUTED_VALUE"""),41715)</f>
        <v>41715</v>
      </c>
      <c r="F149" s="1" t="str">
        <f ca="1">IFERROR(__xludf.DUMMYFUNCTION("""COMPUTED_VALUE"""),"6EME2")</f>
        <v>6EME2</v>
      </c>
      <c r="G149" s="1" t="str">
        <f ca="1">IFERROR(__xludf.DUMMYFUNCTION("""COMPUTED_VALUE"""),"6ème")</f>
        <v>6ème</v>
      </c>
      <c r="H149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149" s="1" t="str">
        <f ca="1">IFERROR(__xludf.DUMMYFUNCTION("""COMPUTED_VALUE"""),"LVA Anglais")</f>
        <v>LVA Anglais</v>
      </c>
      <c r="J149" s="1" t="str">
        <f ca="1">IFERROR(__xludf.DUMMYFUNCTION("""COMPUTED_VALUE"""),"LVB Espagnol")</f>
        <v>LVB Espagnol</v>
      </c>
      <c r="K149" s="1"/>
      <c r="L149" s="1"/>
      <c r="M149" s="1"/>
      <c r="N149" s="1" t="str">
        <f ca="1">IFERROR(__xludf.DUMMYFUNCTION("""COMPUTED_VALUE"""),"Fille")</f>
        <v>Fille</v>
      </c>
      <c r="O149" s="1"/>
      <c r="P149" s="1" t="str">
        <f ca="1">IFERROR(__xludf.DUMMYFUNCTION("""COMPUTED_VALUE"""),"FRANCE")</f>
        <v>FRANCE</v>
      </c>
      <c r="Q149" s="1"/>
      <c r="R149" s="1" t="str">
        <f ca="1">IFERROR(__xludf.DUMMYFUNCTION("""COMPUTED_VALUE"""),"mame-marie.diallo@lfjpsaly.org")</f>
        <v>mame-marie.diallo@lfjpsaly.org</v>
      </c>
      <c r="S149" s="1" t="str">
        <f ca="1">IFERROR(__xludf.DUMMYFUNCTION("""COMPUTED_VALUE"""),"+221")</f>
        <v>+221</v>
      </c>
      <c r="T149" s="1" t="str">
        <f ca="1">IFERROR(__xludf.DUMMYFUNCTION("""COMPUTED_VALUE"""),"DIOP DOUMBOUYA Ndeye Anta")</f>
        <v>DIOP DOUMBOUYA Ndeye Anta</v>
      </c>
      <c r="U149" s="1" t="str">
        <f ca="1">IFERROR(__xludf.DUMMYFUNCTION("""COMPUTED_VALUE"""),"DOUMBOUYA Cheikh Talibouya")</f>
        <v>DOUMBOUYA Cheikh Talibouya</v>
      </c>
      <c r="V149" s="1" t="str">
        <f ca="1">IFERROR(__xludf.DUMMYFUNCTION("""COMPUTED_VALUE"""),"nidiop82@gmail.com")</f>
        <v>nidiop82@gmail.com</v>
      </c>
      <c r="W149" s="1" t="str">
        <f ca="1">IFERROR(__xludf.DUMMYFUNCTION("""COMPUTED_VALUE"""),"cadoums2208@gmail.com")</f>
        <v>cadoums2208@gmail.com</v>
      </c>
      <c r="X149" s="1" t="str">
        <f ca="1">IFERROR(__xludf.DUMMYFUNCTION("""COMPUTED_VALUE"""),"+221 78 122 98 80")</f>
        <v>+221 78 122 98 80</v>
      </c>
      <c r="Y149" s="1" t="str">
        <f ca="1">IFERROR(__xludf.DUMMYFUNCTION("""COMPUTED_VALUE"""),"+221 78 773 00 00")</f>
        <v>+221 78 773 00 00</v>
      </c>
      <c r="Z149" s="1" t="str">
        <f ca="1">IFERROR(__xludf.DUMMYFUNCTION("""COMPUTED_VALUE"""),"+22178695000")</f>
        <v>+22178695000</v>
      </c>
      <c r="AA149" s="1" t="str">
        <f ca="1">IFERROR(__xludf.DUMMYFUNCTION("""COMPUTED_VALUE"""),"+221")</f>
        <v>+221</v>
      </c>
      <c r="AB149" s="2">
        <f ca="1">IFERROR(__xludf.DUMMYFUNCTION("""COMPUTED_VALUE"""),30251)</f>
        <v>30251</v>
      </c>
      <c r="AC149" s="2">
        <f ca="1">IFERROR(__xludf.DUMMYFUNCTION("""COMPUTED_VALUE"""),28542)</f>
        <v>28542</v>
      </c>
      <c r="AD149" s="1" t="str">
        <f ca="1">IFERROR(__xludf.DUMMYFUNCTION("""COMPUTED_VALUE"""),"MERE")</f>
        <v>MERE</v>
      </c>
      <c r="AE149" s="1" t="str">
        <f ca="1">IFERROR(__xludf.DUMMYFUNCTION("""COMPUTED_VALUE"""),"PERE")</f>
        <v>PERE</v>
      </c>
      <c r="AF149" s="1" t="str">
        <f ca="1">IFERROR(__xludf.DUMMYFUNCTION("""COMPUTED_VALUE"""),"FRANCE")</f>
        <v>FRANCE</v>
      </c>
      <c r="AG149" s="1" t="str">
        <f ca="1">IFERROR(__xludf.DUMMYFUNCTION("""COMPUTED_VALUE"""),"SENEGAL")</f>
        <v>SENEGAL</v>
      </c>
      <c r="AH149" s="1" t="str">
        <f ca="1">IFERROR(__xludf.DUMMYFUNCTION("""COMPUTED_VALUE"""),"SENEGAL")</f>
        <v>SENEGAL</v>
      </c>
      <c r="AI149" s="1"/>
      <c r="AJ149" s="1" t="str">
        <f ca="1">IFERROR(__xludf.DUMMYFUNCTION("""COMPUTED_VALUE"""),"U11801")</f>
        <v>U11801</v>
      </c>
      <c r="AK149" s="1" t="str">
        <f ca="1">IFERROR(__xludf.DUMMYFUNCTION("""COMPUTED_VALUE"""),"Marié(e)")</f>
        <v>Marié(e)</v>
      </c>
      <c r="AL149" s="1" t="str">
        <f ca="1">IFERROR(__xludf.DUMMYFUNCTION("""COMPUTED_VALUE"""),"Marié(e)")</f>
        <v>Marié(e)</v>
      </c>
      <c r="AM149" s="1" t="str">
        <f ca="1">IFERROR(__xludf.DUMMYFUNCTION("""COMPUTED_VALUE"""),"U11801")</f>
        <v>U11801</v>
      </c>
    </row>
    <row r="150" spans="1:39" ht="13" x14ac:dyDescent="0.15">
      <c r="A150" s="1" t="str">
        <f ca="1">IFERROR(__xludf.DUMMYFUNCTION("""COMPUTED_VALUE"""),"DIALLO Marvin Noah Diouldé")</f>
        <v>DIALLO Marvin Noah Diouldé</v>
      </c>
      <c r="B150" s="1" t="str">
        <f ca="1">IFERROR(__xludf.DUMMYFUNCTION("""COMPUTED_VALUE"""),"DIALLO")</f>
        <v>DIALLO</v>
      </c>
      <c r="C150" s="1" t="str">
        <f ca="1">IFERROR(__xludf.DUMMYFUNCTION("""COMPUTED_VALUE"""),"Marvin Noah Diouldé")</f>
        <v>Marvin Noah Diouldé</v>
      </c>
      <c r="D150" s="1" t="str">
        <f ca="1">IFERROR(__xludf.DUMMYFUNCTION("""COMPUTED_VALUE"""),"1261E1")</f>
        <v>1261E1</v>
      </c>
      <c r="E150" s="2">
        <f ca="1">IFERROR(__xludf.DUMMYFUNCTION("""COMPUTED_VALUE"""),39789)</f>
        <v>39789</v>
      </c>
      <c r="F150" s="1" t="str">
        <f ca="1">IFERROR(__xludf.DUMMYFUNCTION("""COMPUTED_VALUE"""),"1ERE2")</f>
        <v>1ERE2</v>
      </c>
      <c r="G150" s="1" t="str">
        <f ca="1">IFERROR(__xludf.DUMMYFUNCTION("""COMPUTED_VALUE"""),"1ère")</f>
        <v>1ère</v>
      </c>
      <c r="H150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150" s="1" t="str">
        <f ca="1">IFERROR(__xludf.DUMMYFUNCTION("""COMPUTED_VALUE"""),"LVA Anglais")</f>
        <v>LVA Anglais</v>
      </c>
      <c r="J150" s="1" t="str">
        <f ca="1">IFERROR(__xludf.DUMMYFUNCTION("""COMPUTED_VALUE"""),"LVB Espagnol")</f>
        <v>LVB Espagnol</v>
      </c>
      <c r="K150" s="1"/>
      <c r="L150" s="1"/>
      <c r="M150" s="1" t="str">
        <f ca="1">IFERROR(__xludf.DUMMYFUNCTION("""COMPUTED_VALUE"""),"SPE LLCE AMC, SPE MATHS, SPE SES")</f>
        <v>SPE LLCE AMC, SPE MATHS, SPE SES</v>
      </c>
      <c r="N150" s="1" t="str">
        <f ca="1">IFERROR(__xludf.DUMMYFUNCTION("""COMPUTED_VALUE"""),"Garçon")</f>
        <v>Garçon</v>
      </c>
      <c r="O150" s="1"/>
      <c r="P150" s="1" t="str">
        <f ca="1">IFERROR(__xludf.DUMMYFUNCTION("""COMPUTED_VALUE"""),"FRANCE")</f>
        <v>FRANCE</v>
      </c>
      <c r="Q150" s="1" t="str">
        <f ca="1">IFERROR(__xludf.DUMMYFUNCTION("""COMPUTED_VALUE"""),"SENEGAL")</f>
        <v>SENEGAL</v>
      </c>
      <c r="R150" s="1" t="str">
        <f ca="1">IFERROR(__xludf.DUMMYFUNCTION("""COMPUTED_VALUE"""),"marvin.diallo@lfjpsaly.org")</f>
        <v>marvin.diallo@lfjpsaly.org</v>
      </c>
      <c r="S150" s="1"/>
      <c r="T150" s="1" t="str">
        <f ca="1">IFERROR(__xludf.DUMMYFUNCTION("""COMPUTED_VALUE"""),"DIALLO Mame Lesse Gamby")</f>
        <v>DIALLO Mame Lesse Gamby</v>
      </c>
      <c r="U150" s="1" t="str">
        <f ca="1">IFERROR(__xludf.DUMMYFUNCTION("""COMPUTED_VALUE"""),"SALL Kadiatou")</f>
        <v>SALL Kadiatou</v>
      </c>
      <c r="V150" s="1" t="str">
        <f ca="1">IFERROR(__xludf.DUMMYFUNCTION("""COMPUTED_VALUE"""),"mamelessdiallo@yahoo.fr")</f>
        <v>mamelessdiallo@yahoo.fr</v>
      </c>
      <c r="W150" s="1" t="str">
        <f ca="1">IFERROR(__xludf.DUMMYFUNCTION("""COMPUTED_VALUE"""),"mamelessdiallo@yahoo.fr")</f>
        <v>mamelessdiallo@yahoo.fr</v>
      </c>
      <c r="X150" s="1" t="str">
        <f ca="1">IFERROR(__xludf.DUMMYFUNCTION("""COMPUTED_VALUE"""),"+221 77 556 74 34")</f>
        <v>+221 77 556 74 34</v>
      </c>
      <c r="Y150" s="1" t="str">
        <f ca="1">IFERROR(__xludf.DUMMYFUNCTION("""COMPUTED_VALUE"""),"+221 77 767 57 21")</f>
        <v>+221 77 767 57 21</v>
      </c>
      <c r="Z150" s="1"/>
      <c r="AA150" s="1"/>
      <c r="AB150" s="2">
        <f ca="1">IFERROR(__xludf.DUMMYFUNCTION("""COMPUTED_VALUE"""),26220)</f>
        <v>26220</v>
      </c>
      <c r="AC150" s="2">
        <f ca="1">IFERROR(__xludf.DUMMYFUNCTION("""COMPUTED_VALUE"""),29295)</f>
        <v>29295</v>
      </c>
      <c r="AD150" s="1" t="str">
        <f ca="1">IFERROR(__xludf.DUMMYFUNCTION("""COMPUTED_VALUE"""),"PERE")</f>
        <v>PERE</v>
      </c>
      <c r="AE150" s="1" t="str">
        <f ca="1">IFERROR(__xludf.DUMMYFUNCTION("""COMPUTED_VALUE"""),"MERE")</f>
        <v>MERE</v>
      </c>
      <c r="AF150" s="1" t="str">
        <f ca="1">IFERROR(__xludf.DUMMYFUNCTION("""COMPUTED_VALUE"""),"SENEGAL")</f>
        <v>SENEGAL</v>
      </c>
      <c r="AG150" s="1" t="str">
        <f ca="1">IFERROR(__xludf.DUMMYFUNCTION("""COMPUTED_VALUE"""),"FRANCE")</f>
        <v>FRANCE</v>
      </c>
      <c r="AH150" s="1"/>
      <c r="AI150" s="1" t="str">
        <f ca="1">IFERROR(__xludf.DUMMYFUNCTION("""COMPUTED_VALUE"""),"SENEGAL")</f>
        <v>SENEGAL</v>
      </c>
      <c r="AJ150" s="1" t="str">
        <f ca="1">IFERROR(__xludf.DUMMYFUNCTION("""COMPUTED_VALUE"""),"F1261")</f>
        <v>F1261</v>
      </c>
      <c r="AK150" s="1" t="str">
        <f ca="1">IFERROR(__xludf.DUMMYFUNCTION("""COMPUTED_VALUE"""),"Marié(e)")</f>
        <v>Marié(e)</v>
      </c>
      <c r="AL150" s="1" t="str">
        <f ca="1">IFERROR(__xludf.DUMMYFUNCTION("""COMPUTED_VALUE"""),"Marié(e)")</f>
        <v>Marié(e)</v>
      </c>
      <c r="AM150" s="1" t="str">
        <f ca="1">IFERROR(__xludf.DUMMYFUNCTION("""COMPUTED_VALUE"""),"F1261")</f>
        <v>F1261</v>
      </c>
    </row>
    <row r="151" spans="1:39" ht="13" x14ac:dyDescent="0.15">
      <c r="A151" s="1" t="str">
        <f ca="1">IFERROR(__xludf.DUMMYFUNCTION("""COMPUTED_VALUE"""),"DIARRA Abderrahman Oumar")</f>
        <v>DIARRA Abderrahman Oumar</v>
      </c>
      <c r="B151" s="1" t="str">
        <f ca="1">IFERROR(__xludf.DUMMYFUNCTION("""COMPUTED_VALUE"""),"DIARRA")</f>
        <v>DIARRA</v>
      </c>
      <c r="C151" s="1" t="str">
        <f ca="1">IFERROR(__xludf.DUMMYFUNCTION("""COMPUTED_VALUE"""),"Abderrahman Oumar")</f>
        <v>Abderrahman Oumar</v>
      </c>
      <c r="D151" s="1" t="str">
        <f ca="1">IFERROR(__xludf.DUMMYFUNCTION("""COMPUTED_VALUE"""),"1645E1")</f>
        <v>1645E1</v>
      </c>
      <c r="E151" s="2">
        <f ca="1">IFERROR(__xludf.DUMMYFUNCTION("""COMPUTED_VALUE"""),44637)</f>
        <v>44637</v>
      </c>
      <c r="F151" s="1" t="str">
        <f ca="1">IFERROR(__xludf.DUMMYFUNCTION("""COMPUTED_VALUE"""),"Mat 1")</f>
        <v>Mat 1</v>
      </c>
      <c r="G151" s="1" t="str">
        <f ca="1">IFERROR(__xludf.DUMMYFUNCTION("""COMPUTED_VALUE"""),"PS")</f>
        <v>PS</v>
      </c>
      <c r="H151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151" s="1"/>
      <c r="J151" s="1"/>
      <c r="K151" s="1"/>
      <c r="L151" s="1"/>
      <c r="M151" s="1"/>
      <c r="N151" s="1" t="str">
        <f ca="1">IFERROR(__xludf.DUMMYFUNCTION("""COMPUTED_VALUE"""),"Garçon")</f>
        <v>Garçon</v>
      </c>
      <c r="O151" s="1"/>
      <c r="P151" s="1" t="str">
        <f ca="1">IFERROR(__xludf.DUMMYFUNCTION("""COMPUTED_VALUE"""),"FRANCE")</f>
        <v>FRANCE</v>
      </c>
      <c r="Q151" s="1"/>
      <c r="R151" s="1"/>
      <c r="S151" s="1"/>
      <c r="T151" s="1" t="str">
        <f ca="1">IFERROR(__xludf.DUMMYFUNCTION("""COMPUTED_VALUE"""),"DEMBELE Ramata")</f>
        <v>DEMBELE Ramata</v>
      </c>
      <c r="U151" s="1" t="str">
        <f ca="1">IFERROR(__xludf.DUMMYFUNCTION("""COMPUTED_VALUE"""),"DIARRA Malal")</f>
        <v>DIARRA Malal</v>
      </c>
      <c r="V151" s="1" t="str">
        <f ca="1">IFERROR(__xludf.DUMMYFUNCTION("""COMPUTED_VALUE"""),"ramata-dembele@live.fr")</f>
        <v>ramata-dembele@live.fr</v>
      </c>
      <c r="W151" s="1" t="str">
        <f ca="1">IFERROR(__xludf.DUMMYFUNCTION("""COMPUTED_VALUE"""),"amatrans78@gmail.com")</f>
        <v>amatrans78@gmail.com</v>
      </c>
      <c r="X151" s="1" t="str">
        <f ca="1">IFERROR(__xludf.DUMMYFUNCTION("""COMPUTED_VALUE"""),"+33 7 45 54 98 75")</f>
        <v>+33 7 45 54 98 75</v>
      </c>
      <c r="Y151" s="1" t="str">
        <f ca="1">IFERROR(__xludf.DUMMYFUNCTION("""COMPUTED_VALUE"""),"+33 7 45 54 98 75")</f>
        <v>+33 7 45 54 98 75</v>
      </c>
      <c r="Z151" s="1" t="str">
        <f ca="1">IFERROR(__xludf.DUMMYFUNCTION("""COMPUTED_VALUE"""),"+221 77 105 69 31")</f>
        <v>+221 77 105 69 31</v>
      </c>
      <c r="AA151" s="1" t="str">
        <f ca="1">IFERROR(__xludf.DUMMYFUNCTION("""COMPUTED_VALUE"""),"+221 77 620 10 49")</f>
        <v>+221 77 620 10 49</v>
      </c>
      <c r="AB151" s="2">
        <f ca="1">IFERROR(__xludf.DUMMYFUNCTION("""COMPUTED_VALUE"""),32067)</f>
        <v>32067</v>
      </c>
      <c r="AC151" s="2">
        <f ca="1">IFERROR(__xludf.DUMMYFUNCTION("""COMPUTED_VALUE"""),30231)</f>
        <v>30231</v>
      </c>
      <c r="AD151" s="1" t="str">
        <f ca="1">IFERROR(__xludf.DUMMYFUNCTION("""COMPUTED_VALUE"""),"MERE")</f>
        <v>MERE</v>
      </c>
      <c r="AE151" s="1" t="str">
        <f ca="1">IFERROR(__xludf.DUMMYFUNCTION("""COMPUTED_VALUE"""),"PERE")</f>
        <v>PERE</v>
      </c>
      <c r="AF151" s="1" t="str">
        <f ca="1">IFERROR(__xludf.DUMMYFUNCTION("""COMPUTED_VALUE"""),"FRANCE")</f>
        <v>FRANCE</v>
      </c>
      <c r="AG151" s="1" t="str">
        <f ca="1">IFERROR(__xludf.DUMMYFUNCTION("""COMPUTED_VALUE"""),"FRANCE")</f>
        <v>FRANCE</v>
      </c>
      <c r="AH151" s="1"/>
      <c r="AI151" s="1"/>
      <c r="AJ151" s="1" t="str">
        <f ca="1">IFERROR(__xludf.DUMMYFUNCTION("""COMPUTED_VALUE"""),"F1645")</f>
        <v>F1645</v>
      </c>
      <c r="AK151" s="1" t="str">
        <f ca="1">IFERROR(__xludf.DUMMYFUNCTION("""COMPUTED_VALUE"""),"Marié(e)")</f>
        <v>Marié(e)</v>
      </c>
      <c r="AL151" s="1" t="str">
        <f ca="1">IFERROR(__xludf.DUMMYFUNCTION("""COMPUTED_VALUE"""),"Marié(e)")</f>
        <v>Marié(e)</v>
      </c>
      <c r="AM151" s="1" t="str">
        <f ca="1">IFERROR(__xludf.DUMMYFUNCTION("""COMPUTED_VALUE"""),"F1645")</f>
        <v>F1645</v>
      </c>
    </row>
    <row r="152" spans="1:39" ht="13" x14ac:dyDescent="0.15">
      <c r="A152" s="1" t="str">
        <f ca="1">IFERROR(__xludf.DUMMYFUNCTION("""COMPUTED_VALUE"""),"DIARRA Adam")</f>
        <v>DIARRA Adam</v>
      </c>
      <c r="B152" s="1" t="str">
        <f ca="1">IFERROR(__xludf.DUMMYFUNCTION("""COMPUTED_VALUE"""),"DIARRA")</f>
        <v>DIARRA</v>
      </c>
      <c r="C152" s="1" t="str">
        <f ca="1">IFERROR(__xludf.DUMMYFUNCTION("""COMPUTED_VALUE"""),"Adam")</f>
        <v>Adam</v>
      </c>
      <c r="D152" s="1" t="str">
        <f ca="1">IFERROR(__xludf.DUMMYFUNCTION("""COMPUTED_VALUE"""),"1645E2")</f>
        <v>1645E2</v>
      </c>
      <c r="E152" s="2">
        <f ca="1">IFERROR(__xludf.DUMMYFUNCTION("""COMPUTED_VALUE"""),43604)</f>
        <v>43604</v>
      </c>
      <c r="F152" s="1" t="str">
        <f ca="1">IFERROR(__xludf.DUMMYFUNCTION("""COMPUTED_VALUE"""),"CP")</f>
        <v>CP</v>
      </c>
      <c r="G152" s="1" t="str">
        <f ca="1">IFERROR(__xludf.DUMMYFUNCTION("""COMPUTED_VALUE"""),"CP")</f>
        <v>CP</v>
      </c>
      <c r="H152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152" s="1"/>
      <c r="J152" s="1"/>
      <c r="K152" s="1"/>
      <c r="L152" s="1"/>
      <c r="M152" s="1"/>
      <c r="N152" s="1" t="str">
        <f ca="1">IFERROR(__xludf.DUMMYFUNCTION("""COMPUTED_VALUE"""),"Garçon")</f>
        <v>Garçon</v>
      </c>
      <c r="O152" s="1"/>
      <c r="P152" s="1" t="str">
        <f ca="1">IFERROR(__xludf.DUMMYFUNCTION("""COMPUTED_VALUE"""),"FRANCE")</f>
        <v>FRANCE</v>
      </c>
      <c r="Q152" s="1"/>
      <c r="R152" s="1"/>
      <c r="S152" s="1"/>
      <c r="T152" s="1" t="str">
        <f ca="1">IFERROR(__xludf.DUMMYFUNCTION("""COMPUTED_VALUE"""),"DIARRA Malal")</f>
        <v>DIARRA Malal</v>
      </c>
      <c r="U152" s="1" t="str">
        <f ca="1">IFERROR(__xludf.DUMMYFUNCTION("""COMPUTED_VALUE"""),"DEMBELE Ramata")</f>
        <v>DEMBELE Ramata</v>
      </c>
      <c r="V152" s="1" t="str">
        <f ca="1">IFERROR(__xludf.DUMMYFUNCTION("""COMPUTED_VALUE"""),"amatrans78@gmail.com")</f>
        <v>amatrans78@gmail.com</v>
      </c>
      <c r="W152" s="1" t="str">
        <f ca="1">IFERROR(__xludf.DUMMYFUNCTION("""COMPUTED_VALUE"""),"ramata-dembele@live.fr")</f>
        <v>ramata-dembele@live.fr</v>
      </c>
      <c r="X152" s="1" t="str">
        <f ca="1">IFERROR(__xludf.DUMMYFUNCTION("""COMPUTED_VALUE"""),"+33 7 45 54 98 75")</f>
        <v>+33 7 45 54 98 75</v>
      </c>
      <c r="Y152" s="1" t="str">
        <f ca="1">IFERROR(__xludf.DUMMYFUNCTION("""COMPUTED_VALUE"""),"+33 7 45 54 98 75")</f>
        <v>+33 7 45 54 98 75</v>
      </c>
      <c r="Z152" s="1" t="str">
        <f ca="1">IFERROR(__xludf.DUMMYFUNCTION("""COMPUTED_VALUE"""),"+221 77 620 10 49")</f>
        <v>+221 77 620 10 49</v>
      </c>
      <c r="AA152" s="1" t="str">
        <f ca="1">IFERROR(__xludf.DUMMYFUNCTION("""COMPUTED_VALUE"""),"+221 77 105 69 31")</f>
        <v>+221 77 105 69 31</v>
      </c>
      <c r="AB152" s="2">
        <f ca="1">IFERROR(__xludf.DUMMYFUNCTION("""COMPUTED_VALUE"""),30231)</f>
        <v>30231</v>
      </c>
      <c r="AC152" s="2">
        <f ca="1">IFERROR(__xludf.DUMMYFUNCTION("""COMPUTED_VALUE"""),32067)</f>
        <v>32067</v>
      </c>
      <c r="AD152" s="1" t="str">
        <f ca="1">IFERROR(__xludf.DUMMYFUNCTION("""COMPUTED_VALUE"""),"PERE")</f>
        <v>PERE</v>
      </c>
      <c r="AE152" s="1" t="str">
        <f ca="1">IFERROR(__xludf.DUMMYFUNCTION("""COMPUTED_VALUE"""),"MERE")</f>
        <v>MERE</v>
      </c>
      <c r="AF152" s="1" t="str">
        <f ca="1">IFERROR(__xludf.DUMMYFUNCTION("""COMPUTED_VALUE"""),"FRANCE")</f>
        <v>FRANCE</v>
      </c>
      <c r="AG152" s="1" t="str">
        <f ca="1">IFERROR(__xludf.DUMMYFUNCTION("""COMPUTED_VALUE"""),"FRANCE")</f>
        <v>FRANCE</v>
      </c>
      <c r="AH152" s="1"/>
      <c r="AI152" s="1"/>
      <c r="AJ152" s="1" t="str">
        <f ca="1">IFERROR(__xludf.DUMMYFUNCTION("""COMPUTED_VALUE"""),"F1645")</f>
        <v>F1645</v>
      </c>
      <c r="AK152" s="1" t="str">
        <f ca="1">IFERROR(__xludf.DUMMYFUNCTION("""COMPUTED_VALUE"""),"Marié(e)")</f>
        <v>Marié(e)</v>
      </c>
      <c r="AL152" s="1" t="str">
        <f ca="1">IFERROR(__xludf.DUMMYFUNCTION("""COMPUTED_VALUE"""),"Marié(e)")</f>
        <v>Marié(e)</v>
      </c>
      <c r="AM152" s="1" t="str">
        <f ca="1">IFERROR(__xludf.DUMMYFUNCTION("""COMPUTED_VALUE"""),"F1645")</f>
        <v>F1645</v>
      </c>
    </row>
    <row r="153" spans="1:39" ht="13" x14ac:dyDescent="0.15">
      <c r="A153" s="1" t="str">
        <f ca="1">IFERROR(__xludf.DUMMYFUNCTION("""COMPUTED_VALUE"""),"DIARRA Awa Sakhina")</f>
        <v>DIARRA Awa Sakhina</v>
      </c>
      <c r="B153" s="1" t="str">
        <f ca="1">IFERROR(__xludf.DUMMYFUNCTION("""COMPUTED_VALUE"""),"DIARRA")</f>
        <v>DIARRA</v>
      </c>
      <c r="C153" s="1" t="str">
        <f ca="1">IFERROR(__xludf.DUMMYFUNCTION("""COMPUTED_VALUE"""),"Awa Sakhina")</f>
        <v>Awa Sakhina</v>
      </c>
      <c r="D153" s="1" t="str">
        <f ca="1">IFERROR(__xludf.DUMMYFUNCTION("""COMPUTED_VALUE"""),"1645E3")</f>
        <v>1645E3</v>
      </c>
      <c r="E153" s="2">
        <f ca="1">IFERROR(__xludf.DUMMYFUNCTION("""COMPUTED_VALUE"""),42540)</f>
        <v>42540</v>
      </c>
      <c r="F153" s="1" t="str">
        <f ca="1">IFERROR(__xludf.DUMMYFUNCTION("""COMPUTED_VALUE"""),"CM1A")</f>
        <v>CM1A</v>
      </c>
      <c r="G153" s="1" t="str">
        <f ca="1">IFERROR(__xludf.DUMMYFUNCTION("""COMPUTED_VALUE"""),"CM1")</f>
        <v>CM1</v>
      </c>
      <c r="H153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153" s="1"/>
      <c r="J153" s="1"/>
      <c r="K153" s="1"/>
      <c r="L153" s="1"/>
      <c r="M153" s="1"/>
      <c r="N153" s="1" t="str">
        <f ca="1">IFERROR(__xludf.DUMMYFUNCTION("""COMPUTED_VALUE"""),"Fille")</f>
        <v>Fille</v>
      </c>
      <c r="O153" s="1"/>
      <c r="P153" s="1" t="str">
        <f ca="1">IFERROR(__xludf.DUMMYFUNCTION("""COMPUTED_VALUE"""),"FRANCE")</f>
        <v>FRANCE</v>
      </c>
      <c r="Q153" s="1"/>
      <c r="R153" s="1"/>
      <c r="S153" s="1"/>
      <c r="T153" s="1" t="str">
        <f ca="1">IFERROR(__xludf.DUMMYFUNCTION("""COMPUTED_VALUE"""),"DEMBELE Ramata")</f>
        <v>DEMBELE Ramata</v>
      </c>
      <c r="U153" s="1" t="str">
        <f ca="1">IFERROR(__xludf.DUMMYFUNCTION("""COMPUTED_VALUE"""),"DIARRA Malal")</f>
        <v>DIARRA Malal</v>
      </c>
      <c r="V153" s="1" t="str">
        <f ca="1">IFERROR(__xludf.DUMMYFUNCTION("""COMPUTED_VALUE"""),"ramata-dembele@live.fr")</f>
        <v>ramata-dembele@live.fr</v>
      </c>
      <c r="W153" s="1" t="str">
        <f ca="1">IFERROR(__xludf.DUMMYFUNCTION("""COMPUTED_VALUE"""),"amatrans78@gmail.com")</f>
        <v>amatrans78@gmail.com</v>
      </c>
      <c r="X153" s="1" t="str">
        <f ca="1">IFERROR(__xludf.DUMMYFUNCTION("""COMPUTED_VALUE"""),"+33 7 45 54 98 75")</f>
        <v>+33 7 45 54 98 75</v>
      </c>
      <c r="Y153" s="1" t="str">
        <f ca="1">IFERROR(__xludf.DUMMYFUNCTION("""COMPUTED_VALUE"""),"+33 7 45 54 98 75")</f>
        <v>+33 7 45 54 98 75</v>
      </c>
      <c r="Z153" s="1" t="str">
        <f ca="1">IFERROR(__xludf.DUMMYFUNCTION("""COMPUTED_VALUE"""),"+221 77 105 69 31")</f>
        <v>+221 77 105 69 31</v>
      </c>
      <c r="AA153" s="1" t="str">
        <f ca="1">IFERROR(__xludf.DUMMYFUNCTION("""COMPUTED_VALUE"""),"+221 77 620 10 49")</f>
        <v>+221 77 620 10 49</v>
      </c>
      <c r="AB153" s="2">
        <f ca="1">IFERROR(__xludf.DUMMYFUNCTION("""COMPUTED_VALUE"""),32067)</f>
        <v>32067</v>
      </c>
      <c r="AC153" s="2">
        <f ca="1">IFERROR(__xludf.DUMMYFUNCTION("""COMPUTED_VALUE"""),30231)</f>
        <v>30231</v>
      </c>
      <c r="AD153" s="1" t="str">
        <f ca="1">IFERROR(__xludf.DUMMYFUNCTION("""COMPUTED_VALUE"""),"MERE")</f>
        <v>MERE</v>
      </c>
      <c r="AE153" s="1" t="str">
        <f ca="1">IFERROR(__xludf.DUMMYFUNCTION("""COMPUTED_VALUE"""),"PERE")</f>
        <v>PERE</v>
      </c>
      <c r="AF153" s="1" t="str">
        <f ca="1">IFERROR(__xludf.DUMMYFUNCTION("""COMPUTED_VALUE"""),"FRANCE")</f>
        <v>FRANCE</v>
      </c>
      <c r="AG153" s="1" t="str">
        <f ca="1">IFERROR(__xludf.DUMMYFUNCTION("""COMPUTED_VALUE"""),"FRANCE")</f>
        <v>FRANCE</v>
      </c>
      <c r="AH153" s="1"/>
      <c r="AI153" s="1"/>
      <c r="AJ153" s="1" t="str">
        <f ca="1">IFERROR(__xludf.DUMMYFUNCTION("""COMPUTED_VALUE"""),"F1645")</f>
        <v>F1645</v>
      </c>
      <c r="AK153" s="1" t="str">
        <f ca="1">IFERROR(__xludf.DUMMYFUNCTION("""COMPUTED_VALUE"""),"Marié(e)")</f>
        <v>Marié(e)</v>
      </c>
      <c r="AL153" s="1" t="str">
        <f ca="1">IFERROR(__xludf.DUMMYFUNCTION("""COMPUTED_VALUE"""),"Marié(e)")</f>
        <v>Marié(e)</v>
      </c>
      <c r="AM153" s="1" t="str">
        <f ca="1">IFERROR(__xludf.DUMMYFUNCTION("""COMPUTED_VALUE"""),"F1645")</f>
        <v>F1645</v>
      </c>
    </row>
    <row r="154" spans="1:39" ht="13" x14ac:dyDescent="0.15">
      <c r="A154" s="1" t="str">
        <f ca="1">IFERROR(__xludf.DUMMYFUNCTION("""COMPUTED_VALUE"""),"DIARRA Mouhamed")</f>
        <v>DIARRA Mouhamed</v>
      </c>
      <c r="B154" s="1" t="str">
        <f ca="1">IFERROR(__xludf.DUMMYFUNCTION("""COMPUTED_VALUE"""),"DIARRA")</f>
        <v>DIARRA</v>
      </c>
      <c r="C154" s="1" t="str">
        <f ca="1">IFERROR(__xludf.DUMMYFUNCTION("""COMPUTED_VALUE"""),"Mouhamed")</f>
        <v>Mouhamed</v>
      </c>
      <c r="D154" s="1" t="str">
        <f ca="1">IFERROR(__xludf.DUMMYFUNCTION("""COMPUTED_VALUE"""),"1263E1")</f>
        <v>1263E1</v>
      </c>
      <c r="E154" s="2">
        <f ca="1">IFERROR(__xludf.DUMMYFUNCTION("""COMPUTED_VALUE"""),42704)</f>
        <v>42704</v>
      </c>
      <c r="F154" s="1" t="str">
        <f ca="1">IFERROR(__xludf.DUMMYFUNCTION("""COMPUTED_VALUE"""),"CM1A")</f>
        <v>CM1A</v>
      </c>
      <c r="G154" s="1" t="str">
        <f ca="1">IFERROR(__xludf.DUMMYFUNCTION("""COMPUTED_VALUE"""),"CM1")</f>
        <v>CM1</v>
      </c>
      <c r="H154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154" s="1"/>
      <c r="J154" s="1"/>
      <c r="K154" s="1"/>
      <c r="L154" s="1"/>
      <c r="M154" s="1"/>
      <c r="N154" s="1" t="str">
        <f ca="1">IFERROR(__xludf.DUMMYFUNCTION("""COMPUTED_VALUE"""),"Garçon")</f>
        <v>Garçon</v>
      </c>
      <c r="O154" s="1"/>
      <c r="P154" s="1" t="str">
        <f ca="1">IFERROR(__xludf.DUMMYFUNCTION("""COMPUTED_VALUE"""),"FRANCE")</f>
        <v>FRANCE</v>
      </c>
      <c r="Q154" s="1"/>
      <c r="R154" s="1"/>
      <c r="S154" s="1"/>
      <c r="T154" s="1" t="str">
        <f ca="1">IFERROR(__xludf.DUMMYFUNCTION("""COMPUTED_VALUE"""),"DIOUF Anna")</f>
        <v>DIOUF Anna</v>
      </c>
      <c r="U154" s="1"/>
      <c r="V154" s="1" t="str">
        <f ca="1">IFERROR(__xludf.DUMMYFUNCTION("""COMPUTED_VALUE"""),"babelleanna@gmail.com")</f>
        <v>babelleanna@gmail.com</v>
      </c>
      <c r="W154" s="1"/>
      <c r="X154" s="1" t="str">
        <f ca="1">IFERROR(__xludf.DUMMYFUNCTION("""COMPUTED_VALUE"""),"+221 77 834 17 70")</f>
        <v>+221 77 834 17 70</v>
      </c>
      <c r="Y154" s="1"/>
      <c r="Z154" s="1" t="str">
        <f ca="1">IFERROR(__xludf.DUMMYFUNCTION("""COMPUTED_VALUE"""),"+221")</f>
        <v>+221</v>
      </c>
      <c r="AA154" s="1"/>
      <c r="AB154" s="2">
        <f ca="1">IFERROR(__xludf.DUMMYFUNCTION("""COMPUTED_VALUE"""),34465)</f>
        <v>34465</v>
      </c>
      <c r="AC154" s="1"/>
      <c r="AD154" s="1" t="str">
        <f ca="1">IFERROR(__xludf.DUMMYFUNCTION("""COMPUTED_VALUE"""),"MERE")</f>
        <v>MERE</v>
      </c>
      <c r="AE154" s="1"/>
      <c r="AF154" s="1" t="str">
        <f ca="1">IFERROR(__xludf.DUMMYFUNCTION("""COMPUTED_VALUE"""),"SENEGAL")</f>
        <v>SENEGAL</v>
      </c>
      <c r="AG154" s="1"/>
      <c r="AH154" s="1"/>
      <c r="AI154" s="1"/>
      <c r="AJ154" s="1" t="str">
        <f ca="1">IFERROR(__xludf.DUMMYFUNCTION("""COMPUTED_VALUE"""),"F1263")</f>
        <v>F1263</v>
      </c>
      <c r="AK154" s="1" t="str">
        <f ca="1">IFERROR(__xludf.DUMMYFUNCTION("""COMPUTED_VALUE"""),"Célibataire")</f>
        <v>Célibataire</v>
      </c>
      <c r="AL154" s="1"/>
      <c r="AM154" s="1" t="str">
        <f ca="1">IFERROR(__xludf.DUMMYFUNCTION("""COMPUTED_VALUE"""),"F1263")</f>
        <v>F1263</v>
      </c>
    </row>
    <row r="155" spans="1:39" ht="13" x14ac:dyDescent="0.15">
      <c r="A155" s="1" t="str">
        <f ca="1">IFERROR(__xludf.DUMMYFUNCTION("""COMPUTED_VALUE"""),"DIARRA Souleyman")</f>
        <v>DIARRA Souleyman</v>
      </c>
      <c r="B155" s="1" t="str">
        <f ca="1">IFERROR(__xludf.DUMMYFUNCTION("""COMPUTED_VALUE"""),"DIARRA")</f>
        <v>DIARRA</v>
      </c>
      <c r="C155" s="1" t="str">
        <f ca="1">IFERROR(__xludf.DUMMYFUNCTION("""COMPUTED_VALUE"""),"Souleyman")</f>
        <v>Souleyman</v>
      </c>
      <c r="D155" s="1" t="str">
        <f ca="1">IFERROR(__xludf.DUMMYFUNCTION("""COMPUTED_VALUE"""),"1645E4")</f>
        <v>1645E4</v>
      </c>
      <c r="E155" s="2">
        <f ca="1">IFERROR(__xludf.DUMMYFUNCTION("""COMPUTED_VALUE"""),41885)</f>
        <v>41885</v>
      </c>
      <c r="F155" s="1" t="str">
        <f ca="1">IFERROR(__xludf.DUMMYFUNCTION("""COMPUTED_VALUE"""),"6EME2")</f>
        <v>6EME2</v>
      </c>
      <c r="G155" s="1" t="str">
        <f ca="1">IFERROR(__xludf.DUMMYFUNCTION("""COMPUTED_VALUE"""),"6ème")</f>
        <v>6ème</v>
      </c>
      <c r="H155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155" s="1" t="str">
        <f ca="1">IFERROR(__xludf.DUMMYFUNCTION("""COMPUTED_VALUE"""),"LVA Anglais")</f>
        <v>LVA Anglais</v>
      </c>
      <c r="J155" s="1" t="str">
        <f ca="1">IFERROR(__xludf.DUMMYFUNCTION("""COMPUTED_VALUE"""),"LVB Espagnol")</f>
        <v>LVB Espagnol</v>
      </c>
      <c r="K155" s="1"/>
      <c r="L155" s="1"/>
      <c r="M155" s="1"/>
      <c r="N155" s="1" t="str">
        <f ca="1">IFERROR(__xludf.DUMMYFUNCTION("""COMPUTED_VALUE"""),"Garçon")</f>
        <v>Garçon</v>
      </c>
      <c r="O155" s="1"/>
      <c r="P155" s="1" t="str">
        <f ca="1">IFERROR(__xludf.DUMMYFUNCTION("""COMPUTED_VALUE"""),"FRANCE")</f>
        <v>FRANCE</v>
      </c>
      <c r="Q155" s="1"/>
      <c r="R155" s="1" t="str">
        <f ca="1">IFERROR(__xludf.DUMMYFUNCTION("""COMPUTED_VALUE"""),"souleyman.diarra@lfjpsaly.org")</f>
        <v>souleyman.diarra@lfjpsaly.org</v>
      </c>
      <c r="S155" s="1"/>
      <c r="T155" s="1" t="str">
        <f ca="1">IFERROR(__xludf.DUMMYFUNCTION("""COMPUTED_VALUE"""),"DIARRA Malal")</f>
        <v>DIARRA Malal</v>
      </c>
      <c r="U155" s="1" t="str">
        <f ca="1">IFERROR(__xludf.DUMMYFUNCTION("""COMPUTED_VALUE"""),"DEMBELE Ramata")</f>
        <v>DEMBELE Ramata</v>
      </c>
      <c r="V155" s="1" t="str">
        <f ca="1">IFERROR(__xludf.DUMMYFUNCTION("""COMPUTED_VALUE"""),"amatrans78@gmail.com")</f>
        <v>amatrans78@gmail.com</v>
      </c>
      <c r="W155" s="1" t="str">
        <f ca="1">IFERROR(__xludf.DUMMYFUNCTION("""COMPUTED_VALUE"""),"ramata-dembele@live.fr")</f>
        <v>ramata-dembele@live.fr</v>
      </c>
      <c r="X155" s="1" t="str">
        <f ca="1">IFERROR(__xludf.DUMMYFUNCTION("""COMPUTED_VALUE"""),"+33 7 45 54 98 75")</f>
        <v>+33 7 45 54 98 75</v>
      </c>
      <c r="Y155" s="1" t="str">
        <f ca="1">IFERROR(__xludf.DUMMYFUNCTION("""COMPUTED_VALUE"""),"+33 7 45 54 98 75")</f>
        <v>+33 7 45 54 98 75</v>
      </c>
      <c r="Z155" s="1" t="str">
        <f ca="1">IFERROR(__xludf.DUMMYFUNCTION("""COMPUTED_VALUE"""),"+221 77 620 10 49")</f>
        <v>+221 77 620 10 49</v>
      </c>
      <c r="AA155" s="1" t="str">
        <f ca="1">IFERROR(__xludf.DUMMYFUNCTION("""COMPUTED_VALUE"""),"+221 77 105 69 31")</f>
        <v>+221 77 105 69 31</v>
      </c>
      <c r="AB155" s="2">
        <f ca="1">IFERROR(__xludf.DUMMYFUNCTION("""COMPUTED_VALUE"""),30231)</f>
        <v>30231</v>
      </c>
      <c r="AC155" s="2">
        <f ca="1">IFERROR(__xludf.DUMMYFUNCTION("""COMPUTED_VALUE"""),32067)</f>
        <v>32067</v>
      </c>
      <c r="AD155" s="1" t="str">
        <f ca="1">IFERROR(__xludf.DUMMYFUNCTION("""COMPUTED_VALUE"""),"PERE")</f>
        <v>PERE</v>
      </c>
      <c r="AE155" s="1" t="str">
        <f ca="1">IFERROR(__xludf.DUMMYFUNCTION("""COMPUTED_VALUE"""),"MERE")</f>
        <v>MERE</v>
      </c>
      <c r="AF155" s="1" t="str">
        <f ca="1">IFERROR(__xludf.DUMMYFUNCTION("""COMPUTED_VALUE"""),"FRANCE")</f>
        <v>FRANCE</v>
      </c>
      <c r="AG155" s="1" t="str">
        <f ca="1">IFERROR(__xludf.DUMMYFUNCTION("""COMPUTED_VALUE"""),"FRANCE")</f>
        <v>FRANCE</v>
      </c>
      <c r="AH155" s="1"/>
      <c r="AI155" s="1"/>
      <c r="AJ155" s="1" t="str">
        <f ca="1">IFERROR(__xludf.DUMMYFUNCTION("""COMPUTED_VALUE"""),"F1645")</f>
        <v>F1645</v>
      </c>
      <c r="AK155" s="1" t="str">
        <f ca="1">IFERROR(__xludf.DUMMYFUNCTION("""COMPUTED_VALUE"""),"Marié(e)")</f>
        <v>Marié(e)</v>
      </c>
      <c r="AL155" s="1" t="str">
        <f ca="1">IFERROR(__xludf.DUMMYFUNCTION("""COMPUTED_VALUE"""),"Marié(e)")</f>
        <v>Marié(e)</v>
      </c>
      <c r="AM155" s="1" t="str">
        <f ca="1">IFERROR(__xludf.DUMMYFUNCTION("""COMPUTED_VALUE"""),"F1645")</f>
        <v>F1645</v>
      </c>
    </row>
    <row r="156" spans="1:39" ht="13" x14ac:dyDescent="0.15">
      <c r="A156" s="1" t="str">
        <f ca="1">IFERROR(__xludf.DUMMYFUNCTION("""COMPUTED_VALUE"""),"DIARRA Zakaria")</f>
        <v>DIARRA Zakaria</v>
      </c>
      <c r="B156" s="1" t="str">
        <f ca="1">IFERROR(__xludf.DUMMYFUNCTION("""COMPUTED_VALUE"""),"DIARRA")</f>
        <v>DIARRA</v>
      </c>
      <c r="C156" s="1" t="str">
        <f ca="1">IFERROR(__xludf.DUMMYFUNCTION("""COMPUTED_VALUE"""),"Zakaria")</f>
        <v>Zakaria</v>
      </c>
      <c r="D156" s="1" t="str">
        <f ca="1">IFERROR(__xludf.DUMMYFUNCTION("""COMPUTED_VALUE"""),"1645E5")</f>
        <v>1645E5</v>
      </c>
      <c r="E156" s="2">
        <f ca="1">IFERROR(__xludf.DUMMYFUNCTION("""COMPUTED_VALUE"""),41421)</f>
        <v>41421</v>
      </c>
      <c r="F156" s="1" t="str">
        <f ca="1">IFERROR(__xludf.DUMMYFUNCTION("""COMPUTED_VALUE"""),"5EME2")</f>
        <v>5EME2</v>
      </c>
      <c r="G156" s="1" t="str">
        <f ca="1">IFERROR(__xludf.DUMMYFUNCTION("""COMPUTED_VALUE"""),"5ème")</f>
        <v>5ème</v>
      </c>
      <c r="H156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156" s="1" t="str">
        <f ca="1">IFERROR(__xludf.DUMMYFUNCTION("""COMPUTED_VALUE"""),"LVA Anglais")</f>
        <v>LVA Anglais</v>
      </c>
      <c r="J156" s="1" t="str">
        <f ca="1">IFERROR(__xludf.DUMMYFUNCTION("""COMPUTED_VALUE"""),"LVB Espagnol")</f>
        <v>LVB Espagnol</v>
      </c>
      <c r="K156" s="1"/>
      <c r="L156" s="1"/>
      <c r="M156" s="1"/>
      <c r="N156" s="1" t="str">
        <f ca="1">IFERROR(__xludf.DUMMYFUNCTION("""COMPUTED_VALUE"""),"Garçon")</f>
        <v>Garçon</v>
      </c>
      <c r="O156" s="1"/>
      <c r="P156" s="1" t="str">
        <f ca="1">IFERROR(__xludf.DUMMYFUNCTION("""COMPUTED_VALUE"""),"FRANCE")</f>
        <v>FRANCE</v>
      </c>
      <c r="Q156" s="1"/>
      <c r="R156" s="1" t="str">
        <f ca="1">IFERROR(__xludf.DUMMYFUNCTION("""COMPUTED_VALUE"""),"zakaria.diarra@lfjpsaly.org")</f>
        <v>zakaria.diarra@lfjpsaly.org</v>
      </c>
      <c r="S156" s="1"/>
      <c r="T156" s="1" t="str">
        <f ca="1">IFERROR(__xludf.DUMMYFUNCTION("""COMPUTED_VALUE"""),"DEMBELE Ramata")</f>
        <v>DEMBELE Ramata</v>
      </c>
      <c r="U156" s="1" t="str">
        <f ca="1">IFERROR(__xludf.DUMMYFUNCTION("""COMPUTED_VALUE"""),"DIARRA Malal")</f>
        <v>DIARRA Malal</v>
      </c>
      <c r="V156" s="1" t="str">
        <f ca="1">IFERROR(__xludf.DUMMYFUNCTION("""COMPUTED_VALUE"""),"ramata-dembele@live.fr")</f>
        <v>ramata-dembele@live.fr</v>
      </c>
      <c r="W156" s="1" t="str">
        <f ca="1">IFERROR(__xludf.DUMMYFUNCTION("""COMPUTED_VALUE"""),"amatrans78@gmail.com")</f>
        <v>amatrans78@gmail.com</v>
      </c>
      <c r="X156" s="1" t="str">
        <f ca="1">IFERROR(__xludf.DUMMYFUNCTION("""COMPUTED_VALUE"""),"+33 7 45 54 98 75")</f>
        <v>+33 7 45 54 98 75</v>
      </c>
      <c r="Y156" s="1" t="str">
        <f ca="1">IFERROR(__xludf.DUMMYFUNCTION("""COMPUTED_VALUE"""),"+33 7 45 54 98 75")</f>
        <v>+33 7 45 54 98 75</v>
      </c>
      <c r="Z156" s="1" t="str">
        <f ca="1">IFERROR(__xludf.DUMMYFUNCTION("""COMPUTED_VALUE"""),"+221 77 105 69 31")</f>
        <v>+221 77 105 69 31</v>
      </c>
      <c r="AA156" s="1" t="str">
        <f ca="1">IFERROR(__xludf.DUMMYFUNCTION("""COMPUTED_VALUE"""),"+221 77 620 10 49")</f>
        <v>+221 77 620 10 49</v>
      </c>
      <c r="AB156" s="2">
        <f ca="1">IFERROR(__xludf.DUMMYFUNCTION("""COMPUTED_VALUE"""),32067)</f>
        <v>32067</v>
      </c>
      <c r="AC156" s="2">
        <f ca="1">IFERROR(__xludf.DUMMYFUNCTION("""COMPUTED_VALUE"""),30231)</f>
        <v>30231</v>
      </c>
      <c r="AD156" s="1" t="str">
        <f ca="1">IFERROR(__xludf.DUMMYFUNCTION("""COMPUTED_VALUE"""),"MERE")</f>
        <v>MERE</v>
      </c>
      <c r="AE156" s="1" t="str">
        <f ca="1">IFERROR(__xludf.DUMMYFUNCTION("""COMPUTED_VALUE"""),"PERE")</f>
        <v>PERE</v>
      </c>
      <c r="AF156" s="1" t="str">
        <f ca="1">IFERROR(__xludf.DUMMYFUNCTION("""COMPUTED_VALUE"""),"FRANCE")</f>
        <v>FRANCE</v>
      </c>
      <c r="AG156" s="1" t="str">
        <f ca="1">IFERROR(__xludf.DUMMYFUNCTION("""COMPUTED_VALUE"""),"FRANCE")</f>
        <v>FRANCE</v>
      </c>
      <c r="AH156" s="1"/>
      <c r="AI156" s="1"/>
      <c r="AJ156" s="1" t="str">
        <f ca="1">IFERROR(__xludf.DUMMYFUNCTION("""COMPUTED_VALUE"""),"F1645")</f>
        <v>F1645</v>
      </c>
      <c r="AK156" s="1" t="str">
        <f ca="1">IFERROR(__xludf.DUMMYFUNCTION("""COMPUTED_VALUE"""),"Marié(e)")</f>
        <v>Marié(e)</v>
      </c>
      <c r="AL156" s="1" t="str">
        <f ca="1">IFERROR(__xludf.DUMMYFUNCTION("""COMPUTED_VALUE"""),"Marié(e)")</f>
        <v>Marié(e)</v>
      </c>
      <c r="AM156" s="1" t="str">
        <f ca="1">IFERROR(__xludf.DUMMYFUNCTION("""COMPUTED_VALUE"""),"F1645")</f>
        <v>F1645</v>
      </c>
    </row>
    <row r="157" spans="1:39" ht="13" x14ac:dyDescent="0.15">
      <c r="A157" s="1" t="str">
        <f ca="1">IFERROR(__xludf.DUMMYFUNCTION("""COMPUTED_VALUE"""),"DIDI Eva-Maria")</f>
        <v>DIDI Eva-Maria</v>
      </c>
      <c r="B157" s="1" t="str">
        <f ca="1">IFERROR(__xludf.DUMMYFUNCTION("""COMPUTED_VALUE"""),"DIDI")</f>
        <v>DIDI</v>
      </c>
      <c r="C157" s="1" t="str">
        <f ca="1">IFERROR(__xludf.DUMMYFUNCTION("""COMPUTED_VALUE"""),"Eva-Maria")</f>
        <v>Eva-Maria</v>
      </c>
      <c r="D157" s="1" t="str">
        <f ca="1">IFERROR(__xludf.DUMMYFUNCTION("""COMPUTED_VALUE"""),"12303S3600")</f>
        <v>12303S3600</v>
      </c>
      <c r="E157" s="2">
        <f ca="1">IFERROR(__xludf.DUMMYFUNCTION("""COMPUTED_VALUE"""),44327)</f>
        <v>44327</v>
      </c>
      <c r="F157" s="1" t="str">
        <f ca="1">IFERROR(__xludf.DUMMYFUNCTION("""COMPUTED_VALUE"""),"Mat 3")</f>
        <v>Mat 3</v>
      </c>
      <c r="G157" s="1" t="str">
        <f ca="1">IFERROR(__xludf.DUMMYFUNCTION("""COMPUTED_VALUE"""),"MS")</f>
        <v>MS</v>
      </c>
      <c r="H157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157" s="1"/>
      <c r="J157" s="1"/>
      <c r="K157" s="1"/>
      <c r="L157" s="1"/>
      <c r="M157" s="1"/>
      <c r="N157" s="1" t="str">
        <f ca="1">IFERROR(__xludf.DUMMYFUNCTION("""COMPUTED_VALUE"""),"Fille")</f>
        <v>Fille</v>
      </c>
      <c r="O157" s="1"/>
      <c r="P157" s="1" t="str">
        <f ca="1">IFERROR(__xludf.DUMMYFUNCTION("""COMPUTED_VALUE"""),"FRANCE")</f>
        <v>FRANCE</v>
      </c>
      <c r="Q157" s="1"/>
      <c r="R157" s="1"/>
      <c r="S157" s="1" t="str">
        <f ca="1">IFERROR(__xludf.DUMMYFUNCTION("""COMPUTED_VALUE"""),"+221")</f>
        <v>+221</v>
      </c>
      <c r="T157" s="1" t="str">
        <f ca="1">IFERROR(__xludf.DUMMYFUNCTION("""COMPUTED_VALUE"""),"MASSRY Mariam")</f>
        <v>MASSRY Mariam</v>
      </c>
      <c r="U157" s="1" t="str">
        <f ca="1">IFERROR(__xludf.DUMMYFUNCTION("""COMPUTED_VALUE"""),"DIDI Walid")</f>
        <v>DIDI Walid</v>
      </c>
      <c r="V157" s="1" t="str">
        <f ca="1">IFERROR(__xludf.DUMMYFUNCTION("""COMPUTED_VALUE"""),"mariam.massry@hotmail.com")</f>
        <v>mariam.massry@hotmail.com</v>
      </c>
      <c r="W157" s="1" t="str">
        <f ca="1">IFERROR(__xludf.DUMMYFUNCTION("""COMPUTED_VALUE"""),"walid.didi@live.com")</f>
        <v>walid.didi@live.com</v>
      </c>
      <c r="X157" s="1" t="str">
        <f ca="1">IFERROR(__xludf.DUMMYFUNCTION("""COMPUTED_VALUE"""),"+221 71 056 25 25")</f>
        <v>+221 71 056 25 25</v>
      </c>
      <c r="Y157" s="1" t="str">
        <f ca="1">IFERROR(__xludf.DUMMYFUNCTION("""COMPUTED_VALUE"""),"+221 71 031 32 32")</f>
        <v>+221 71 031 32 32</v>
      </c>
      <c r="Z157" s="1" t="str">
        <f ca="1">IFERROR(__xludf.DUMMYFUNCTION("""COMPUTED_VALUE"""),"+221")</f>
        <v>+221</v>
      </c>
      <c r="AA157" s="1" t="str">
        <f ca="1">IFERROR(__xludf.DUMMYFUNCTION("""COMPUTED_VALUE"""),"+221 71 031 32 32")</f>
        <v>+221 71 031 32 32</v>
      </c>
      <c r="AB157" s="2">
        <f ca="1">IFERROR(__xludf.DUMMYFUNCTION("""COMPUTED_VALUE"""),46327)</f>
        <v>46327</v>
      </c>
      <c r="AC157" s="2">
        <f ca="1">IFERROR(__xludf.DUMMYFUNCTION("""COMPUTED_VALUE"""),46151)</f>
        <v>46151</v>
      </c>
      <c r="AD157" s="1" t="str">
        <f ca="1">IFERROR(__xludf.DUMMYFUNCTION("""COMPUTED_VALUE"""),"MERE")</f>
        <v>MERE</v>
      </c>
      <c r="AE157" s="1" t="str">
        <f ca="1">IFERROR(__xludf.DUMMYFUNCTION("""COMPUTED_VALUE"""),"PERE")</f>
        <v>PERE</v>
      </c>
      <c r="AF157" s="1" t="str">
        <f ca="1">IFERROR(__xludf.DUMMYFUNCTION("""COMPUTED_VALUE"""),"LIBAN")</f>
        <v>LIBAN</v>
      </c>
      <c r="AG157" s="1" t="str">
        <f ca="1">IFERROR(__xludf.DUMMYFUNCTION("""COMPUTED_VALUE"""),"FRANCE")</f>
        <v>FRANCE</v>
      </c>
      <c r="AH157" s="1"/>
      <c r="AI157" s="1" t="str">
        <f ca="1">IFERROR(__xludf.DUMMYFUNCTION("""COMPUTED_VALUE"""),"SENEGAL")</f>
        <v>SENEGAL</v>
      </c>
      <c r="AJ157" s="1" t="str">
        <f ca="1">IFERROR(__xludf.DUMMYFUNCTION("""COMPUTED_VALUE"""),"U12303")</f>
        <v>U12303</v>
      </c>
      <c r="AK157" s="1" t="str">
        <f ca="1">IFERROR(__xludf.DUMMYFUNCTION("""COMPUTED_VALUE"""),"Marié(e)")</f>
        <v>Marié(e)</v>
      </c>
      <c r="AL157" s="1" t="str">
        <f ca="1">IFERROR(__xludf.DUMMYFUNCTION("""COMPUTED_VALUE"""),"Marié(e)")</f>
        <v>Marié(e)</v>
      </c>
      <c r="AM157" s="1" t="str">
        <f ca="1">IFERROR(__xludf.DUMMYFUNCTION("""COMPUTED_VALUE"""),"U12303")</f>
        <v>U12303</v>
      </c>
    </row>
    <row r="158" spans="1:39" ht="13" x14ac:dyDescent="0.15">
      <c r="A158" s="1" t="str">
        <f ca="1">IFERROR(__xludf.DUMMYFUNCTION("""COMPUTED_VALUE"""),"DIEDHIOU Aicha Raicha")</f>
        <v>DIEDHIOU Aicha Raicha</v>
      </c>
      <c r="B158" s="1" t="str">
        <f ca="1">IFERROR(__xludf.DUMMYFUNCTION("""COMPUTED_VALUE"""),"DIEDHIOU")</f>
        <v>DIEDHIOU</v>
      </c>
      <c r="C158" s="1" t="str">
        <f ca="1">IFERROR(__xludf.DUMMYFUNCTION("""COMPUTED_VALUE"""),"Aicha Raicha")</f>
        <v>Aicha Raicha</v>
      </c>
      <c r="D158" s="1" t="str">
        <f ca="1">IFERROR(__xludf.DUMMYFUNCTION("""COMPUTED_VALUE"""),"1647E1")</f>
        <v>1647E1</v>
      </c>
      <c r="E158" s="2">
        <f ca="1">IFERROR(__xludf.DUMMYFUNCTION("""COMPUTED_VALUE"""),40889)</f>
        <v>40889</v>
      </c>
      <c r="F158" s="1" t="str">
        <f ca="1">IFERROR(__xludf.DUMMYFUNCTION("""COMPUTED_VALUE"""),"4EME2")</f>
        <v>4EME2</v>
      </c>
      <c r="G158" s="1" t="str">
        <f ca="1">IFERROR(__xludf.DUMMYFUNCTION("""COMPUTED_VALUE"""),"4ème")</f>
        <v>4ème</v>
      </c>
      <c r="H158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158" s="1" t="str">
        <f ca="1">IFERROR(__xludf.DUMMYFUNCTION("""COMPUTED_VALUE"""),"LVA Anglais")</f>
        <v>LVA Anglais</v>
      </c>
      <c r="J158" s="1" t="str">
        <f ca="1">IFERROR(__xludf.DUMMYFUNCTION("""COMPUTED_VALUE"""),"LVB Espagnol")</f>
        <v>LVB Espagnol</v>
      </c>
      <c r="K158" s="1"/>
      <c r="L158" s="1"/>
      <c r="M158" s="1"/>
      <c r="N158" s="1" t="str">
        <f ca="1">IFERROR(__xludf.DUMMYFUNCTION("""COMPUTED_VALUE"""),"Fille")</f>
        <v>Fille</v>
      </c>
      <c r="O158" s="1"/>
      <c r="P158" s="1" t="str">
        <f ca="1">IFERROR(__xludf.DUMMYFUNCTION("""COMPUTED_VALUE"""),"SENEGAL")</f>
        <v>SENEGAL</v>
      </c>
      <c r="Q158" s="1"/>
      <c r="R158" s="1" t="str">
        <f ca="1">IFERROR(__xludf.DUMMYFUNCTION("""COMPUTED_VALUE"""),"aicha.diedhiou@lfjpsaly.org")</f>
        <v>aicha.diedhiou@lfjpsaly.org</v>
      </c>
      <c r="S158" s="1"/>
      <c r="T158" s="1" t="str">
        <f ca="1">IFERROR(__xludf.DUMMYFUNCTION("""COMPUTED_VALUE"""),"DIEDHIOU Salif")</f>
        <v>DIEDHIOU Salif</v>
      </c>
      <c r="U158" s="1" t="str">
        <f ca="1">IFERROR(__xludf.DUMMYFUNCTION("""COMPUTED_VALUE"""),"DABO Aissatou")</f>
        <v>DABO Aissatou</v>
      </c>
      <c r="V158" s="1" t="str">
        <f ca="1">IFERROR(__xludf.DUMMYFUNCTION("""COMPUTED_VALUE"""),"salif_diedhiou@yahoo.fr")</f>
        <v>salif_diedhiou@yahoo.fr</v>
      </c>
      <c r="W158" s="1" t="str">
        <f ca="1">IFERROR(__xludf.DUMMYFUNCTION("""COMPUTED_VALUE"""),"adabo8207@gmail.com")</f>
        <v>adabo8207@gmail.com</v>
      </c>
      <c r="X158" s="1" t="str">
        <f ca="1">IFERROR(__xludf.DUMMYFUNCTION("""COMPUTED_VALUE"""),"+221 33 822 70 22")</f>
        <v>+221 33 822 70 22</v>
      </c>
      <c r="Y158" s="1" t="str">
        <f ca="1">IFERROR(__xludf.DUMMYFUNCTION("""COMPUTED_VALUE"""),"+221 77 635 56 20")</f>
        <v>+221 77 635 56 20</v>
      </c>
      <c r="Z158" s="1" t="str">
        <f ca="1">IFERROR(__xludf.DUMMYFUNCTION("""COMPUTED_VALUE"""),"+221")</f>
        <v>+221</v>
      </c>
      <c r="AA158" s="1" t="str">
        <f ca="1">IFERROR(__xludf.DUMMYFUNCTION("""COMPUTED_VALUE"""),"+221")</f>
        <v>+221</v>
      </c>
      <c r="AB158" s="2">
        <f ca="1">IFERROR(__xludf.DUMMYFUNCTION("""COMPUTED_VALUE"""),23809)</f>
        <v>23809</v>
      </c>
      <c r="AC158" s="2">
        <f ca="1">IFERROR(__xludf.DUMMYFUNCTION("""COMPUTED_VALUE"""),25118)</f>
        <v>25118</v>
      </c>
      <c r="AD158" s="1" t="str">
        <f ca="1">IFERROR(__xludf.DUMMYFUNCTION("""COMPUTED_VALUE"""),"PERE")</f>
        <v>PERE</v>
      </c>
      <c r="AE158" s="1" t="str">
        <f ca="1">IFERROR(__xludf.DUMMYFUNCTION("""COMPUTED_VALUE"""),"MERE")</f>
        <v>MERE</v>
      </c>
      <c r="AF158" s="1" t="str">
        <f ca="1">IFERROR(__xludf.DUMMYFUNCTION("""COMPUTED_VALUE"""),"SENEGAL")</f>
        <v>SENEGAL</v>
      </c>
      <c r="AG158" s="1" t="str">
        <f ca="1">IFERROR(__xludf.DUMMYFUNCTION("""COMPUTED_VALUE"""),"SENEGAL")</f>
        <v>SENEGAL</v>
      </c>
      <c r="AH158" s="1"/>
      <c r="AI158" s="1"/>
      <c r="AJ158" s="1" t="str">
        <f ca="1">IFERROR(__xludf.DUMMYFUNCTION("""COMPUTED_VALUE"""),"F1647")</f>
        <v>F1647</v>
      </c>
      <c r="AK158" s="1" t="str">
        <f ca="1">IFERROR(__xludf.DUMMYFUNCTION("""COMPUTED_VALUE"""),"Marié(e)")</f>
        <v>Marié(e)</v>
      </c>
      <c r="AL158" s="1" t="str">
        <f ca="1">IFERROR(__xludf.DUMMYFUNCTION("""COMPUTED_VALUE"""),"Marié(e)")</f>
        <v>Marié(e)</v>
      </c>
      <c r="AM158" s="1" t="str">
        <f ca="1">IFERROR(__xludf.DUMMYFUNCTION("""COMPUTED_VALUE"""),"F1647")</f>
        <v>F1647</v>
      </c>
    </row>
    <row r="159" spans="1:39" ht="13" x14ac:dyDescent="0.15">
      <c r="A159" s="1" t="str">
        <f ca="1">IFERROR(__xludf.DUMMYFUNCTION("""COMPUTED_VALUE"""),"DIENG Aïssatou")</f>
        <v>DIENG Aïssatou</v>
      </c>
      <c r="B159" s="1" t="str">
        <f ca="1">IFERROR(__xludf.DUMMYFUNCTION("""COMPUTED_VALUE"""),"DIENG")</f>
        <v>DIENG</v>
      </c>
      <c r="C159" s="1" t="str">
        <f ca="1">IFERROR(__xludf.DUMMYFUNCTION("""COMPUTED_VALUE"""),"Aïssatou")</f>
        <v>Aïssatou</v>
      </c>
      <c r="D159" s="1" t="str">
        <f ca="1">IFERROR(__xludf.DUMMYFUNCTION("""COMPUTED_VALUE"""),"1266E1")</f>
        <v>1266E1</v>
      </c>
      <c r="E159" s="2">
        <f ca="1">IFERROR(__xludf.DUMMYFUNCTION("""COMPUTED_VALUE"""),40684)</f>
        <v>40684</v>
      </c>
      <c r="F159" s="1" t="str">
        <f ca="1">IFERROR(__xludf.DUMMYFUNCTION("""COMPUTED_VALUE"""),"3EME1")</f>
        <v>3EME1</v>
      </c>
      <c r="G159" s="1" t="str">
        <f ca="1">IFERROR(__xludf.DUMMYFUNCTION("""COMPUTED_VALUE"""),"3ème")</f>
        <v>3ème</v>
      </c>
      <c r="H159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159" s="1" t="str">
        <f ca="1">IFERROR(__xludf.DUMMYFUNCTION("""COMPUTED_VALUE"""),"LVA Anglais")</f>
        <v>LVA Anglais</v>
      </c>
      <c r="J159" s="1" t="str">
        <f ca="1">IFERROR(__xludf.DUMMYFUNCTION("""COMPUTED_VALUE"""),"LVB Espagnol")</f>
        <v>LVB Espagnol</v>
      </c>
      <c r="K159" s="1"/>
      <c r="L159" s="1"/>
      <c r="M159" s="1"/>
      <c r="N159" s="1" t="str">
        <f ca="1">IFERROR(__xludf.DUMMYFUNCTION("""COMPUTED_VALUE"""),"Fille")</f>
        <v>Fille</v>
      </c>
      <c r="O159" s="1"/>
      <c r="P159" s="1" t="str">
        <f ca="1">IFERROR(__xludf.DUMMYFUNCTION("""COMPUTED_VALUE"""),"SENEGAL")</f>
        <v>SENEGAL</v>
      </c>
      <c r="Q159" s="1"/>
      <c r="R159" s="1" t="str">
        <f ca="1">IFERROR(__xludf.DUMMYFUNCTION("""COMPUTED_VALUE"""),"aissatou.dieng@lfjpsaly.org")</f>
        <v>aissatou.dieng@lfjpsaly.org</v>
      </c>
      <c r="S159" s="1"/>
      <c r="T159" s="1" t="str">
        <f ca="1">IFERROR(__xludf.DUMMYFUNCTION("""COMPUTED_VALUE"""),"JOUFFRE Oumou Kalsoum")</f>
        <v>JOUFFRE Oumou Kalsoum</v>
      </c>
      <c r="U159" s="1" t="str">
        <f ca="1">IFERROR(__xludf.DUMMYFUNCTION("""COMPUTED_VALUE"""),"JOUFFRE Bernard")</f>
        <v>JOUFFRE Bernard</v>
      </c>
      <c r="V159" s="1" t="str">
        <f ca="1">IFERROR(__xludf.DUMMYFUNCTION("""COMPUTED_VALUE"""),"bernardjouffre18@gmail.com")</f>
        <v>bernardjouffre18@gmail.com</v>
      </c>
      <c r="W159" s="1" t="str">
        <f ca="1">IFERROR(__xludf.DUMMYFUNCTION("""COMPUTED_VALUE"""),"ndawoumoukalsoum@gmail.com")</f>
        <v>ndawoumoukalsoum@gmail.com</v>
      </c>
      <c r="X159" s="1" t="str">
        <f ca="1">IFERROR(__xludf.DUMMYFUNCTION("""COMPUTED_VALUE"""),"+221 77 777 97 75")</f>
        <v>+221 77 777 97 75</v>
      </c>
      <c r="Y159" s="1" t="str">
        <f ca="1">IFERROR(__xludf.DUMMYFUNCTION("""COMPUTED_VALUE"""),"+221 78 524 78 88")</f>
        <v>+221 78 524 78 88</v>
      </c>
      <c r="Z159" s="1" t="str">
        <f ca="1">IFERROR(__xludf.DUMMYFUNCTION("""COMPUTED_VALUE"""),"+221")</f>
        <v>+221</v>
      </c>
      <c r="AA159" s="1" t="str">
        <f ca="1">IFERROR(__xludf.DUMMYFUNCTION("""COMPUTED_VALUE"""),"+221")</f>
        <v>+221</v>
      </c>
      <c r="AB159" s="2">
        <f ca="1">IFERROR(__xludf.DUMMYFUNCTION("""COMPUTED_VALUE"""),30076)</f>
        <v>30076</v>
      </c>
      <c r="AC159" s="2">
        <f ca="1">IFERROR(__xludf.DUMMYFUNCTION("""COMPUTED_VALUE"""),16927)</f>
        <v>16927</v>
      </c>
      <c r="AD159" s="1" t="str">
        <f ca="1">IFERROR(__xludf.DUMMYFUNCTION("""COMPUTED_VALUE"""),"MERE")</f>
        <v>MERE</v>
      </c>
      <c r="AE159" s="1" t="str">
        <f ca="1">IFERROR(__xludf.DUMMYFUNCTION("""COMPUTED_VALUE"""),"AUTRE LIEN")</f>
        <v>AUTRE LIEN</v>
      </c>
      <c r="AF159" s="1" t="str">
        <f ca="1">IFERROR(__xludf.DUMMYFUNCTION("""COMPUTED_VALUE"""),"SENEGAL")</f>
        <v>SENEGAL</v>
      </c>
      <c r="AG159" s="1" t="str">
        <f ca="1">IFERROR(__xludf.DUMMYFUNCTION("""COMPUTED_VALUE"""),"FRANCE")</f>
        <v>FRANCE</v>
      </c>
      <c r="AH159" s="1"/>
      <c r="AI159" s="1"/>
      <c r="AJ159" s="1" t="str">
        <f ca="1">IFERROR(__xludf.DUMMYFUNCTION("""COMPUTED_VALUE"""),"F1266")</f>
        <v>F1266</v>
      </c>
      <c r="AK159" s="1" t="str">
        <f ca="1">IFERROR(__xludf.DUMMYFUNCTION("""COMPUTED_VALUE"""),"Marié(e)")</f>
        <v>Marié(e)</v>
      </c>
      <c r="AL159" s="1" t="str">
        <f ca="1">IFERROR(__xludf.DUMMYFUNCTION("""COMPUTED_VALUE"""),"Marié(e)")</f>
        <v>Marié(e)</v>
      </c>
      <c r="AM159" s="1" t="str">
        <f ca="1">IFERROR(__xludf.DUMMYFUNCTION("""COMPUTED_VALUE"""),"F1266")</f>
        <v>F1266</v>
      </c>
    </row>
    <row r="160" spans="1:39" ht="13" x14ac:dyDescent="0.15">
      <c r="A160" s="1" t="str">
        <f ca="1">IFERROR(__xludf.DUMMYFUNCTION("""COMPUTED_VALUE"""),"DIENG Alioune")</f>
        <v>DIENG Alioune</v>
      </c>
      <c r="B160" s="1" t="str">
        <f ca="1">IFERROR(__xludf.DUMMYFUNCTION("""COMPUTED_VALUE"""),"DIENG")</f>
        <v>DIENG</v>
      </c>
      <c r="C160" s="1" t="str">
        <f ca="1">IFERROR(__xludf.DUMMYFUNCTION("""COMPUTED_VALUE"""),"Alioune")</f>
        <v>Alioune</v>
      </c>
      <c r="D160" s="1" t="str">
        <f ca="1">IFERROR(__xludf.DUMMYFUNCTION("""COMPUTED_VALUE"""),"1267E1")</f>
        <v>1267E1</v>
      </c>
      <c r="E160" s="2">
        <f ca="1">IFERROR(__xludf.DUMMYFUNCTION("""COMPUTED_VALUE"""),42157)</f>
        <v>42157</v>
      </c>
      <c r="F160" s="1" t="str">
        <f ca="1">IFERROR(__xludf.DUMMYFUNCTION("""COMPUTED_VALUE"""),"CM2A")</f>
        <v>CM2A</v>
      </c>
      <c r="G160" s="1" t="str">
        <f ca="1">IFERROR(__xludf.DUMMYFUNCTION("""COMPUTED_VALUE"""),"CM2")</f>
        <v>CM2</v>
      </c>
      <c r="H160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160" s="1"/>
      <c r="J160" s="1"/>
      <c r="K160" s="1"/>
      <c r="L160" s="1"/>
      <c r="M160" s="1"/>
      <c r="N160" s="1" t="str">
        <f ca="1">IFERROR(__xludf.DUMMYFUNCTION("""COMPUTED_VALUE"""),"Garçon")</f>
        <v>Garçon</v>
      </c>
      <c r="O160" s="1"/>
      <c r="P160" s="1" t="str">
        <f ca="1">IFERROR(__xludf.DUMMYFUNCTION("""COMPUTED_VALUE"""),"FRANCE")</f>
        <v>FRANCE</v>
      </c>
      <c r="Q160" s="1" t="str">
        <f ca="1">IFERROR(__xludf.DUMMYFUNCTION("""COMPUTED_VALUE"""),"SENEGAL")</f>
        <v>SENEGAL</v>
      </c>
      <c r="R160" s="1"/>
      <c r="S160" s="1"/>
      <c r="T160" s="1" t="str">
        <f ca="1">IFERROR(__xludf.DUMMYFUNCTION("""COMPUTED_VALUE"""),"DIENG Coumba")</f>
        <v>DIENG Coumba</v>
      </c>
      <c r="U160" s="1" t="str">
        <f ca="1">IFERROR(__xludf.DUMMYFUNCTION("""COMPUTED_VALUE"""),"DIENG Cheikh Sadibou")</f>
        <v>DIENG Cheikh Sadibou</v>
      </c>
      <c r="V160" s="1" t="str">
        <f ca="1">IFERROR(__xludf.DUMMYFUNCTION("""COMPUTED_VALUE"""),"coumbadialo@hotmail.com")</f>
        <v>coumbadialo@hotmail.com</v>
      </c>
      <c r="W160" s="1" t="str">
        <f ca="1">IFERROR(__xludf.DUMMYFUNCTION("""COMPUTED_VALUE"""),"sadydieng@gmail.com")</f>
        <v>sadydieng@gmail.com</v>
      </c>
      <c r="X160" s="1" t="str">
        <f ca="1">IFERROR(__xludf.DUMMYFUNCTION("""COMPUTED_VALUE"""),"+221 77 226 86 36")</f>
        <v>+221 77 226 86 36</v>
      </c>
      <c r="Y160" s="1" t="str">
        <f ca="1">IFERROR(__xludf.DUMMYFUNCTION("""COMPUTED_VALUE"""),"+221 78 543 65 09")</f>
        <v>+221 78 543 65 09</v>
      </c>
      <c r="Z160" s="1"/>
      <c r="AA160" s="1"/>
      <c r="AB160" s="2">
        <f ca="1">IFERROR(__xludf.DUMMYFUNCTION("""COMPUTED_VALUE"""),29169)</f>
        <v>29169</v>
      </c>
      <c r="AC160" s="2">
        <f ca="1">IFERROR(__xludf.DUMMYFUNCTION("""COMPUTED_VALUE"""),27419)</f>
        <v>27419</v>
      </c>
      <c r="AD160" s="1" t="str">
        <f ca="1">IFERROR(__xludf.DUMMYFUNCTION("""COMPUTED_VALUE"""),"MERE")</f>
        <v>MERE</v>
      </c>
      <c r="AE160" s="1" t="str">
        <f ca="1">IFERROR(__xludf.DUMMYFUNCTION("""COMPUTED_VALUE"""),"PERE")</f>
        <v>PERE</v>
      </c>
      <c r="AF160" s="1" t="str">
        <f ca="1">IFERROR(__xludf.DUMMYFUNCTION("""COMPUTED_VALUE"""),"FRANCE")</f>
        <v>FRANCE</v>
      </c>
      <c r="AG160" s="1" t="str">
        <f ca="1">IFERROR(__xludf.DUMMYFUNCTION("""COMPUTED_VALUE"""),"FRANCE")</f>
        <v>FRANCE</v>
      </c>
      <c r="AH160" s="1" t="str">
        <f ca="1">IFERROR(__xludf.DUMMYFUNCTION("""COMPUTED_VALUE"""),"SENEGAL")</f>
        <v>SENEGAL</v>
      </c>
      <c r="AI160" s="1" t="str">
        <f ca="1">IFERROR(__xludf.DUMMYFUNCTION("""COMPUTED_VALUE"""),"SENEGAL")</f>
        <v>SENEGAL</v>
      </c>
      <c r="AJ160" s="1" t="str">
        <f ca="1">IFERROR(__xludf.DUMMYFUNCTION("""COMPUTED_VALUE"""),"F1267")</f>
        <v>F1267</v>
      </c>
      <c r="AK160" s="1" t="str">
        <f ca="1">IFERROR(__xludf.DUMMYFUNCTION("""COMPUTED_VALUE"""),"Marié(e)")</f>
        <v>Marié(e)</v>
      </c>
      <c r="AL160" s="1" t="str">
        <f ca="1">IFERROR(__xludf.DUMMYFUNCTION("""COMPUTED_VALUE"""),"Marié(e)")</f>
        <v>Marié(e)</v>
      </c>
      <c r="AM160" s="1" t="str">
        <f ca="1">IFERROR(__xludf.DUMMYFUNCTION("""COMPUTED_VALUE"""),"F1267")</f>
        <v>F1267</v>
      </c>
    </row>
    <row r="161" spans="1:39" ht="13" x14ac:dyDescent="0.15">
      <c r="A161" s="1" t="str">
        <f ca="1">IFERROR(__xludf.DUMMYFUNCTION("""COMPUTED_VALUE"""),"DIENG Bintou")</f>
        <v>DIENG Bintou</v>
      </c>
      <c r="B161" s="1" t="str">
        <f ca="1">IFERROR(__xludf.DUMMYFUNCTION("""COMPUTED_VALUE"""),"DIENG")</f>
        <v>DIENG</v>
      </c>
      <c r="C161" s="1" t="str">
        <f ca="1">IFERROR(__xludf.DUMMYFUNCTION("""COMPUTED_VALUE"""),"Bintou")</f>
        <v>Bintou</v>
      </c>
      <c r="D161" s="1" t="str">
        <f ca="1">IFERROR(__xludf.DUMMYFUNCTION("""COMPUTED_VALUE"""),"1267E2")</f>
        <v>1267E2</v>
      </c>
      <c r="E161" s="2">
        <f ca="1">IFERROR(__xludf.DUMMYFUNCTION("""COMPUTED_VALUE"""),41131)</f>
        <v>41131</v>
      </c>
      <c r="F161" s="1" t="str">
        <f ca="1">IFERROR(__xludf.DUMMYFUNCTION("""COMPUTED_VALUE"""),"4EME2")</f>
        <v>4EME2</v>
      </c>
      <c r="G161" s="1" t="str">
        <f ca="1">IFERROR(__xludf.DUMMYFUNCTION("""COMPUTED_VALUE"""),"4ème")</f>
        <v>4ème</v>
      </c>
      <c r="H161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161" s="1" t="str">
        <f ca="1">IFERROR(__xludf.DUMMYFUNCTION("""COMPUTED_VALUE"""),"LVA Anglais")</f>
        <v>LVA Anglais</v>
      </c>
      <c r="J161" s="1" t="str">
        <f ca="1">IFERROR(__xludf.DUMMYFUNCTION("""COMPUTED_VALUE"""),"LVB Espagnol")</f>
        <v>LVB Espagnol</v>
      </c>
      <c r="K161" s="1"/>
      <c r="L161" s="1"/>
      <c r="M161" s="1"/>
      <c r="N161" s="1" t="str">
        <f ca="1">IFERROR(__xludf.DUMMYFUNCTION("""COMPUTED_VALUE"""),"Fille")</f>
        <v>Fille</v>
      </c>
      <c r="O161" s="1"/>
      <c r="P161" s="1" t="str">
        <f ca="1">IFERROR(__xludf.DUMMYFUNCTION("""COMPUTED_VALUE"""),"FRANCE")</f>
        <v>FRANCE</v>
      </c>
      <c r="Q161" s="1" t="str">
        <f ca="1">IFERROR(__xludf.DUMMYFUNCTION("""COMPUTED_VALUE"""),"SENEGAL")</f>
        <v>SENEGAL</v>
      </c>
      <c r="R161" s="1" t="str">
        <f ca="1">IFERROR(__xludf.DUMMYFUNCTION("""COMPUTED_VALUE"""),"bintou.dieng@lfjpsaly.org")</f>
        <v>bintou.dieng@lfjpsaly.org</v>
      </c>
      <c r="S161" s="1"/>
      <c r="T161" s="1" t="str">
        <f ca="1">IFERROR(__xludf.DUMMYFUNCTION("""COMPUTED_VALUE"""),"DIENG Coumba")</f>
        <v>DIENG Coumba</v>
      </c>
      <c r="U161" s="1" t="str">
        <f ca="1">IFERROR(__xludf.DUMMYFUNCTION("""COMPUTED_VALUE"""),"DIENG Cheikh Sadibou")</f>
        <v>DIENG Cheikh Sadibou</v>
      </c>
      <c r="V161" s="1" t="str">
        <f ca="1">IFERROR(__xludf.DUMMYFUNCTION("""COMPUTED_VALUE"""),"coumbadialo@hotmail.com")</f>
        <v>coumbadialo@hotmail.com</v>
      </c>
      <c r="W161" s="1" t="str">
        <f ca="1">IFERROR(__xludf.DUMMYFUNCTION("""COMPUTED_VALUE"""),"sadydieng@gmail.com")</f>
        <v>sadydieng@gmail.com</v>
      </c>
      <c r="X161" s="1" t="str">
        <f ca="1">IFERROR(__xludf.DUMMYFUNCTION("""COMPUTED_VALUE"""),"+221 77 226 86 36")</f>
        <v>+221 77 226 86 36</v>
      </c>
      <c r="Y161" s="1" t="str">
        <f ca="1">IFERROR(__xludf.DUMMYFUNCTION("""COMPUTED_VALUE"""),"+221 78 543 65 09")</f>
        <v>+221 78 543 65 09</v>
      </c>
      <c r="Z161" s="1"/>
      <c r="AA161" s="1"/>
      <c r="AB161" s="2">
        <f ca="1">IFERROR(__xludf.DUMMYFUNCTION("""COMPUTED_VALUE"""),29169)</f>
        <v>29169</v>
      </c>
      <c r="AC161" s="2">
        <f ca="1">IFERROR(__xludf.DUMMYFUNCTION("""COMPUTED_VALUE"""),27419)</f>
        <v>27419</v>
      </c>
      <c r="AD161" s="1" t="str">
        <f ca="1">IFERROR(__xludf.DUMMYFUNCTION("""COMPUTED_VALUE"""),"MERE")</f>
        <v>MERE</v>
      </c>
      <c r="AE161" s="1" t="str">
        <f ca="1">IFERROR(__xludf.DUMMYFUNCTION("""COMPUTED_VALUE"""),"PERE")</f>
        <v>PERE</v>
      </c>
      <c r="AF161" s="1" t="str">
        <f ca="1">IFERROR(__xludf.DUMMYFUNCTION("""COMPUTED_VALUE"""),"FRANCE")</f>
        <v>FRANCE</v>
      </c>
      <c r="AG161" s="1" t="str">
        <f ca="1">IFERROR(__xludf.DUMMYFUNCTION("""COMPUTED_VALUE"""),"FRANCE")</f>
        <v>FRANCE</v>
      </c>
      <c r="AH161" s="1" t="str">
        <f ca="1">IFERROR(__xludf.DUMMYFUNCTION("""COMPUTED_VALUE"""),"SENEGAL")</f>
        <v>SENEGAL</v>
      </c>
      <c r="AI161" s="1" t="str">
        <f ca="1">IFERROR(__xludf.DUMMYFUNCTION("""COMPUTED_VALUE"""),"SENEGAL")</f>
        <v>SENEGAL</v>
      </c>
      <c r="AJ161" s="1" t="str">
        <f ca="1">IFERROR(__xludf.DUMMYFUNCTION("""COMPUTED_VALUE"""),"F1267")</f>
        <v>F1267</v>
      </c>
      <c r="AK161" s="1" t="str">
        <f ca="1">IFERROR(__xludf.DUMMYFUNCTION("""COMPUTED_VALUE"""),"Marié(e)")</f>
        <v>Marié(e)</v>
      </c>
      <c r="AL161" s="1" t="str">
        <f ca="1">IFERROR(__xludf.DUMMYFUNCTION("""COMPUTED_VALUE"""),"Marié(e)")</f>
        <v>Marié(e)</v>
      </c>
      <c r="AM161" s="1" t="str">
        <f ca="1">IFERROR(__xludf.DUMMYFUNCTION("""COMPUTED_VALUE"""),"F1267")</f>
        <v>F1267</v>
      </c>
    </row>
    <row r="162" spans="1:39" ht="13" x14ac:dyDescent="0.15">
      <c r="A162" s="1" t="str">
        <f ca="1">IFERROR(__xludf.DUMMYFUNCTION("""COMPUTED_VALUE"""),"DIENG Fatou")</f>
        <v>DIENG Fatou</v>
      </c>
      <c r="B162" s="1" t="str">
        <f ca="1">IFERROR(__xludf.DUMMYFUNCTION("""COMPUTED_VALUE"""),"DIENG")</f>
        <v>DIENG</v>
      </c>
      <c r="C162" s="1" t="str">
        <f ca="1">IFERROR(__xludf.DUMMYFUNCTION("""COMPUTED_VALUE"""),"Fatou")</f>
        <v>Fatou</v>
      </c>
      <c r="D162" s="1" t="str">
        <f ca="1">IFERROR(__xludf.DUMMYFUNCTION("""COMPUTED_VALUE"""),"1268E1")</f>
        <v>1268E1</v>
      </c>
      <c r="E162" s="2">
        <f ca="1">IFERROR(__xludf.DUMMYFUNCTION("""COMPUTED_VALUE"""),43558)</f>
        <v>43558</v>
      </c>
      <c r="F162" s="1" t="str">
        <f ca="1">IFERROR(__xludf.DUMMYFUNCTION("""COMPUTED_VALUE"""),"CE1A")</f>
        <v>CE1A</v>
      </c>
      <c r="G162" s="1" t="str">
        <f ca="1">IFERROR(__xludf.DUMMYFUNCTION("""COMPUTED_VALUE"""),"CE1")</f>
        <v>CE1</v>
      </c>
      <c r="H162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162" s="1"/>
      <c r="J162" s="1"/>
      <c r="K162" s="1"/>
      <c r="L162" s="1"/>
      <c r="M162" s="1"/>
      <c r="N162" s="1" t="str">
        <f ca="1">IFERROR(__xludf.DUMMYFUNCTION("""COMPUTED_VALUE"""),"Fille")</f>
        <v>Fille</v>
      </c>
      <c r="O162" s="1"/>
      <c r="P162" s="1" t="str">
        <f ca="1">IFERROR(__xludf.DUMMYFUNCTION("""COMPUTED_VALUE"""),"SENEGAL")</f>
        <v>SENEGAL</v>
      </c>
      <c r="Q162" s="1" t="str">
        <f ca="1">IFERROR(__xludf.DUMMYFUNCTION("""COMPUTED_VALUE"""),"ETATS-UNIS")</f>
        <v>ETATS-UNIS</v>
      </c>
      <c r="R162" s="1"/>
      <c r="S162" s="1"/>
      <c r="T162" s="1" t="str">
        <f ca="1">IFERROR(__xludf.DUMMYFUNCTION("""COMPUTED_VALUE"""),"DIENG Ablaye")</f>
        <v>DIENG Ablaye</v>
      </c>
      <c r="U162" s="1" t="str">
        <f ca="1">IFERROR(__xludf.DUMMYFUNCTION("""COMPUTED_VALUE"""),"TIMERA Kiya  Boubou")</f>
        <v>TIMERA Kiya  Boubou</v>
      </c>
      <c r="V162" s="1" t="str">
        <f ca="1">IFERROR(__xludf.DUMMYFUNCTION("""COMPUTED_VALUE"""),"ablayedieng@yahoo.fr")</f>
        <v>ablayedieng@yahoo.fr</v>
      </c>
      <c r="W162" s="1" t="str">
        <f ca="1">IFERROR(__xludf.DUMMYFUNCTION("""COMPUTED_VALUE"""),"ablayedieng@yahoo.fr")</f>
        <v>ablayedieng@yahoo.fr</v>
      </c>
      <c r="X162" s="1" t="str">
        <f ca="1">IFERROR(__xludf.DUMMYFUNCTION("""COMPUTED_VALUE"""),"+221 77 340 36 36")</f>
        <v>+221 77 340 36 36</v>
      </c>
      <c r="Y162" s="1" t="str">
        <f ca="1">IFERROR(__xludf.DUMMYFUNCTION("""COMPUTED_VALUE"""),"+221 78 163 61 64")</f>
        <v>+221 78 163 61 64</v>
      </c>
      <c r="Z162" s="1"/>
      <c r="AA162" s="1"/>
      <c r="AB162" s="2">
        <f ca="1">IFERROR(__xludf.DUMMYFUNCTION("""COMPUTED_VALUE"""),29897)</f>
        <v>29897</v>
      </c>
      <c r="AC162" s="2">
        <f ca="1">IFERROR(__xludf.DUMMYFUNCTION("""COMPUTED_VALUE"""),30519)</f>
        <v>30519</v>
      </c>
      <c r="AD162" s="1" t="str">
        <f ca="1">IFERROR(__xludf.DUMMYFUNCTION("""COMPUTED_VALUE"""),"PERE")</f>
        <v>PERE</v>
      </c>
      <c r="AE162" s="1" t="str">
        <f ca="1">IFERROR(__xludf.DUMMYFUNCTION("""COMPUTED_VALUE"""),"MERE")</f>
        <v>MERE</v>
      </c>
      <c r="AF162" s="1" t="str">
        <f ca="1">IFERROR(__xludf.DUMMYFUNCTION("""COMPUTED_VALUE"""),"SENEGAL")</f>
        <v>SENEGAL</v>
      </c>
      <c r="AG162" s="1" t="str">
        <f ca="1">IFERROR(__xludf.DUMMYFUNCTION("""COMPUTED_VALUE"""),"SENEGAL")</f>
        <v>SENEGAL</v>
      </c>
      <c r="AH162" s="1" t="str">
        <f ca="1">IFERROR(__xludf.DUMMYFUNCTION("""COMPUTED_VALUE"""),"MAURITANIE")</f>
        <v>MAURITANIE</v>
      </c>
      <c r="AI162" s="1"/>
      <c r="AJ162" s="1" t="str">
        <f ca="1">IFERROR(__xludf.DUMMYFUNCTION("""COMPUTED_VALUE"""),"F1268")</f>
        <v>F1268</v>
      </c>
      <c r="AK162" s="1" t="str">
        <f ca="1">IFERROR(__xludf.DUMMYFUNCTION("""COMPUTED_VALUE"""),"Marié(e)")</f>
        <v>Marié(e)</v>
      </c>
      <c r="AL162" s="1" t="str">
        <f ca="1">IFERROR(__xludf.DUMMYFUNCTION("""COMPUTED_VALUE"""),"Marié(e)")</f>
        <v>Marié(e)</v>
      </c>
      <c r="AM162" s="1" t="str">
        <f ca="1">IFERROR(__xludf.DUMMYFUNCTION("""COMPUTED_VALUE"""),"F1268")</f>
        <v>F1268</v>
      </c>
    </row>
    <row r="163" spans="1:39" ht="13" x14ac:dyDescent="0.15">
      <c r="A163" s="1" t="str">
        <f ca="1">IFERROR(__xludf.DUMMYFUNCTION("""COMPUTED_VALUE"""),"DIENG Mohamed")</f>
        <v>DIENG Mohamed</v>
      </c>
      <c r="B163" s="1" t="str">
        <f ca="1">IFERROR(__xludf.DUMMYFUNCTION("""COMPUTED_VALUE"""),"DIENG")</f>
        <v>DIENG</v>
      </c>
      <c r="C163" s="1" t="str">
        <f ca="1">IFERROR(__xludf.DUMMYFUNCTION("""COMPUTED_VALUE"""),"Mohamed")</f>
        <v>Mohamed</v>
      </c>
      <c r="D163" s="1" t="str">
        <f ca="1">IFERROR(__xludf.DUMMYFUNCTION("""COMPUTED_VALUE"""),"1268E2")</f>
        <v>1268E2</v>
      </c>
      <c r="E163" s="2">
        <f ca="1">IFERROR(__xludf.DUMMYFUNCTION("""COMPUTED_VALUE"""),41997)</f>
        <v>41997</v>
      </c>
      <c r="F163" s="1" t="str">
        <f ca="1">IFERROR(__xludf.DUMMYFUNCTION("""COMPUTED_VALUE"""),"6EME2")</f>
        <v>6EME2</v>
      </c>
      <c r="G163" s="1" t="str">
        <f ca="1">IFERROR(__xludf.DUMMYFUNCTION("""COMPUTED_VALUE"""),"6ème")</f>
        <v>6ème</v>
      </c>
      <c r="H163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163" s="1" t="str">
        <f ca="1">IFERROR(__xludf.DUMMYFUNCTION("""COMPUTED_VALUE"""),"LVA Anglais")</f>
        <v>LVA Anglais</v>
      </c>
      <c r="J163" s="1" t="str">
        <f ca="1">IFERROR(__xludf.DUMMYFUNCTION("""COMPUTED_VALUE"""),"LVB Espagnol")</f>
        <v>LVB Espagnol</v>
      </c>
      <c r="K163" s="1"/>
      <c r="L163" s="1"/>
      <c r="M163" s="1"/>
      <c r="N163" s="1" t="str">
        <f ca="1">IFERROR(__xludf.DUMMYFUNCTION("""COMPUTED_VALUE"""),"Garçon")</f>
        <v>Garçon</v>
      </c>
      <c r="O163" s="1"/>
      <c r="P163" s="1" t="str">
        <f ca="1">IFERROR(__xludf.DUMMYFUNCTION("""COMPUTED_VALUE"""),"SENEGAL")</f>
        <v>SENEGAL</v>
      </c>
      <c r="Q163" s="1" t="str">
        <f ca="1">IFERROR(__xludf.DUMMYFUNCTION("""COMPUTED_VALUE"""),"ETATS-UNIS")</f>
        <v>ETATS-UNIS</v>
      </c>
      <c r="R163" s="1" t="str">
        <f ca="1">IFERROR(__xludf.DUMMYFUNCTION("""COMPUTED_VALUE"""),"mohamed.dieng@lfjpsaly.org")</f>
        <v>mohamed.dieng@lfjpsaly.org</v>
      </c>
      <c r="S163" s="1"/>
      <c r="T163" s="1" t="str">
        <f ca="1">IFERROR(__xludf.DUMMYFUNCTION("""COMPUTED_VALUE"""),"DIENG Ablaye")</f>
        <v>DIENG Ablaye</v>
      </c>
      <c r="U163" s="1" t="str">
        <f ca="1">IFERROR(__xludf.DUMMYFUNCTION("""COMPUTED_VALUE"""),"TIMERA Kiya  Boubou")</f>
        <v>TIMERA Kiya  Boubou</v>
      </c>
      <c r="V163" s="1" t="str">
        <f ca="1">IFERROR(__xludf.DUMMYFUNCTION("""COMPUTED_VALUE"""),"ablayedieng@yahoo.fr")</f>
        <v>ablayedieng@yahoo.fr</v>
      </c>
      <c r="W163" s="1" t="str">
        <f ca="1">IFERROR(__xludf.DUMMYFUNCTION("""COMPUTED_VALUE"""),"ablayedieng@yahoo.fr")</f>
        <v>ablayedieng@yahoo.fr</v>
      </c>
      <c r="X163" s="1" t="str">
        <f ca="1">IFERROR(__xludf.DUMMYFUNCTION("""COMPUTED_VALUE"""),"+221 77 340 36 36")</f>
        <v>+221 77 340 36 36</v>
      </c>
      <c r="Y163" s="1" t="str">
        <f ca="1">IFERROR(__xludf.DUMMYFUNCTION("""COMPUTED_VALUE"""),"+221 78 163 61 64")</f>
        <v>+221 78 163 61 64</v>
      </c>
      <c r="Z163" s="1"/>
      <c r="AA163" s="1"/>
      <c r="AB163" s="2">
        <f ca="1">IFERROR(__xludf.DUMMYFUNCTION("""COMPUTED_VALUE"""),29897)</f>
        <v>29897</v>
      </c>
      <c r="AC163" s="2">
        <f ca="1">IFERROR(__xludf.DUMMYFUNCTION("""COMPUTED_VALUE"""),30519)</f>
        <v>30519</v>
      </c>
      <c r="AD163" s="1" t="str">
        <f ca="1">IFERROR(__xludf.DUMMYFUNCTION("""COMPUTED_VALUE"""),"PERE")</f>
        <v>PERE</v>
      </c>
      <c r="AE163" s="1" t="str">
        <f ca="1">IFERROR(__xludf.DUMMYFUNCTION("""COMPUTED_VALUE"""),"MERE")</f>
        <v>MERE</v>
      </c>
      <c r="AF163" s="1" t="str">
        <f ca="1">IFERROR(__xludf.DUMMYFUNCTION("""COMPUTED_VALUE"""),"SENEGAL")</f>
        <v>SENEGAL</v>
      </c>
      <c r="AG163" s="1" t="str">
        <f ca="1">IFERROR(__xludf.DUMMYFUNCTION("""COMPUTED_VALUE"""),"SENEGAL")</f>
        <v>SENEGAL</v>
      </c>
      <c r="AH163" s="1" t="str">
        <f ca="1">IFERROR(__xludf.DUMMYFUNCTION("""COMPUTED_VALUE"""),"MAURITANIE")</f>
        <v>MAURITANIE</v>
      </c>
      <c r="AI163" s="1"/>
      <c r="AJ163" s="1" t="str">
        <f ca="1">IFERROR(__xludf.DUMMYFUNCTION("""COMPUTED_VALUE"""),"F1268")</f>
        <v>F1268</v>
      </c>
      <c r="AK163" s="1" t="str">
        <f ca="1">IFERROR(__xludf.DUMMYFUNCTION("""COMPUTED_VALUE"""),"Marié(e)")</f>
        <v>Marié(e)</v>
      </c>
      <c r="AL163" s="1" t="str">
        <f ca="1">IFERROR(__xludf.DUMMYFUNCTION("""COMPUTED_VALUE"""),"Marié(e)")</f>
        <v>Marié(e)</v>
      </c>
      <c r="AM163" s="1" t="str">
        <f ca="1">IFERROR(__xludf.DUMMYFUNCTION("""COMPUTED_VALUE"""),"F1268")</f>
        <v>F1268</v>
      </c>
    </row>
    <row r="164" spans="1:39" ht="13" x14ac:dyDescent="0.15">
      <c r="A164" s="1" t="str">
        <f ca="1">IFERROR(__xludf.DUMMYFUNCTION("""COMPUTED_VALUE"""),"DIENG Nene-Mary")</f>
        <v>DIENG Nene-Mary</v>
      </c>
      <c r="B164" s="1" t="str">
        <f ca="1">IFERROR(__xludf.DUMMYFUNCTION("""COMPUTED_VALUE"""),"DIENG")</f>
        <v>DIENG</v>
      </c>
      <c r="C164" s="1" t="str">
        <f ca="1">IFERROR(__xludf.DUMMYFUNCTION("""COMPUTED_VALUE"""),"Nene-Mary")</f>
        <v>Nene-Mary</v>
      </c>
      <c r="D164" s="1" t="str">
        <f ca="1">IFERROR(__xludf.DUMMYFUNCTION("""COMPUTED_VALUE"""),"1267E3")</f>
        <v>1267E3</v>
      </c>
      <c r="E164" s="2">
        <f ca="1">IFERROR(__xludf.DUMMYFUNCTION("""COMPUTED_VALUE"""),44094)</f>
        <v>44094</v>
      </c>
      <c r="F164" s="1" t="str">
        <f ca="1">IFERROR(__xludf.DUMMYFUNCTION("""COMPUTED_VALUE"""),"Mat 3")</f>
        <v>Mat 3</v>
      </c>
      <c r="G164" s="1" t="str">
        <f ca="1">IFERROR(__xludf.DUMMYFUNCTION("""COMPUTED_VALUE"""),"GS")</f>
        <v>GS</v>
      </c>
      <c r="H164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164" s="1"/>
      <c r="J164" s="1"/>
      <c r="K164" s="1"/>
      <c r="L164" s="1"/>
      <c r="M164" s="1"/>
      <c r="N164" s="1" t="str">
        <f ca="1">IFERROR(__xludf.DUMMYFUNCTION("""COMPUTED_VALUE"""),"Fille")</f>
        <v>Fille</v>
      </c>
      <c r="O164" s="1"/>
      <c r="P164" s="1" t="str">
        <f ca="1">IFERROR(__xludf.DUMMYFUNCTION("""COMPUTED_VALUE"""),"FRANCE")</f>
        <v>FRANCE</v>
      </c>
      <c r="Q164" s="1" t="str">
        <f ca="1">IFERROR(__xludf.DUMMYFUNCTION("""COMPUTED_VALUE"""),"SENEGAL")</f>
        <v>SENEGAL</v>
      </c>
      <c r="R164" s="1"/>
      <c r="S164" s="1" t="str">
        <f ca="1">IFERROR(__xludf.DUMMYFUNCTION("""COMPUTED_VALUE"""),"+221")</f>
        <v>+221</v>
      </c>
      <c r="T164" s="1" t="str">
        <f ca="1">IFERROR(__xludf.DUMMYFUNCTION("""COMPUTED_VALUE"""),"DIENG Coumba")</f>
        <v>DIENG Coumba</v>
      </c>
      <c r="U164" s="1" t="str">
        <f ca="1">IFERROR(__xludf.DUMMYFUNCTION("""COMPUTED_VALUE"""),"DIENG Cheikh Sadibou")</f>
        <v>DIENG Cheikh Sadibou</v>
      </c>
      <c r="V164" s="1" t="str">
        <f ca="1">IFERROR(__xludf.DUMMYFUNCTION("""COMPUTED_VALUE"""),"coumbadialo@hotmail.com")</f>
        <v>coumbadialo@hotmail.com</v>
      </c>
      <c r="W164" s="1" t="str">
        <f ca="1">IFERROR(__xludf.DUMMYFUNCTION("""COMPUTED_VALUE"""),"sadydieng@gmail.com")</f>
        <v>sadydieng@gmail.com</v>
      </c>
      <c r="X164" s="1" t="str">
        <f ca="1">IFERROR(__xludf.DUMMYFUNCTION("""COMPUTED_VALUE"""),"+221 77 226 86 36")</f>
        <v>+221 77 226 86 36</v>
      </c>
      <c r="Y164" s="1" t="str">
        <f ca="1">IFERROR(__xludf.DUMMYFUNCTION("""COMPUTED_VALUE"""),"+221 78 543 65 09")</f>
        <v>+221 78 543 65 09</v>
      </c>
      <c r="Z164" s="1"/>
      <c r="AA164" s="1"/>
      <c r="AB164" s="2">
        <f ca="1">IFERROR(__xludf.DUMMYFUNCTION("""COMPUTED_VALUE"""),29169)</f>
        <v>29169</v>
      </c>
      <c r="AC164" s="2">
        <f ca="1">IFERROR(__xludf.DUMMYFUNCTION("""COMPUTED_VALUE"""),27419)</f>
        <v>27419</v>
      </c>
      <c r="AD164" s="1" t="str">
        <f ca="1">IFERROR(__xludf.DUMMYFUNCTION("""COMPUTED_VALUE"""),"MERE")</f>
        <v>MERE</v>
      </c>
      <c r="AE164" s="1" t="str">
        <f ca="1">IFERROR(__xludf.DUMMYFUNCTION("""COMPUTED_VALUE"""),"PERE")</f>
        <v>PERE</v>
      </c>
      <c r="AF164" s="1" t="str">
        <f ca="1">IFERROR(__xludf.DUMMYFUNCTION("""COMPUTED_VALUE"""),"FRANCE")</f>
        <v>FRANCE</v>
      </c>
      <c r="AG164" s="1" t="str">
        <f ca="1">IFERROR(__xludf.DUMMYFUNCTION("""COMPUTED_VALUE"""),"FRANCE")</f>
        <v>FRANCE</v>
      </c>
      <c r="AH164" s="1" t="str">
        <f ca="1">IFERROR(__xludf.DUMMYFUNCTION("""COMPUTED_VALUE"""),"SENEGAL")</f>
        <v>SENEGAL</v>
      </c>
      <c r="AI164" s="1" t="str">
        <f ca="1">IFERROR(__xludf.DUMMYFUNCTION("""COMPUTED_VALUE"""),"SENEGAL")</f>
        <v>SENEGAL</v>
      </c>
      <c r="AJ164" s="1" t="str">
        <f ca="1">IFERROR(__xludf.DUMMYFUNCTION("""COMPUTED_VALUE"""),"F1267")</f>
        <v>F1267</v>
      </c>
      <c r="AK164" s="1" t="str">
        <f ca="1">IFERROR(__xludf.DUMMYFUNCTION("""COMPUTED_VALUE"""),"Marié(e)")</f>
        <v>Marié(e)</v>
      </c>
      <c r="AL164" s="1" t="str">
        <f ca="1">IFERROR(__xludf.DUMMYFUNCTION("""COMPUTED_VALUE"""),"Marié(e)")</f>
        <v>Marié(e)</v>
      </c>
      <c r="AM164" s="1" t="str">
        <f ca="1">IFERROR(__xludf.DUMMYFUNCTION("""COMPUTED_VALUE"""),"F1267")</f>
        <v>F1267</v>
      </c>
    </row>
    <row r="165" spans="1:39" ht="13" x14ac:dyDescent="0.15">
      <c r="A165" s="1" t="str">
        <f ca="1">IFERROR(__xludf.DUMMYFUNCTION("""COMPUTED_VALUE"""),"DIENG Salimata")</f>
        <v>DIENG Salimata</v>
      </c>
      <c r="B165" s="1" t="str">
        <f ca="1">IFERROR(__xludf.DUMMYFUNCTION("""COMPUTED_VALUE"""),"DIENG")</f>
        <v>DIENG</v>
      </c>
      <c r="C165" s="1" t="str">
        <f ca="1">IFERROR(__xludf.DUMMYFUNCTION("""COMPUTED_VALUE"""),"Salimata")</f>
        <v>Salimata</v>
      </c>
      <c r="D165" s="1" t="str">
        <f ca="1">IFERROR(__xludf.DUMMYFUNCTION("""COMPUTED_VALUE"""),"1268E3")</f>
        <v>1268E3</v>
      </c>
      <c r="E165" s="2">
        <f ca="1">IFERROR(__xludf.DUMMYFUNCTION("""COMPUTED_VALUE"""),44756)</f>
        <v>44756</v>
      </c>
      <c r="F165" s="1" t="str">
        <f ca="1">IFERROR(__xludf.DUMMYFUNCTION("""COMPUTED_VALUE"""),"Mat 1")</f>
        <v>Mat 1</v>
      </c>
      <c r="G165" s="1" t="str">
        <f ca="1">IFERROR(__xludf.DUMMYFUNCTION("""COMPUTED_VALUE"""),"PS")</f>
        <v>PS</v>
      </c>
      <c r="H165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165" s="1"/>
      <c r="J165" s="1"/>
      <c r="K165" s="1"/>
      <c r="L165" s="1"/>
      <c r="M165" s="1"/>
      <c r="N165" s="1" t="str">
        <f ca="1">IFERROR(__xludf.DUMMYFUNCTION("""COMPUTED_VALUE"""),"Fille")</f>
        <v>Fille</v>
      </c>
      <c r="O165" s="1"/>
      <c r="P165" s="1" t="str">
        <f ca="1">IFERROR(__xludf.DUMMYFUNCTION("""COMPUTED_VALUE"""),"SENEGAL")</f>
        <v>SENEGAL</v>
      </c>
      <c r="Q165" s="1" t="str">
        <f ca="1">IFERROR(__xludf.DUMMYFUNCTION("""COMPUTED_VALUE"""),"MAURITANIE")</f>
        <v>MAURITANIE</v>
      </c>
      <c r="R165" s="1"/>
      <c r="S165" s="1"/>
      <c r="T165" s="1" t="str">
        <f ca="1">IFERROR(__xludf.DUMMYFUNCTION("""COMPUTED_VALUE"""),"DIENG Ablaye")</f>
        <v>DIENG Ablaye</v>
      </c>
      <c r="U165" s="1" t="str">
        <f ca="1">IFERROR(__xludf.DUMMYFUNCTION("""COMPUTED_VALUE"""),"TIMERA Kiya  Boubou")</f>
        <v>TIMERA Kiya  Boubou</v>
      </c>
      <c r="V165" s="1" t="str">
        <f ca="1">IFERROR(__xludf.DUMMYFUNCTION("""COMPUTED_VALUE"""),"ablayedieng@yahoo.fr")</f>
        <v>ablayedieng@yahoo.fr</v>
      </c>
      <c r="W165" s="1" t="str">
        <f ca="1">IFERROR(__xludf.DUMMYFUNCTION("""COMPUTED_VALUE"""),"ablayedieng@yahoo.fr")</f>
        <v>ablayedieng@yahoo.fr</v>
      </c>
      <c r="X165" s="1" t="str">
        <f ca="1">IFERROR(__xludf.DUMMYFUNCTION("""COMPUTED_VALUE"""),"+221 77 340 36 36")</f>
        <v>+221 77 340 36 36</v>
      </c>
      <c r="Y165" s="1" t="str">
        <f ca="1">IFERROR(__xludf.DUMMYFUNCTION("""COMPUTED_VALUE"""),"+221 78 163 61 64")</f>
        <v>+221 78 163 61 64</v>
      </c>
      <c r="Z165" s="1"/>
      <c r="AA165" s="1"/>
      <c r="AB165" s="2">
        <f ca="1">IFERROR(__xludf.DUMMYFUNCTION("""COMPUTED_VALUE"""),29897)</f>
        <v>29897</v>
      </c>
      <c r="AC165" s="2">
        <f ca="1">IFERROR(__xludf.DUMMYFUNCTION("""COMPUTED_VALUE"""),30519)</f>
        <v>30519</v>
      </c>
      <c r="AD165" s="1" t="str">
        <f ca="1">IFERROR(__xludf.DUMMYFUNCTION("""COMPUTED_VALUE"""),"PERE")</f>
        <v>PERE</v>
      </c>
      <c r="AE165" s="1" t="str">
        <f ca="1">IFERROR(__xludf.DUMMYFUNCTION("""COMPUTED_VALUE"""),"MERE")</f>
        <v>MERE</v>
      </c>
      <c r="AF165" s="1" t="str">
        <f ca="1">IFERROR(__xludf.DUMMYFUNCTION("""COMPUTED_VALUE"""),"SENEGAL")</f>
        <v>SENEGAL</v>
      </c>
      <c r="AG165" s="1" t="str">
        <f ca="1">IFERROR(__xludf.DUMMYFUNCTION("""COMPUTED_VALUE"""),"SENEGAL")</f>
        <v>SENEGAL</v>
      </c>
      <c r="AH165" s="1" t="str">
        <f ca="1">IFERROR(__xludf.DUMMYFUNCTION("""COMPUTED_VALUE"""),"MAURITANIE")</f>
        <v>MAURITANIE</v>
      </c>
      <c r="AI165" s="1"/>
      <c r="AJ165" s="1" t="str">
        <f ca="1">IFERROR(__xludf.DUMMYFUNCTION("""COMPUTED_VALUE"""),"F1268")</f>
        <v>F1268</v>
      </c>
      <c r="AK165" s="1" t="str">
        <f ca="1">IFERROR(__xludf.DUMMYFUNCTION("""COMPUTED_VALUE"""),"Marié(e)")</f>
        <v>Marié(e)</v>
      </c>
      <c r="AL165" s="1" t="str">
        <f ca="1">IFERROR(__xludf.DUMMYFUNCTION("""COMPUTED_VALUE"""),"Marié(e)")</f>
        <v>Marié(e)</v>
      </c>
      <c r="AM165" s="1" t="str">
        <f ca="1">IFERROR(__xludf.DUMMYFUNCTION("""COMPUTED_VALUE"""),"F1268")</f>
        <v>F1268</v>
      </c>
    </row>
    <row r="166" spans="1:39" ht="13" x14ac:dyDescent="0.15">
      <c r="A166" s="1" t="str">
        <f ca="1">IFERROR(__xludf.DUMMYFUNCTION("""COMPUTED_VALUE"""),"DIEYE Awa Cheikh")</f>
        <v>DIEYE Awa Cheikh</v>
      </c>
      <c r="B166" s="1" t="str">
        <f ca="1">IFERROR(__xludf.DUMMYFUNCTION("""COMPUTED_VALUE"""),"DIEYE")</f>
        <v>DIEYE</v>
      </c>
      <c r="C166" s="1" t="str">
        <f ca="1">IFERROR(__xludf.DUMMYFUNCTION("""COMPUTED_VALUE"""),"Awa Cheikh")</f>
        <v>Awa Cheikh</v>
      </c>
      <c r="D166" s="1" t="str">
        <f ca="1">IFERROR(__xludf.DUMMYFUNCTION("""COMPUTED_VALUE"""),"1270E1")</f>
        <v>1270E1</v>
      </c>
      <c r="E166" s="2">
        <f ca="1">IFERROR(__xludf.DUMMYFUNCTION("""COMPUTED_VALUE"""),40638)</f>
        <v>40638</v>
      </c>
      <c r="F166" s="1" t="str">
        <f ca="1">IFERROR(__xludf.DUMMYFUNCTION("""COMPUTED_VALUE"""),"3EME1")</f>
        <v>3EME1</v>
      </c>
      <c r="G166" s="1" t="str">
        <f ca="1">IFERROR(__xludf.DUMMYFUNCTION("""COMPUTED_VALUE"""),"3ème")</f>
        <v>3ème</v>
      </c>
      <c r="H166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166" s="1" t="str">
        <f ca="1">IFERROR(__xludf.DUMMYFUNCTION("""COMPUTED_VALUE"""),"LVA Anglais")</f>
        <v>LVA Anglais</v>
      </c>
      <c r="J166" s="1" t="str">
        <f ca="1">IFERROR(__xludf.DUMMYFUNCTION("""COMPUTED_VALUE"""),"LVB Espagnol")</f>
        <v>LVB Espagnol</v>
      </c>
      <c r="K166" s="1"/>
      <c r="L166" s="1"/>
      <c r="M166" s="1"/>
      <c r="N166" s="1" t="str">
        <f ca="1">IFERROR(__xludf.DUMMYFUNCTION("""COMPUTED_VALUE"""),"Fille")</f>
        <v>Fille</v>
      </c>
      <c r="O166" s="1"/>
      <c r="P166" s="1" t="str">
        <f ca="1">IFERROR(__xludf.DUMMYFUNCTION("""COMPUTED_VALUE"""),"SENEGAL")</f>
        <v>SENEGAL</v>
      </c>
      <c r="Q166" s="1"/>
      <c r="R166" s="1" t="str">
        <f ca="1">IFERROR(__xludf.DUMMYFUNCTION("""COMPUTED_VALUE"""),"awa.dieye@lfjpsaly.org")</f>
        <v>awa.dieye@lfjpsaly.org</v>
      </c>
      <c r="S166" s="1"/>
      <c r="T166" s="1" t="str">
        <f ca="1">IFERROR(__xludf.DUMMYFUNCTION("""COMPUTED_VALUE"""),"SALL Soukeyna")</f>
        <v>SALL Soukeyna</v>
      </c>
      <c r="U166" s="1" t="str">
        <f ca="1">IFERROR(__xludf.DUMMYFUNCTION("""COMPUTED_VALUE"""),"DIEYE Cheikh")</f>
        <v>DIEYE Cheikh</v>
      </c>
      <c r="V166" s="1" t="str">
        <f ca="1">IFERROR(__xludf.DUMMYFUNCTION("""COMPUTED_VALUE"""),"soukeynasall16@gmail.com")</f>
        <v>soukeynasall16@gmail.com</v>
      </c>
      <c r="W166" s="1" t="str">
        <f ca="1">IFERROR(__xludf.DUMMYFUNCTION("""COMPUTED_VALUE"""),"cheikh.dieye@tad.sn")</f>
        <v>cheikh.dieye@tad.sn</v>
      </c>
      <c r="X166" s="1" t="str">
        <f ca="1">IFERROR(__xludf.DUMMYFUNCTION("""COMPUTED_VALUE"""),"+221 77 637 78 44")</f>
        <v>+221 77 637 78 44</v>
      </c>
      <c r="Y166" s="1" t="str">
        <f ca="1">IFERROR(__xludf.DUMMYFUNCTION("""COMPUTED_VALUE"""),"+221 77 692 29 21")</f>
        <v>+221 77 692 29 21</v>
      </c>
      <c r="Z166" s="1" t="str">
        <f ca="1">IFERROR(__xludf.DUMMYFUNCTION("""COMPUTED_VALUE"""),"+221")</f>
        <v>+221</v>
      </c>
      <c r="AA166" s="1" t="str">
        <f ca="1">IFERROR(__xludf.DUMMYFUNCTION("""COMPUTED_VALUE"""),"+221 77 638 84 81")</f>
        <v>+221 77 638 84 81</v>
      </c>
      <c r="AB166" s="2">
        <f ca="1">IFERROR(__xludf.DUMMYFUNCTION("""COMPUTED_VALUE"""),26283)</f>
        <v>26283</v>
      </c>
      <c r="AC166" s="2">
        <f ca="1">IFERROR(__xludf.DUMMYFUNCTION("""COMPUTED_VALUE"""),26041)</f>
        <v>26041</v>
      </c>
      <c r="AD166" s="1" t="str">
        <f ca="1">IFERROR(__xludf.DUMMYFUNCTION("""COMPUTED_VALUE"""),"MERE")</f>
        <v>MERE</v>
      </c>
      <c r="AE166" s="1" t="str">
        <f ca="1">IFERROR(__xludf.DUMMYFUNCTION("""COMPUTED_VALUE"""),"PERE")</f>
        <v>PERE</v>
      </c>
      <c r="AF166" s="1" t="str">
        <f ca="1">IFERROR(__xludf.DUMMYFUNCTION("""COMPUTED_VALUE"""),"SENEGAL")</f>
        <v>SENEGAL</v>
      </c>
      <c r="AG166" s="1" t="str">
        <f ca="1">IFERROR(__xludf.DUMMYFUNCTION("""COMPUTED_VALUE"""),"SENEGAL")</f>
        <v>SENEGAL</v>
      </c>
      <c r="AH166" s="1" t="str">
        <f ca="1">IFERROR(__xludf.DUMMYFUNCTION("""COMPUTED_VALUE"""),"SENEGAL")</f>
        <v>SENEGAL</v>
      </c>
      <c r="AI166" s="1"/>
      <c r="AJ166" s="1" t="str">
        <f ca="1">IFERROR(__xludf.DUMMYFUNCTION("""COMPUTED_VALUE"""),"F1270")</f>
        <v>F1270</v>
      </c>
      <c r="AK166" s="1" t="str">
        <f ca="1">IFERROR(__xludf.DUMMYFUNCTION("""COMPUTED_VALUE"""),"Marié(e)")</f>
        <v>Marié(e)</v>
      </c>
      <c r="AL166" s="1" t="str">
        <f ca="1">IFERROR(__xludf.DUMMYFUNCTION("""COMPUTED_VALUE"""),"Marié(e)")</f>
        <v>Marié(e)</v>
      </c>
      <c r="AM166" s="1" t="str">
        <f ca="1">IFERROR(__xludf.DUMMYFUNCTION("""COMPUTED_VALUE"""),"F1270")</f>
        <v>F1270</v>
      </c>
    </row>
    <row r="167" spans="1:39" ht="13" x14ac:dyDescent="0.15">
      <c r="A167" s="1" t="str">
        <f ca="1">IFERROR(__xludf.DUMMYFUNCTION("""COMPUTED_VALUE"""),"DIFRANCESCHO Hugo")</f>
        <v>DIFRANCESCHO Hugo</v>
      </c>
      <c r="B167" s="1" t="str">
        <f ca="1">IFERROR(__xludf.DUMMYFUNCTION("""COMPUTED_VALUE"""),"DIFRANCESCHO")</f>
        <v>DIFRANCESCHO</v>
      </c>
      <c r="C167" s="1" t="str">
        <f ca="1">IFERROR(__xludf.DUMMYFUNCTION("""COMPUTED_VALUE"""),"Hugo")</f>
        <v>Hugo</v>
      </c>
      <c r="D167" s="1" t="str">
        <f ca="1">IFERROR(__xludf.DUMMYFUNCTION("""COMPUTED_VALUE"""),"1273E1")</f>
        <v>1273E1</v>
      </c>
      <c r="E167" s="2">
        <f ca="1">IFERROR(__xludf.DUMMYFUNCTION("""COMPUTED_VALUE"""),40240)</f>
        <v>40240</v>
      </c>
      <c r="F167" s="1" t="str">
        <f ca="1">IFERROR(__xludf.DUMMYFUNCTION("""COMPUTED_VALUE"""),"2NDE2")</f>
        <v>2NDE2</v>
      </c>
      <c r="G167" s="1" t="str">
        <f ca="1">IFERROR(__xludf.DUMMYFUNCTION("""COMPUTED_VALUE"""),"2nde")</f>
        <v>2nde</v>
      </c>
      <c r="H167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167" s="1" t="str">
        <f ca="1">IFERROR(__xludf.DUMMYFUNCTION("""COMPUTED_VALUE"""),"LVA Anglais")</f>
        <v>LVA Anglais</v>
      </c>
      <c r="J167" s="1" t="str">
        <f ca="1">IFERROR(__xludf.DUMMYFUNCTION("""COMPUTED_VALUE"""),"LVB Espagnol")</f>
        <v>LVB Espagnol</v>
      </c>
      <c r="K167" s="1"/>
      <c r="L167" s="1"/>
      <c r="M167" s="1"/>
      <c r="N167" s="1" t="str">
        <f ca="1">IFERROR(__xludf.DUMMYFUNCTION("""COMPUTED_VALUE"""),"Garçon")</f>
        <v>Garçon</v>
      </c>
      <c r="O167" s="1"/>
      <c r="P167" s="1" t="str">
        <f ca="1">IFERROR(__xludf.DUMMYFUNCTION("""COMPUTED_VALUE"""),"FRANCE")</f>
        <v>FRANCE</v>
      </c>
      <c r="Q167" s="1"/>
      <c r="R167" s="1" t="str">
        <f ca="1">IFERROR(__xludf.DUMMYFUNCTION("""COMPUTED_VALUE"""),"hugo.difrancescho@lfjpsaly.org")</f>
        <v>hugo.difrancescho@lfjpsaly.org</v>
      </c>
      <c r="S167" s="1"/>
      <c r="T167" s="1" t="str">
        <f ca="1">IFERROR(__xludf.DUMMYFUNCTION("""COMPUTED_VALUE"""),"DIFRANCESCHO Roger")</f>
        <v>DIFRANCESCHO Roger</v>
      </c>
      <c r="U167" s="1" t="str">
        <f ca="1">IFERROR(__xludf.DUMMYFUNCTION("""COMPUTED_VALUE"""),"DIFRANCESCHO Séverine")</f>
        <v>DIFRANCESCHO Séverine</v>
      </c>
      <c r="V167" s="1" t="str">
        <f ca="1">IFERROR(__xludf.DUMMYFUNCTION("""COMPUTED_VALUE"""),"rogerdi@hotmail.fr")</f>
        <v>rogerdi@hotmail.fr</v>
      </c>
      <c r="W167" s="1" t="str">
        <f ca="1">IFERROR(__xludf.DUMMYFUNCTION("""COMPUTED_VALUE"""),"severine.seneclauze@gmail.com")</f>
        <v>severine.seneclauze@gmail.com</v>
      </c>
      <c r="X167" s="1" t="str">
        <f ca="1">IFERROR(__xludf.DUMMYFUNCTION("""COMPUTED_VALUE"""),"+221 77 691 58 24")</f>
        <v>+221 77 691 58 24</v>
      </c>
      <c r="Y167" s="1" t="str">
        <f ca="1">IFERROR(__xludf.DUMMYFUNCTION("""COMPUTED_VALUE"""),"+221 77 125 28 10")</f>
        <v>+221 77 125 28 10</v>
      </c>
      <c r="Z167" s="1" t="str">
        <f ca="1">IFERROR(__xludf.DUMMYFUNCTION("""COMPUTED_VALUE"""),"+221")</f>
        <v>+221</v>
      </c>
      <c r="AA167" s="1" t="str">
        <f ca="1">IFERROR(__xludf.DUMMYFUNCTION("""COMPUTED_VALUE"""),"+221")</f>
        <v>+221</v>
      </c>
      <c r="AB167" s="2">
        <f ca="1">IFERROR(__xludf.DUMMYFUNCTION("""COMPUTED_VALUE"""),24485)</f>
        <v>24485</v>
      </c>
      <c r="AC167" s="2">
        <f ca="1">IFERROR(__xludf.DUMMYFUNCTION("""COMPUTED_VALUE"""),26439)</f>
        <v>26439</v>
      </c>
      <c r="AD167" s="1" t="str">
        <f ca="1">IFERROR(__xludf.DUMMYFUNCTION("""COMPUTED_VALUE"""),"PERE")</f>
        <v>PERE</v>
      </c>
      <c r="AE167" s="1" t="str">
        <f ca="1">IFERROR(__xludf.DUMMYFUNCTION("""COMPUTED_VALUE"""),"MERE")</f>
        <v>MERE</v>
      </c>
      <c r="AF167" s="1" t="str">
        <f ca="1">IFERROR(__xludf.DUMMYFUNCTION("""COMPUTED_VALUE"""),"FRANCE")</f>
        <v>FRANCE</v>
      </c>
      <c r="AG167" s="1" t="str">
        <f ca="1">IFERROR(__xludf.DUMMYFUNCTION("""COMPUTED_VALUE"""),"FRANCE")</f>
        <v>FRANCE</v>
      </c>
      <c r="AH167" s="1"/>
      <c r="AI167" s="1"/>
      <c r="AJ167" s="1" t="str">
        <f ca="1">IFERROR(__xludf.DUMMYFUNCTION("""COMPUTED_VALUE"""),"F1273")</f>
        <v>F1273</v>
      </c>
      <c r="AK167" s="1" t="str">
        <f ca="1">IFERROR(__xludf.DUMMYFUNCTION("""COMPUTED_VALUE"""),"Marié(e)")</f>
        <v>Marié(e)</v>
      </c>
      <c r="AL167" s="1" t="str">
        <f ca="1">IFERROR(__xludf.DUMMYFUNCTION("""COMPUTED_VALUE"""),"Marié(e)")</f>
        <v>Marié(e)</v>
      </c>
      <c r="AM167" s="1" t="str">
        <f ca="1">IFERROR(__xludf.DUMMYFUNCTION("""COMPUTED_VALUE"""),"F1273")</f>
        <v>F1273</v>
      </c>
    </row>
    <row r="168" spans="1:39" ht="13" x14ac:dyDescent="0.15">
      <c r="A168" s="1" t="str">
        <f ca="1">IFERROR(__xludf.DUMMYFUNCTION("""COMPUTED_VALUE"""),"DIFRANCESCHO Léo")</f>
        <v>DIFRANCESCHO Léo</v>
      </c>
      <c r="B168" s="1" t="str">
        <f ca="1">IFERROR(__xludf.DUMMYFUNCTION("""COMPUTED_VALUE"""),"DIFRANCESCHO")</f>
        <v>DIFRANCESCHO</v>
      </c>
      <c r="C168" s="1" t="str">
        <f ca="1">IFERROR(__xludf.DUMMYFUNCTION("""COMPUTED_VALUE"""),"Léo")</f>
        <v>Léo</v>
      </c>
      <c r="D168" s="1" t="str">
        <f ca="1">IFERROR(__xludf.DUMMYFUNCTION("""COMPUTED_VALUE"""),"1274E1")</f>
        <v>1274E1</v>
      </c>
      <c r="E168" s="2">
        <f ca="1">IFERROR(__xludf.DUMMYFUNCTION("""COMPUTED_VALUE"""),40240)</f>
        <v>40240</v>
      </c>
      <c r="F168" s="1" t="str">
        <f ca="1">IFERROR(__xludf.DUMMYFUNCTION("""COMPUTED_VALUE"""),"2NDE1 COOP")</f>
        <v>2NDE1 COOP</v>
      </c>
      <c r="G168" s="1" t="str">
        <f ca="1">IFERROR(__xludf.DUMMYFUNCTION("""COMPUTED_VALUE"""),"2nde")</f>
        <v>2nde</v>
      </c>
      <c r="H168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168" s="1" t="str">
        <f ca="1">IFERROR(__xludf.DUMMYFUNCTION("""COMPUTED_VALUE"""),"LVA Anglais")</f>
        <v>LVA Anglais</v>
      </c>
      <c r="J168" s="1" t="str">
        <f ca="1">IFERROR(__xludf.DUMMYFUNCTION("""COMPUTED_VALUE"""),"LVB Espagnol")</f>
        <v>LVB Espagnol</v>
      </c>
      <c r="K168" s="1"/>
      <c r="L168" s="1"/>
      <c r="M168" s="1"/>
      <c r="N168" s="1" t="str">
        <f ca="1">IFERROR(__xludf.DUMMYFUNCTION("""COMPUTED_VALUE"""),"Garçon")</f>
        <v>Garçon</v>
      </c>
      <c r="O168" s="1"/>
      <c r="P168" s="1" t="str">
        <f ca="1">IFERROR(__xludf.DUMMYFUNCTION("""COMPUTED_VALUE"""),"FRANCE")</f>
        <v>FRANCE</v>
      </c>
      <c r="Q168" s="1"/>
      <c r="R168" s="1" t="str">
        <f ca="1">IFERROR(__xludf.DUMMYFUNCTION("""COMPUTED_VALUE"""),"leo.difrancescho@lfjpsaly.org")</f>
        <v>leo.difrancescho@lfjpsaly.org</v>
      </c>
      <c r="S168" s="1" t="str">
        <f ca="1">IFERROR(__xludf.DUMMYFUNCTION("""COMPUTED_VALUE"""),"+221 78 485 77 08")</f>
        <v>+221 78 485 77 08</v>
      </c>
      <c r="T168" s="1" t="str">
        <f ca="1">IFERROR(__xludf.DUMMYFUNCTION("""COMPUTED_VALUE"""),"DIFRANCESCHO Roger")</f>
        <v>DIFRANCESCHO Roger</v>
      </c>
      <c r="U168" s="1" t="str">
        <f ca="1">IFERROR(__xludf.DUMMYFUNCTION("""COMPUTED_VALUE"""),"DIFRANCESCHO Séverine")</f>
        <v>DIFRANCESCHO Séverine</v>
      </c>
      <c r="V168" s="1" t="str">
        <f ca="1">IFERROR(__xludf.DUMMYFUNCTION("""COMPUTED_VALUE"""),"rogerdi@hotmail.fr")</f>
        <v>rogerdi@hotmail.fr</v>
      </c>
      <c r="W168" s="1" t="str">
        <f ca="1">IFERROR(__xludf.DUMMYFUNCTION("""COMPUTED_VALUE"""),"severine.seneclauze@gmail.com")</f>
        <v>severine.seneclauze@gmail.com</v>
      </c>
      <c r="X168" s="1" t="str">
        <f ca="1">IFERROR(__xludf.DUMMYFUNCTION("""COMPUTED_VALUE"""),"+221 77 691 58 24")</f>
        <v>+221 77 691 58 24</v>
      </c>
      <c r="Y168" s="1" t="str">
        <f ca="1">IFERROR(__xludf.DUMMYFUNCTION("""COMPUTED_VALUE"""),"+221 77 125 28 10")</f>
        <v>+221 77 125 28 10</v>
      </c>
      <c r="Z168" s="1" t="str">
        <f ca="1">IFERROR(__xludf.DUMMYFUNCTION("""COMPUTED_VALUE"""),"+221")</f>
        <v>+221</v>
      </c>
      <c r="AA168" s="1" t="str">
        <f ca="1">IFERROR(__xludf.DUMMYFUNCTION("""COMPUTED_VALUE"""),"+221")</f>
        <v>+221</v>
      </c>
      <c r="AB168" s="2">
        <f ca="1">IFERROR(__xludf.DUMMYFUNCTION("""COMPUTED_VALUE"""),24485)</f>
        <v>24485</v>
      </c>
      <c r="AC168" s="2">
        <f ca="1">IFERROR(__xludf.DUMMYFUNCTION("""COMPUTED_VALUE"""),26439)</f>
        <v>26439</v>
      </c>
      <c r="AD168" s="1" t="str">
        <f ca="1">IFERROR(__xludf.DUMMYFUNCTION("""COMPUTED_VALUE"""),"PERE")</f>
        <v>PERE</v>
      </c>
      <c r="AE168" s="1" t="str">
        <f ca="1">IFERROR(__xludf.DUMMYFUNCTION("""COMPUTED_VALUE"""),"MERE")</f>
        <v>MERE</v>
      </c>
      <c r="AF168" s="1" t="str">
        <f ca="1">IFERROR(__xludf.DUMMYFUNCTION("""COMPUTED_VALUE"""),"FRANCE")</f>
        <v>FRANCE</v>
      </c>
      <c r="AG168" s="1" t="str">
        <f ca="1">IFERROR(__xludf.DUMMYFUNCTION("""COMPUTED_VALUE"""),"FRANCE")</f>
        <v>FRANCE</v>
      </c>
      <c r="AH168" s="1"/>
      <c r="AI168" s="1"/>
      <c r="AJ168" s="1" t="str">
        <f ca="1">IFERROR(__xludf.DUMMYFUNCTION("""COMPUTED_VALUE"""),"F1273")</f>
        <v>F1273</v>
      </c>
      <c r="AK168" s="1" t="str">
        <f ca="1">IFERROR(__xludf.DUMMYFUNCTION("""COMPUTED_VALUE"""),"Marié(e)")</f>
        <v>Marié(e)</v>
      </c>
      <c r="AL168" s="1" t="str">
        <f ca="1">IFERROR(__xludf.DUMMYFUNCTION("""COMPUTED_VALUE"""),"Marié(e)")</f>
        <v>Marié(e)</v>
      </c>
      <c r="AM168" s="1" t="str">
        <f ca="1">IFERROR(__xludf.DUMMYFUNCTION("""COMPUTED_VALUE"""),"F1273")</f>
        <v>F1273</v>
      </c>
    </row>
    <row r="169" spans="1:39" ht="13" x14ac:dyDescent="0.15">
      <c r="A169" s="1" t="str">
        <f ca="1">IFERROR(__xludf.DUMMYFUNCTION("""COMPUTED_VALUE"""),"DIONE Christian")</f>
        <v>DIONE Christian</v>
      </c>
      <c r="B169" s="1" t="str">
        <f ca="1">IFERROR(__xludf.DUMMYFUNCTION("""COMPUTED_VALUE"""),"DIONE")</f>
        <v>DIONE</v>
      </c>
      <c r="C169" s="1" t="str">
        <f ca="1">IFERROR(__xludf.DUMMYFUNCTION("""COMPUTED_VALUE"""),"Christian")</f>
        <v>Christian</v>
      </c>
      <c r="D169" s="1" t="str">
        <f ca="1">IFERROR(__xludf.DUMMYFUNCTION("""COMPUTED_VALUE"""),"1275E2")</f>
        <v>1275E2</v>
      </c>
      <c r="E169" s="2">
        <f ca="1">IFERROR(__xludf.DUMMYFUNCTION("""COMPUTED_VALUE"""),42687)</f>
        <v>42687</v>
      </c>
      <c r="F169" s="1" t="str">
        <f ca="1">IFERROR(__xludf.DUMMYFUNCTION("""COMPUTED_VALUE"""),"CM1A")</f>
        <v>CM1A</v>
      </c>
      <c r="G169" s="1" t="str">
        <f ca="1">IFERROR(__xludf.DUMMYFUNCTION("""COMPUTED_VALUE"""),"CM1")</f>
        <v>CM1</v>
      </c>
      <c r="H169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169" s="1"/>
      <c r="J169" s="1"/>
      <c r="K169" s="1"/>
      <c r="L169" s="1"/>
      <c r="M169" s="1"/>
      <c r="N169" s="1" t="str">
        <f ca="1">IFERROR(__xludf.DUMMYFUNCTION("""COMPUTED_VALUE"""),"Garçon")</f>
        <v>Garçon</v>
      </c>
      <c r="O169" s="1"/>
      <c r="P169" s="1" t="str">
        <f ca="1">IFERROR(__xludf.DUMMYFUNCTION("""COMPUTED_VALUE"""),"GAMBIE")</f>
        <v>GAMBIE</v>
      </c>
      <c r="Q169" s="1" t="str">
        <f ca="1">IFERROR(__xludf.DUMMYFUNCTION("""COMPUTED_VALUE"""),"SENEGAL")</f>
        <v>SENEGAL</v>
      </c>
      <c r="R169" s="1"/>
      <c r="S169" s="1"/>
      <c r="T169" s="1" t="str">
        <f ca="1">IFERROR(__xludf.DUMMYFUNCTION("""COMPUTED_VALUE"""),"DIONE Michel")</f>
        <v>DIONE Michel</v>
      </c>
      <c r="U169" s="1" t="str">
        <f ca="1">IFERROR(__xludf.DUMMYFUNCTION("""COMPUTED_VALUE"""),"NDOW Ramatoulie")</f>
        <v>NDOW Ramatoulie</v>
      </c>
      <c r="V169" s="1" t="str">
        <f ca="1">IFERROR(__xludf.DUMMYFUNCTION("""COMPUTED_VALUE"""),"dionemichel@gmail.com")</f>
        <v>dionemichel@gmail.com</v>
      </c>
      <c r="W169" s="1" t="str">
        <f ca="1">IFERROR(__xludf.DUMMYFUNCTION("""COMPUTED_VALUE"""),"ramadione1989@gmail.com")</f>
        <v>ramadione1989@gmail.com</v>
      </c>
      <c r="X169" s="1" t="str">
        <f ca="1">IFERROR(__xludf.DUMMYFUNCTION("""COMPUTED_VALUE"""),"+221 77 533 96 70")</f>
        <v>+221 77 533 96 70</v>
      </c>
      <c r="Y169" s="1" t="str">
        <f ca="1">IFERROR(__xludf.DUMMYFUNCTION("""COMPUTED_VALUE"""),"+221 77 162 42 22")</f>
        <v>+221 77 162 42 22</v>
      </c>
      <c r="Z169" s="1" t="str">
        <f ca="1">IFERROR(__xludf.DUMMYFUNCTION("""COMPUTED_VALUE"""),"+221")</f>
        <v>+221</v>
      </c>
      <c r="AA169" s="1" t="str">
        <f ca="1">IFERROR(__xludf.DUMMYFUNCTION("""COMPUTED_VALUE"""),"+221")</f>
        <v>+221</v>
      </c>
      <c r="AB169" s="2">
        <f ca="1">IFERROR(__xludf.DUMMYFUNCTION("""COMPUTED_VALUE"""),28479)</f>
        <v>28479</v>
      </c>
      <c r="AC169" s="2">
        <f ca="1">IFERROR(__xludf.DUMMYFUNCTION("""COMPUTED_VALUE"""),32670)</f>
        <v>32670</v>
      </c>
      <c r="AD169" s="1" t="str">
        <f ca="1">IFERROR(__xludf.DUMMYFUNCTION("""COMPUTED_VALUE"""),"PERE")</f>
        <v>PERE</v>
      </c>
      <c r="AE169" s="1" t="str">
        <f ca="1">IFERROR(__xludf.DUMMYFUNCTION("""COMPUTED_VALUE"""),"MERE")</f>
        <v>MERE</v>
      </c>
      <c r="AF169" s="1" t="str">
        <f ca="1">IFERROR(__xludf.DUMMYFUNCTION("""COMPUTED_VALUE"""),"SENEGAL")</f>
        <v>SENEGAL</v>
      </c>
      <c r="AG169" s="1" t="str">
        <f ca="1">IFERROR(__xludf.DUMMYFUNCTION("""COMPUTED_VALUE"""),"GAMBIE")</f>
        <v>GAMBIE</v>
      </c>
      <c r="AH169" s="1"/>
      <c r="AI169" s="1"/>
      <c r="AJ169" s="1" t="str">
        <f ca="1">IFERROR(__xludf.DUMMYFUNCTION("""COMPUTED_VALUE"""),"F1275")</f>
        <v>F1275</v>
      </c>
      <c r="AK169" s="1" t="str">
        <f ca="1">IFERROR(__xludf.DUMMYFUNCTION("""COMPUTED_VALUE"""),"Marié(e)")</f>
        <v>Marié(e)</v>
      </c>
      <c r="AL169" s="1" t="str">
        <f ca="1">IFERROR(__xludf.DUMMYFUNCTION("""COMPUTED_VALUE"""),"Marié(e)")</f>
        <v>Marié(e)</v>
      </c>
      <c r="AM169" s="1" t="str">
        <f ca="1">IFERROR(__xludf.DUMMYFUNCTION("""COMPUTED_VALUE"""),"F1275")</f>
        <v>F1275</v>
      </c>
    </row>
    <row r="170" spans="1:39" ht="13" x14ac:dyDescent="0.15">
      <c r="A170" s="1" t="str">
        <f ca="1">IFERROR(__xludf.DUMMYFUNCTION("""COMPUTED_VALUE"""),"DIONE Nicolas")</f>
        <v>DIONE Nicolas</v>
      </c>
      <c r="B170" s="1" t="str">
        <f ca="1">IFERROR(__xludf.DUMMYFUNCTION("""COMPUTED_VALUE"""),"DIONE")</f>
        <v>DIONE</v>
      </c>
      <c r="C170" s="1" t="str">
        <f ca="1">IFERROR(__xludf.DUMMYFUNCTION("""COMPUTED_VALUE"""),"Nicolas")</f>
        <v>Nicolas</v>
      </c>
      <c r="D170" s="1" t="str">
        <f ca="1">IFERROR(__xludf.DUMMYFUNCTION("""COMPUTED_VALUE"""),"1275E1")</f>
        <v>1275E1</v>
      </c>
      <c r="E170" s="2">
        <f ca="1">IFERROR(__xludf.DUMMYFUNCTION("""COMPUTED_VALUE"""),43750)</f>
        <v>43750</v>
      </c>
      <c r="F170" s="1" t="str">
        <f ca="1">IFERROR(__xludf.DUMMYFUNCTION("""COMPUTED_VALUE"""),"CP")</f>
        <v>CP</v>
      </c>
      <c r="G170" s="1" t="str">
        <f ca="1">IFERROR(__xludf.DUMMYFUNCTION("""COMPUTED_VALUE"""),"CP")</f>
        <v>CP</v>
      </c>
      <c r="H170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170" s="1"/>
      <c r="J170" s="1"/>
      <c r="K170" s="1"/>
      <c r="L170" s="1"/>
      <c r="M170" s="1"/>
      <c r="N170" s="1" t="str">
        <f ca="1">IFERROR(__xludf.DUMMYFUNCTION("""COMPUTED_VALUE"""),"Garçon")</f>
        <v>Garçon</v>
      </c>
      <c r="O170" s="1"/>
      <c r="P170" s="1" t="str">
        <f ca="1">IFERROR(__xludf.DUMMYFUNCTION("""COMPUTED_VALUE"""),"GAMBIE")</f>
        <v>GAMBIE</v>
      </c>
      <c r="Q170" s="1" t="str">
        <f ca="1">IFERROR(__xludf.DUMMYFUNCTION("""COMPUTED_VALUE"""),"SENEGAL")</f>
        <v>SENEGAL</v>
      </c>
      <c r="R170" s="1"/>
      <c r="S170" s="1"/>
      <c r="T170" s="1" t="str">
        <f ca="1">IFERROR(__xludf.DUMMYFUNCTION("""COMPUTED_VALUE"""),"DIONE Michel")</f>
        <v>DIONE Michel</v>
      </c>
      <c r="U170" s="1" t="str">
        <f ca="1">IFERROR(__xludf.DUMMYFUNCTION("""COMPUTED_VALUE"""),"NDOW Ramatoulie")</f>
        <v>NDOW Ramatoulie</v>
      </c>
      <c r="V170" s="1" t="str">
        <f ca="1">IFERROR(__xludf.DUMMYFUNCTION("""COMPUTED_VALUE"""),"dionemichel@gmail.com")</f>
        <v>dionemichel@gmail.com</v>
      </c>
      <c r="W170" s="1" t="str">
        <f ca="1">IFERROR(__xludf.DUMMYFUNCTION("""COMPUTED_VALUE"""),"ramadione1989@gmail.com")</f>
        <v>ramadione1989@gmail.com</v>
      </c>
      <c r="X170" s="1" t="str">
        <f ca="1">IFERROR(__xludf.DUMMYFUNCTION("""COMPUTED_VALUE"""),"+221 77 533 96 70")</f>
        <v>+221 77 533 96 70</v>
      </c>
      <c r="Y170" s="1" t="str">
        <f ca="1">IFERROR(__xludf.DUMMYFUNCTION("""COMPUTED_VALUE"""),"+221 77 162 42 22")</f>
        <v>+221 77 162 42 22</v>
      </c>
      <c r="Z170" s="1" t="str">
        <f ca="1">IFERROR(__xludf.DUMMYFUNCTION("""COMPUTED_VALUE"""),"+221")</f>
        <v>+221</v>
      </c>
      <c r="AA170" s="1" t="str">
        <f ca="1">IFERROR(__xludf.DUMMYFUNCTION("""COMPUTED_VALUE"""),"+221")</f>
        <v>+221</v>
      </c>
      <c r="AB170" s="2">
        <f ca="1">IFERROR(__xludf.DUMMYFUNCTION("""COMPUTED_VALUE"""),28479)</f>
        <v>28479</v>
      </c>
      <c r="AC170" s="2">
        <f ca="1">IFERROR(__xludf.DUMMYFUNCTION("""COMPUTED_VALUE"""),32670)</f>
        <v>32670</v>
      </c>
      <c r="AD170" s="1" t="str">
        <f ca="1">IFERROR(__xludf.DUMMYFUNCTION("""COMPUTED_VALUE"""),"PERE")</f>
        <v>PERE</v>
      </c>
      <c r="AE170" s="1" t="str">
        <f ca="1">IFERROR(__xludf.DUMMYFUNCTION("""COMPUTED_VALUE"""),"MERE")</f>
        <v>MERE</v>
      </c>
      <c r="AF170" s="1" t="str">
        <f ca="1">IFERROR(__xludf.DUMMYFUNCTION("""COMPUTED_VALUE"""),"SENEGAL")</f>
        <v>SENEGAL</v>
      </c>
      <c r="AG170" s="1" t="str">
        <f ca="1">IFERROR(__xludf.DUMMYFUNCTION("""COMPUTED_VALUE"""),"GAMBIE")</f>
        <v>GAMBIE</v>
      </c>
      <c r="AH170" s="1"/>
      <c r="AI170" s="1"/>
      <c r="AJ170" s="1" t="str">
        <f ca="1">IFERROR(__xludf.DUMMYFUNCTION("""COMPUTED_VALUE"""),"F1275")</f>
        <v>F1275</v>
      </c>
      <c r="AK170" s="1" t="str">
        <f ca="1">IFERROR(__xludf.DUMMYFUNCTION("""COMPUTED_VALUE"""),"Marié(e)")</f>
        <v>Marié(e)</v>
      </c>
      <c r="AL170" s="1" t="str">
        <f ca="1">IFERROR(__xludf.DUMMYFUNCTION("""COMPUTED_VALUE"""),"Marié(e)")</f>
        <v>Marié(e)</v>
      </c>
      <c r="AM170" s="1" t="str">
        <f ca="1">IFERROR(__xludf.DUMMYFUNCTION("""COMPUTED_VALUE"""),"F1275")</f>
        <v>F1275</v>
      </c>
    </row>
    <row r="171" spans="1:39" ht="13" x14ac:dyDescent="0.15">
      <c r="A171" s="1" t="str">
        <f ca="1">IFERROR(__xludf.DUMMYFUNCTION("""COMPUTED_VALUE"""),"DIONE Philippe")</f>
        <v>DIONE Philippe</v>
      </c>
      <c r="B171" s="1" t="str">
        <f ca="1">IFERROR(__xludf.DUMMYFUNCTION("""COMPUTED_VALUE"""),"DIONE")</f>
        <v>DIONE</v>
      </c>
      <c r="C171" s="1" t="str">
        <f ca="1">IFERROR(__xludf.DUMMYFUNCTION("""COMPUTED_VALUE"""),"Philippe")</f>
        <v>Philippe</v>
      </c>
      <c r="D171" s="1" t="str">
        <f ca="1">IFERROR(__xludf.DUMMYFUNCTION("""COMPUTED_VALUE"""),"1275E3")</f>
        <v>1275E3</v>
      </c>
      <c r="E171" s="2">
        <f ca="1">IFERROR(__xludf.DUMMYFUNCTION("""COMPUTED_VALUE"""),41559)</f>
        <v>41559</v>
      </c>
      <c r="F171" s="1" t="str">
        <f ca="1">IFERROR(__xludf.DUMMYFUNCTION("""COMPUTED_VALUE"""),"5EME2")</f>
        <v>5EME2</v>
      </c>
      <c r="G171" s="1" t="str">
        <f ca="1">IFERROR(__xludf.DUMMYFUNCTION("""COMPUTED_VALUE"""),"5ème")</f>
        <v>5ème</v>
      </c>
      <c r="H171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171" s="1" t="str">
        <f ca="1">IFERROR(__xludf.DUMMYFUNCTION("""COMPUTED_VALUE"""),"LVA Anglais")</f>
        <v>LVA Anglais</v>
      </c>
      <c r="J171" s="1" t="str">
        <f ca="1">IFERROR(__xludf.DUMMYFUNCTION("""COMPUTED_VALUE"""),"LVB Espagnol")</f>
        <v>LVB Espagnol</v>
      </c>
      <c r="K171" s="1"/>
      <c r="L171" s="1"/>
      <c r="M171" s="1"/>
      <c r="N171" s="1" t="str">
        <f ca="1">IFERROR(__xludf.DUMMYFUNCTION("""COMPUTED_VALUE"""),"Garçon")</f>
        <v>Garçon</v>
      </c>
      <c r="O171" s="1"/>
      <c r="P171" s="1" t="str">
        <f ca="1">IFERROR(__xludf.DUMMYFUNCTION("""COMPUTED_VALUE"""),"GAMBIE")</f>
        <v>GAMBIE</v>
      </c>
      <c r="Q171" s="1" t="str">
        <f ca="1">IFERROR(__xludf.DUMMYFUNCTION("""COMPUTED_VALUE"""),"SENEGAL")</f>
        <v>SENEGAL</v>
      </c>
      <c r="R171" s="1" t="str">
        <f ca="1">IFERROR(__xludf.DUMMYFUNCTION("""COMPUTED_VALUE"""),"philippe.dione@lfjpsaly.org")</f>
        <v>philippe.dione@lfjpsaly.org</v>
      </c>
      <c r="S171" s="1"/>
      <c r="T171" s="1" t="str">
        <f ca="1">IFERROR(__xludf.DUMMYFUNCTION("""COMPUTED_VALUE"""),"DIONE Michel")</f>
        <v>DIONE Michel</v>
      </c>
      <c r="U171" s="1" t="str">
        <f ca="1">IFERROR(__xludf.DUMMYFUNCTION("""COMPUTED_VALUE"""),"NDOW Ramatoulie")</f>
        <v>NDOW Ramatoulie</v>
      </c>
      <c r="V171" s="1" t="str">
        <f ca="1">IFERROR(__xludf.DUMMYFUNCTION("""COMPUTED_VALUE"""),"dionemichel@gmail.com")</f>
        <v>dionemichel@gmail.com</v>
      </c>
      <c r="W171" s="1" t="str">
        <f ca="1">IFERROR(__xludf.DUMMYFUNCTION("""COMPUTED_VALUE"""),"ramadione1989@gmail.com")</f>
        <v>ramadione1989@gmail.com</v>
      </c>
      <c r="X171" s="1" t="str">
        <f ca="1">IFERROR(__xludf.DUMMYFUNCTION("""COMPUTED_VALUE"""),"+221 77 533 96 70")</f>
        <v>+221 77 533 96 70</v>
      </c>
      <c r="Y171" s="1" t="str">
        <f ca="1">IFERROR(__xludf.DUMMYFUNCTION("""COMPUTED_VALUE"""),"+221 77 162 42 22")</f>
        <v>+221 77 162 42 22</v>
      </c>
      <c r="Z171" s="1" t="str">
        <f ca="1">IFERROR(__xludf.DUMMYFUNCTION("""COMPUTED_VALUE"""),"+221")</f>
        <v>+221</v>
      </c>
      <c r="AA171" s="1" t="str">
        <f ca="1">IFERROR(__xludf.DUMMYFUNCTION("""COMPUTED_VALUE"""),"+221")</f>
        <v>+221</v>
      </c>
      <c r="AB171" s="2">
        <f ca="1">IFERROR(__xludf.DUMMYFUNCTION("""COMPUTED_VALUE"""),28479)</f>
        <v>28479</v>
      </c>
      <c r="AC171" s="2">
        <f ca="1">IFERROR(__xludf.DUMMYFUNCTION("""COMPUTED_VALUE"""),32670)</f>
        <v>32670</v>
      </c>
      <c r="AD171" s="1" t="str">
        <f ca="1">IFERROR(__xludf.DUMMYFUNCTION("""COMPUTED_VALUE"""),"PERE")</f>
        <v>PERE</v>
      </c>
      <c r="AE171" s="1" t="str">
        <f ca="1">IFERROR(__xludf.DUMMYFUNCTION("""COMPUTED_VALUE"""),"MERE")</f>
        <v>MERE</v>
      </c>
      <c r="AF171" s="1" t="str">
        <f ca="1">IFERROR(__xludf.DUMMYFUNCTION("""COMPUTED_VALUE"""),"SENEGAL")</f>
        <v>SENEGAL</v>
      </c>
      <c r="AG171" s="1" t="str">
        <f ca="1">IFERROR(__xludf.DUMMYFUNCTION("""COMPUTED_VALUE"""),"GAMBIE")</f>
        <v>GAMBIE</v>
      </c>
      <c r="AH171" s="1"/>
      <c r="AI171" s="1"/>
      <c r="AJ171" s="1" t="str">
        <f ca="1">IFERROR(__xludf.DUMMYFUNCTION("""COMPUTED_VALUE"""),"F1275")</f>
        <v>F1275</v>
      </c>
      <c r="AK171" s="1" t="str">
        <f ca="1">IFERROR(__xludf.DUMMYFUNCTION("""COMPUTED_VALUE"""),"Marié(e)")</f>
        <v>Marié(e)</v>
      </c>
      <c r="AL171" s="1" t="str">
        <f ca="1">IFERROR(__xludf.DUMMYFUNCTION("""COMPUTED_VALUE"""),"Marié(e)")</f>
        <v>Marié(e)</v>
      </c>
      <c r="AM171" s="1" t="str">
        <f ca="1">IFERROR(__xludf.DUMMYFUNCTION("""COMPUTED_VALUE"""),"F1275")</f>
        <v>F1275</v>
      </c>
    </row>
    <row r="172" spans="1:39" ht="13" x14ac:dyDescent="0.15">
      <c r="A172" s="1" t="str">
        <f ca="1">IFERROR(__xludf.DUMMYFUNCTION("""COMPUTED_VALUE"""),"DIONNE Cheikh Ahmadou Bamba")</f>
        <v>DIONNE Cheikh Ahmadou Bamba</v>
      </c>
      <c r="B172" s="1" t="str">
        <f ca="1">IFERROR(__xludf.DUMMYFUNCTION("""COMPUTED_VALUE"""),"DIONNE")</f>
        <v>DIONNE</v>
      </c>
      <c r="C172" s="1" t="str">
        <f ca="1">IFERROR(__xludf.DUMMYFUNCTION("""COMPUTED_VALUE"""),"Cheikh Ahmadou Bamba")</f>
        <v>Cheikh Ahmadou Bamba</v>
      </c>
      <c r="D172" s="1" t="str">
        <f ca="1">IFERROR(__xludf.DUMMYFUNCTION("""COMPUTED_VALUE"""),"1276E2")</f>
        <v>1276E2</v>
      </c>
      <c r="E172" s="2">
        <f ca="1">IFERROR(__xludf.DUMMYFUNCTION("""COMPUTED_VALUE"""),44908)</f>
        <v>44908</v>
      </c>
      <c r="F172" s="1" t="str">
        <f ca="1">IFERROR(__xludf.DUMMYFUNCTION("""COMPUTED_VALUE"""),"Mat 1")</f>
        <v>Mat 1</v>
      </c>
      <c r="G172" s="1" t="str">
        <f ca="1">IFERROR(__xludf.DUMMYFUNCTION("""COMPUTED_VALUE"""),"PS")</f>
        <v>PS</v>
      </c>
      <c r="H172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172" s="1"/>
      <c r="J172" s="1"/>
      <c r="K172" s="1"/>
      <c r="L172" s="1"/>
      <c r="M172" s="1"/>
      <c r="N172" s="1" t="str">
        <f ca="1">IFERROR(__xludf.DUMMYFUNCTION("""COMPUTED_VALUE"""),"Garçon")</f>
        <v>Garçon</v>
      </c>
      <c r="O172" s="1"/>
      <c r="P172" s="1" t="str">
        <f ca="1">IFERROR(__xludf.DUMMYFUNCTION("""COMPUTED_VALUE"""),"SENEGAL")</f>
        <v>SENEGAL</v>
      </c>
      <c r="Q172" s="1"/>
      <c r="R172" s="1"/>
      <c r="S172" s="1"/>
      <c r="T172" s="1" t="str">
        <f ca="1">IFERROR(__xludf.DUMMYFUNCTION("""COMPUTED_VALUE"""),"DIONNE Cheikh Diop")</f>
        <v>DIONNE Cheikh Diop</v>
      </c>
      <c r="U172" s="1" t="str">
        <f ca="1">IFERROR(__xludf.DUMMYFUNCTION("""COMPUTED_VALUE"""),"FAYE Françoise")</f>
        <v>FAYE Françoise</v>
      </c>
      <c r="V172" s="1" t="str">
        <f ca="1">IFERROR(__xludf.DUMMYFUNCTION("""COMPUTED_VALUE"""),"cheikhddionne@gmail.com")</f>
        <v>cheikhddionne@gmail.com</v>
      </c>
      <c r="W172" s="1" t="str">
        <f ca="1">IFERROR(__xludf.DUMMYFUNCTION("""COMPUTED_VALUE"""),"fayefrancoise@live.fr")</f>
        <v>fayefrancoise@live.fr</v>
      </c>
      <c r="X172" s="1" t="str">
        <f ca="1">IFERROR(__xludf.DUMMYFUNCTION("""COMPUTED_VALUE"""),"+221 77 264 34 78")</f>
        <v>+221 77 264 34 78</v>
      </c>
      <c r="Y172" s="1" t="str">
        <f ca="1">IFERROR(__xludf.DUMMYFUNCTION("""COMPUTED_VALUE"""),"+221 70 848 70 31")</f>
        <v>+221 70 848 70 31</v>
      </c>
      <c r="Z172" s="1" t="str">
        <f ca="1">IFERROR(__xludf.DUMMYFUNCTION("""COMPUTED_VALUE"""),"+221 77 264 34 78")</f>
        <v>+221 77 264 34 78</v>
      </c>
      <c r="AA172" s="1" t="str">
        <f ca="1">IFERROR(__xludf.DUMMYFUNCTION("""COMPUTED_VALUE"""),"+221 70 848 70 31")</f>
        <v>+221 70 848 70 31</v>
      </c>
      <c r="AB172" s="2">
        <f ca="1">IFERROR(__xludf.DUMMYFUNCTION("""COMPUTED_VALUE"""),21101)</f>
        <v>21101</v>
      </c>
      <c r="AC172" s="2">
        <f ca="1">IFERROR(__xludf.DUMMYFUNCTION("""COMPUTED_VALUE"""),28751)</f>
        <v>28751</v>
      </c>
      <c r="AD172" s="1" t="str">
        <f ca="1">IFERROR(__xludf.DUMMYFUNCTION("""COMPUTED_VALUE"""),"PERE")</f>
        <v>PERE</v>
      </c>
      <c r="AE172" s="1" t="str">
        <f ca="1">IFERROR(__xludf.DUMMYFUNCTION("""COMPUTED_VALUE"""),"MERE")</f>
        <v>MERE</v>
      </c>
      <c r="AF172" s="1" t="str">
        <f ca="1">IFERROR(__xludf.DUMMYFUNCTION("""COMPUTED_VALUE"""),"SENEGAL")</f>
        <v>SENEGAL</v>
      </c>
      <c r="AG172" s="1" t="str">
        <f ca="1">IFERROR(__xludf.DUMMYFUNCTION("""COMPUTED_VALUE"""),"SENEGAL")</f>
        <v>SENEGAL</v>
      </c>
      <c r="AH172" s="1"/>
      <c r="AI172" s="1"/>
      <c r="AJ172" s="1" t="str">
        <f ca="1">IFERROR(__xludf.DUMMYFUNCTION("""COMPUTED_VALUE"""),"F1276")</f>
        <v>F1276</v>
      </c>
      <c r="AK172" s="1" t="str">
        <f ca="1">IFERROR(__xludf.DUMMYFUNCTION("""COMPUTED_VALUE"""),"Marié(e)")</f>
        <v>Marié(e)</v>
      </c>
      <c r="AL172" s="1" t="str">
        <f ca="1">IFERROR(__xludf.DUMMYFUNCTION("""COMPUTED_VALUE"""),"Marié(e)")</f>
        <v>Marié(e)</v>
      </c>
      <c r="AM172" s="1" t="str">
        <f ca="1">IFERROR(__xludf.DUMMYFUNCTION("""COMPUTED_VALUE"""),"F1276")</f>
        <v>F1276</v>
      </c>
    </row>
    <row r="173" spans="1:39" ht="13" x14ac:dyDescent="0.15">
      <c r="A173" s="1" t="str">
        <f ca="1">IFERROR(__xludf.DUMMYFUNCTION("""COMPUTED_VALUE"""),"DIONNE Diarra  Nancy")</f>
        <v>DIONNE Diarra  Nancy</v>
      </c>
      <c r="B173" s="1" t="str">
        <f ca="1">IFERROR(__xludf.DUMMYFUNCTION("""COMPUTED_VALUE"""),"DIONNE")</f>
        <v>DIONNE</v>
      </c>
      <c r="C173" s="1" t="str">
        <f ca="1">IFERROR(__xludf.DUMMYFUNCTION("""COMPUTED_VALUE"""),"Diarra  Nancy")</f>
        <v>Diarra  Nancy</v>
      </c>
      <c r="D173" s="1" t="str">
        <f ca="1">IFERROR(__xludf.DUMMYFUNCTION("""COMPUTED_VALUE"""),"1276E1")</f>
        <v>1276E1</v>
      </c>
      <c r="E173" s="2">
        <f ca="1">IFERROR(__xludf.DUMMYFUNCTION("""COMPUTED_VALUE"""),43510)</f>
        <v>43510</v>
      </c>
      <c r="F173" s="1" t="str">
        <f ca="1">IFERROR(__xludf.DUMMYFUNCTION("""COMPUTED_VALUE"""),"CP-CE2")</f>
        <v>CP-CE2</v>
      </c>
      <c r="G173" s="1" t="str">
        <f ca="1">IFERROR(__xludf.DUMMYFUNCTION("""COMPUTED_VALUE"""),"CP")</f>
        <v>CP</v>
      </c>
      <c r="H173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173" s="1"/>
      <c r="J173" s="1"/>
      <c r="K173" s="1"/>
      <c r="L173" s="1"/>
      <c r="M173" s="1"/>
      <c r="N173" s="1" t="str">
        <f ca="1">IFERROR(__xludf.DUMMYFUNCTION("""COMPUTED_VALUE"""),"Fille")</f>
        <v>Fille</v>
      </c>
      <c r="O173" s="1"/>
      <c r="P173" s="1" t="str">
        <f ca="1">IFERROR(__xludf.DUMMYFUNCTION("""COMPUTED_VALUE"""),"SENEGAL")</f>
        <v>SENEGAL</v>
      </c>
      <c r="Q173" s="1"/>
      <c r="R173" s="1"/>
      <c r="S173" s="1"/>
      <c r="T173" s="1" t="str">
        <f ca="1">IFERROR(__xludf.DUMMYFUNCTION("""COMPUTED_VALUE"""),"DIONNE Cheikh Diop")</f>
        <v>DIONNE Cheikh Diop</v>
      </c>
      <c r="U173" s="1" t="str">
        <f ca="1">IFERROR(__xludf.DUMMYFUNCTION("""COMPUTED_VALUE"""),"FAYE Françoise")</f>
        <v>FAYE Françoise</v>
      </c>
      <c r="V173" s="1" t="str">
        <f ca="1">IFERROR(__xludf.DUMMYFUNCTION("""COMPUTED_VALUE"""),"cheikhddionne@gmail.com")</f>
        <v>cheikhddionne@gmail.com</v>
      </c>
      <c r="W173" s="1" t="str">
        <f ca="1">IFERROR(__xludf.DUMMYFUNCTION("""COMPUTED_VALUE"""),"fayefrancoise@live.fr")</f>
        <v>fayefrancoise@live.fr</v>
      </c>
      <c r="X173" s="1" t="str">
        <f ca="1">IFERROR(__xludf.DUMMYFUNCTION("""COMPUTED_VALUE"""),"+221 77 264 34 78")</f>
        <v>+221 77 264 34 78</v>
      </c>
      <c r="Y173" s="1" t="str">
        <f ca="1">IFERROR(__xludf.DUMMYFUNCTION("""COMPUTED_VALUE"""),"+221 70 848 70 31")</f>
        <v>+221 70 848 70 31</v>
      </c>
      <c r="Z173" s="1" t="str">
        <f ca="1">IFERROR(__xludf.DUMMYFUNCTION("""COMPUTED_VALUE"""),"+221 77 264 34 78")</f>
        <v>+221 77 264 34 78</v>
      </c>
      <c r="AA173" s="1" t="str">
        <f ca="1">IFERROR(__xludf.DUMMYFUNCTION("""COMPUTED_VALUE"""),"+221 70 848 70 31")</f>
        <v>+221 70 848 70 31</v>
      </c>
      <c r="AB173" s="2">
        <f ca="1">IFERROR(__xludf.DUMMYFUNCTION("""COMPUTED_VALUE"""),21101)</f>
        <v>21101</v>
      </c>
      <c r="AC173" s="2">
        <f ca="1">IFERROR(__xludf.DUMMYFUNCTION("""COMPUTED_VALUE"""),28751)</f>
        <v>28751</v>
      </c>
      <c r="AD173" s="1" t="str">
        <f ca="1">IFERROR(__xludf.DUMMYFUNCTION("""COMPUTED_VALUE"""),"PERE")</f>
        <v>PERE</v>
      </c>
      <c r="AE173" s="1" t="str">
        <f ca="1">IFERROR(__xludf.DUMMYFUNCTION("""COMPUTED_VALUE"""),"MERE")</f>
        <v>MERE</v>
      </c>
      <c r="AF173" s="1" t="str">
        <f ca="1">IFERROR(__xludf.DUMMYFUNCTION("""COMPUTED_VALUE"""),"SENEGAL")</f>
        <v>SENEGAL</v>
      </c>
      <c r="AG173" s="1" t="str">
        <f ca="1">IFERROR(__xludf.DUMMYFUNCTION("""COMPUTED_VALUE"""),"SENEGAL")</f>
        <v>SENEGAL</v>
      </c>
      <c r="AH173" s="1"/>
      <c r="AI173" s="1"/>
      <c r="AJ173" s="1" t="str">
        <f ca="1">IFERROR(__xludf.DUMMYFUNCTION("""COMPUTED_VALUE"""),"F1276")</f>
        <v>F1276</v>
      </c>
      <c r="AK173" s="1" t="str">
        <f ca="1">IFERROR(__xludf.DUMMYFUNCTION("""COMPUTED_VALUE"""),"Marié(e)")</f>
        <v>Marié(e)</v>
      </c>
      <c r="AL173" s="1" t="str">
        <f ca="1">IFERROR(__xludf.DUMMYFUNCTION("""COMPUTED_VALUE"""),"Marié(e)")</f>
        <v>Marié(e)</v>
      </c>
      <c r="AM173" s="1" t="str">
        <f ca="1">IFERROR(__xludf.DUMMYFUNCTION("""COMPUTED_VALUE"""),"F1276")</f>
        <v>F1276</v>
      </c>
    </row>
    <row r="174" spans="1:39" ht="13" x14ac:dyDescent="0.15">
      <c r="A174" s="1" t="str">
        <f ca="1">IFERROR(__xludf.DUMMYFUNCTION("""COMPUTED_VALUE"""),"DIOP Djanelle Nayely")</f>
        <v>DIOP Djanelle Nayely</v>
      </c>
      <c r="B174" s="1" t="str">
        <f ca="1">IFERROR(__xludf.DUMMYFUNCTION("""COMPUTED_VALUE"""),"DIOP")</f>
        <v>DIOP</v>
      </c>
      <c r="C174" s="1" t="str">
        <f ca="1">IFERROR(__xludf.DUMMYFUNCTION("""COMPUTED_VALUE"""),"Djanelle Nayely")</f>
        <v>Djanelle Nayely</v>
      </c>
      <c r="D174" s="1" t="str">
        <f ca="1">IFERROR(__xludf.DUMMYFUNCTION("""COMPUTED_VALUE"""),"11672S2270")</f>
        <v>11672S2270</v>
      </c>
      <c r="E174" s="2">
        <f ca="1">IFERROR(__xludf.DUMMYFUNCTION("""COMPUTED_VALUE"""),43062)</f>
        <v>43062</v>
      </c>
      <c r="F174" s="1" t="str">
        <f ca="1">IFERROR(__xludf.DUMMYFUNCTION("""COMPUTED_VALUE"""),"CE2")</f>
        <v>CE2</v>
      </c>
      <c r="G174" s="1" t="str">
        <f ca="1">IFERROR(__xludf.DUMMYFUNCTION("""COMPUTED_VALUE"""),"CE2")</f>
        <v>CE2</v>
      </c>
      <c r="H174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174" s="1"/>
      <c r="J174" s="1"/>
      <c r="K174" s="1"/>
      <c r="L174" s="1"/>
      <c r="M174" s="1"/>
      <c r="N174" s="1" t="str">
        <f ca="1">IFERROR(__xludf.DUMMYFUNCTION("""COMPUTED_VALUE"""),"Fille")</f>
        <v>Fille</v>
      </c>
      <c r="O174" s="1"/>
      <c r="P174" s="1" t="str">
        <f ca="1">IFERROR(__xludf.DUMMYFUNCTION("""COMPUTED_VALUE"""),"FRANCE")</f>
        <v>FRANCE</v>
      </c>
      <c r="Q174" s="1" t="str">
        <f ca="1">IFERROR(__xludf.DUMMYFUNCTION("""COMPUTED_VALUE"""),"SENEGAL")</f>
        <v>SENEGAL</v>
      </c>
      <c r="R174" s="1"/>
      <c r="S174" s="1" t="str">
        <f ca="1">IFERROR(__xludf.DUMMYFUNCTION("""COMPUTED_VALUE"""),"+221")</f>
        <v>+221</v>
      </c>
      <c r="T174" s="1" t="str">
        <f ca="1">IFERROR(__xludf.DUMMYFUNCTION("""COMPUTED_VALUE"""),"DIOP Gerard")</f>
        <v>DIOP Gerard</v>
      </c>
      <c r="U174" s="1" t="str">
        <f ca="1">IFERROR(__xludf.DUMMYFUNCTION("""COMPUTED_VALUE"""),"FALL DIOP Raissa")</f>
        <v>FALL DIOP Raissa</v>
      </c>
      <c r="V174" s="1" t="str">
        <f ca="1">IFERROR(__xludf.DUMMYFUNCTION("""COMPUTED_VALUE"""),"gerarddiop221@gmail.com")</f>
        <v>gerarddiop221@gmail.com</v>
      </c>
      <c r="W174" s="1" t="str">
        <f ca="1">IFERROR(__xludf.DUMMYFUNCTION("""COMPUTED_VALUE"""),"raissafall@gmail.com")</f>
        <v>raissafall@gmail.com</v>
      </c>
      <c r="X174" s="1" t="str">
        <f ca="1">IFERROR(__xludf.DUMMYFUNCTION("""COMPUTED_VALUE"""),"+221 77 565 30 32")</f>
        <v>+221 77 565 30 32</v>
      </c>
      <c r="Y174" s="1" t="str">
        <f ca="1">IFERROR(__xludf.DUMMYFUNCTION("""COMPUTED_VALUE"""),"+221 77 333 44 86")</f>
        <v>+221 77 333 44 86</v>
      </c>
      <c r="Z174" s="1" t="str">
        <f ca="1">IFERROR(__xludf.DUMMYFUNCTION("""COMPUTED_VALUE"""),"+221 77 565 30 32")</f>
        <v>+221 77 565 30 32</v>
      </c>
      <c r="AA174" s="1" t="str">
        <f ca="1">IFERROR(__xludf.DUMMYFUNCTION("""COMPUTED_VALUE"""),"+221 77 333 44 86")</f>
        <v>+221 77 333 44 86</v>
      </c>
      <c r="AB174" s="2">
        <f ca="1">IFERROR(__xludf.DUMMYFUNCTION("""COMPUTED_VALUE"""),28152)</f>
        <v>28152</v>
      </c>
      <c r="AC174" s="2">
        <f ca="1">IFERROR(__xludf.DUMMYFUNCTION("""COMPUTED_VALUE"""),30315)</f>
        <v>30315</v>
      </c>
      <c r="AD174" s="1" t="str">
        <f ca="1">IFERROR(__xludf.DUMMYFUNCTION("""COMPUTED_VALUE"""),"PERE")</f>
        <v>PERE</v>
      </c>
      <c r="AE174" s="1" t="str">
        <f ca="1">IFERROR(__xludf.DUMMYFUNCTION("""COMPUTED_VALUE"""),"MERE")</f>
        <v>MERE</v>
      </c>
      <c r="AF174" s="1" t="str">
        <f ca="1">IFERROR(__xludf.DUMMYFUNCTION("""COMPUTED_VALUE"""),"FRANCE")</f>
        <v>FRANCE</v>
      </c>
      <c r="AG174" s="1" t="str">
        <f ca="1">IFERROR(__xludf.DUMMYFUNCTION("""COMPUTED_VALUE"""),"SENEGAL")</f>
        <v>SENEGAL</v>
      </c>
      <c r="AH174" s="1" t="str">
        <f ca="1">IFERROR(__xludf.DUMMYFUNCTION("""COMPUTED_VALUE"""),"SENEGAL")</f>
        <v>SENEGAL</v>
      </c>
      <c r="AI174" s="1" t="str">
        <f ca="1">IFERROR(__xludf.DUMMYFUNCTION("""COMPUTED_VALUE"""),"FRANCE")</f>
        <v>FRANCE</v>
      </c>
      <c r="AJ174" s="1" t="str">
        <f ca="1">IFERROR(__xludf.DUMMYFUNCTION("""COMPUTED_VALUE"""),"U11672")</f>
        <v>U11672</v>
      </c>
      <c r="AK174" s="1" t="str">
        <f ca="1">IFERROR(__xludf.DUMMYFUNCTION("""COMPUTED_VALUE"""),"Marié(e)")</f>
        <v>Marié(e)</v>
      </c>
      <c r="AL174" s="1" t="str">
        <f ca="1">IFERROR(__xludf.DUMMYFUNCTION("""COMPUTED_VALUE"""),"Marié(e)")</f>
        <v>Marié(e)</v>
      </c>
      <c r="AM174" s="1" t="str">
        <f ca="1">IFERROR(__xludf.DUMMYFUNCTION("""COMPUTED_VALUE"""),"U11672")</f>
        <v>U11672</v>
      </c>
    </row>
    <row r="175" spans="1:39" ht="13" x14ac:dyDescent="0.15">
      <c r="A175" s="1" t="str">
        <f ca="1">IFERROR(__xludf.DUMMYFUNCTION("""COMPUTED_VALUE"""),"DIOP Inaya Fatima")</f>
        <v>DIOP Inaya Fatima</v>
      </c>
      <c r="B175" s="1" t="str">
        <f ca="1">IFERROR(__xludf.DUMMYFUNCTION("""COMPUTED_VALUE"""),"DIOP")</f>
        <v>DIOP</v>
      </c>
      <c r="C175" s="1" t="str">
        <f ca="1">IFERROR(__xludf.DUMMYFUNCTION("""COMPUTED_VALUE"""),"Inaya Fatima")</f>
        <v>Inaya Fatima</v>
      </c>
      <c r="D175" s="1" t="str">
        <f ca="1">IFERROR(__xludf.DUMMYFUNCTION("""COMPUTED_VALUE"""),"11672S2267")</f>
        <v>11672S2267</v>
      </c>
      <c r="E175" s="2">
        <f ca="1">IFERROR(__xludf.DUMMYFUNCTION("""COMPUTED_VALUE"""),41644)</f>
        <v>41644</v>
      </c>
      <c r="F175" s="1" t="str">
        <f ca="1">IFERROR(__xludf.DUMMYFUNCTION("""COMPUTED_VALUE"""),"5EME2")</f>
        <v>5EME2</v>
      </c>
      <c r="G175" s="1" t="str">
        <f ca="1">IFERROR(__xludf.DUMMYFUNCTION("""COMPUTED_VALUE"""),"5ème")</f>
        <v>5ème</v>
      </c>
      <c r="H175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175" s="1" t="str">
        <f ca="1">IFERROR(__xludf.DUMMYFUNCTION("""COMPUTED_VALUE"""),"LVA Anglais")</f>
        <v>LVA Anglais</v>
      </c>
      <c r="J175" s="1" t="str">
        <f ca="1">IFERROR(__xludf.DUMMYFUNCTION("""COMPUTED_VALUE"""),"LVB Espagnol")</f>
        <v>LVB Espagnol</v>
      </c>
      <c r="K175" s="1"/>
      <c r="L175" s="1"/>
      <c r="M175" s="1"/>
      <c r="N175" s="1" t="str">
        <f ca="1">IFERROR(__xludf.DUMMYFUNCTION("""COMPUTED_VALUE"""),"Fille")</f>
        <v>Fille</v>
      </c>
      <c r="O175" s="1"/>
      <c r="P175" s="1" t="str">
        <f ca="1">IFERROR(__xludf.DUMMYFUNCTION("""COMPUTED_VALUE"""),"FRANCE")</f>
        <v>FRANCE</v>
      </c>
      <c r="Q175" s="1" t="str">
        <f ca="1">IFERROR(__xludf.DUMMYFUNCTION("""COMPUTED_VALUE"""),"SENEGAL")</f>
        <v>SENEGAL</v>
      </c>
      <c r="R175" s="1" t="str">
        <f ca="1">IFERROR(__xludf.DUMMYFUNCTION("""COMPUTED_VALUE"""),"inaya.diop@lfjpsaly.org")</f>
        <v>inaya.diop@lfjpsaly.org</v>
      </c>
      <c r="S175" s="1" t="str">
        <f ca="1">IFERROR(__xludf.DUMMYFUNCTION("""COMPUTED_VALUE"""),"+221 77 565 30 32")</f>
        <v>+221 77 565 30 32</v>
      </c>
      <c r="T175" s="1" t="str">
        <f ca="1">IFERROR(__xludf.DUMMYFUNCTION("""COMPUTED_VALUE"""),"DIOP Gerard")</f>
        <v>DIOP Gerard</v>
      </c>
      <c r="U175" s="1" t="str">
        <f ca="1">IFERROR(__xludf.DUMMYFUNCTION("""COMPUTED_VALUE"""),"FALL DIOP Raissa")</f>
        <v>FALL DIOP Raissa</v>
      </c>
      <c r="V175" s="1" t="str">
        <f ca="1">IFERROR(__xludf.DUMMYFUNCTION("""COMPUTED_VALUE"""),"gerarddiop221@gmail.com")</f>
        <v>gerarddiop221@gmail.com</v>
      </c>
      <c r="W175" s="1" t="str">
        <f ca="1">IFERROR(__xludf.DUMMYFUNCTION("""COMPUTED_VALUE"""),"raissafall@gmail.com")</f>
        <v>raissafall@gmail.com</v>
      </c>
      <c r="X175" s="1" t="str">
        <f ca="1">IFERROR(__xludf.DUMMYFUNCTION("""COMPUTED_VALUE"""),"+221 77 565 30 32")</f>
        <v>+221 77 565 30 32</v>
      </c>
      <c r="Y175" s="1" t="str">
        <f ca="1">IFERROR(__xludf.DUMMYFUNCTION("""COMPUTED_VALUE"""),"+221 77 333 44 86")</f>
        <v>+221 77 333 44 86</v>
      </c>
      <c r="Z175" s="1" t="str">
        <f ca="1">IFERROR(__xludf.DUMMYFUNCTION("""COMPUTED_VALUE"""),"+221 77 565 30 32")</f>
        <v>+221 77 565 30 32</v>
      </c>
      <c r="AA175" s="1" t="str">
        <f ca="1">IFERROR(__xludf.DUMMYFUNCTION("""COMPUTED_VALUE"""),"+221 77 333 44 86")</f>
        <v>+221 77 333 44 86</v>
      </c>
      <c r="AB175" s="2">
        <f ca="1">IFERROR(__xludf.DUMMYFUNCTION("""COMPUTED_VALUE"""),28152)</f>
        <v>28152</v>
      </c>
      <c r="AC175" s="2">
        <f ca="1">IFERROR(__xludf.DUMMYFUNCTION("""COMPUTED_VALUE"""),30315)</f>
        <v>30315</v>
      </c>
      <c r="AD175" s="1" t="str">
        <f ca="1">IFERROR(__xludf.DUMMYFUNCTION("""COMPUTED_VALUE"""),"PERE")</f>
        <v>PERE</v>
      </c>
      <c r="AE175" s="1" t="str">
        <f ca="1">IFERROR(__xludf.DUMMYFUNCTION("""COMPUTED_VALUE"""),"MERE")</f>
        <v>MERE</v>
      </c>
      <c r="AF175" s="1" t="str">
        <f ca="1">IFERROR(__xludf.DUMMYFUNCTION("""COMPUTED_VALUE"""),"FRANCE")</f>
        <v>FRANCE</v>
      </c>
      <c r="AG175" s="1" t="str">
        <f ca="1">IFERROR(__xludf.DUMMYFUNCTION("""COMPUTED_VALUE"""),"SENEGAL")</f>
        <v>SENEGAL</v>
      </c>
      <c r="AH175" s="1" t="str">
        <f ca="1">IFERROR(__xludf.DUMMYFUNCTION("""COMPUTED_VALUE"""),"SENEGAL")</f>
        <v>SENEGAL</v>
      </c>
      <c r="AI175" s="1" t="str">
        <f ca="1">IFERROR(__xludf.DUMMYFUNCTION("""COMPUTED_VALUE"""),"FRANCE")</f>
        <v>FRANCE</v>
      </c>
      <c r="AJ175" s="1" t="str">
        <f ca="1">IFERROR(__xludf.DUMMYFUNCTION("""COMPUTED_VALUE"""),"U11672")</f>
        <v>U11672</v>
      </c>
      <c r="AK175" s="1" t="str">
        <f ca="1">IFERROR(__xludf.DUMMYFUNCTION("""COMPUTED_VALUE"""),"Marié(e)")</f>
        <v>Marié(e)</v>
      </c>
      <c r="AL175" s="1" t="str">
        <f ca="1">IFERROR(__xludf.DUMMYFUNCTION("""COMPUTED_VALUE"""),"Marié(e)")</f>
        <v>Marié(e)</v>
      </c>
      <c r="AM175" s="1" t="str">
        <f ca="1">IFERROR(__xludf.DUMMYFUNCTION("""COMPUTED_VALUE"""),"U11672")</f>
        <v>U11672</v>
      </c>
    </row>
    <row r="176" spans="1:39" ht="13" x14ac:dyDescent="0.15">
      <c r="A176" s="1" t="str">
        <f ca="1">IFERROR(__xludf.DUMMYFUNCTION("""COMPUTED_VALUE"""),"DIOP Mohamed")</f>
        <v>DIOP Mohamed</v>
      </c>
      <c r="B176" s="1" t="str">
        <f ca="1">IFERROR(__xludf.DUMMYFUNCTION("""COMPUTED_VALUE"""),"DIOP")</f>
        <v>DIOP</v>
      </c>
      <c r="C176" s="1" t="str">
        <f ca="1">IFERROR(__xludf.DUMMYFUNCTION("""COMPUTED_VALUE"""),"Mohamed")</f>
        <v>Mohamed</v>
      </c>
      <c r="D176" s="1" t="str">
        <f ca="1">IFERROR(__xludf.DUMMYFUNCTION("""COMPUTED_VALUE"""),"1649E1")</f>
        <v>1649E1</v>
      </c>
      <c r="E176" s="2">
        <f ca="1">IFERROR(__xludf.DUMMYFUNCTION("""COMPUTED_VALUE"""),43219)</f>
        <v>43219</v>
      </c>
      <c r="F176" s="1" t="str">
        <f ca="1">IFERROR(__xludf.DUMMYFUNCTION("""COMPUTED_VALUE"""),"CE1A")</f>
        <v>CE1A</v>
      </c>
      <c r="G176" s="1" t="str">
        <f ca="1">IFERROR(__xludf.DUMMYFUNCTION("""COMPUTED_VALUE"""),"CE1")</f>
        <v>CE1</v>
      </c>
      <c r="H176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176" s="1"/>
      <c r="J176" s="1"/>
      <c r="K176" s="1"/>
      <c r="L176" s="1"/>
      <c r="M176" s="1"/>
      <c r="N176" s="1" t="str">
        <f ca="1">IFERROR(__xludf.DUMMYFUNCTION("""COMPUTED_VALUE"""),"Garçon")</f>
        <v>Garçon</v>
      </c>
      <c r="O176" s="1"/>
      <c r="P176" s="1" t="str">
        <f ca="1">IFERROR(__xludf.DUMMYFUNCTION("""COMPUTED_VALUE"""),"FRANCE")</f>
        <v>FRANCE</v>
      </c>
      <c r="Q176" s="1" t="str">
        <f ca="1">IFERROR(__xludf.DUMMYFUNCTION("""COMPUTED_VALUE"""),"SENEGAL")</f>
        <v>SENEGAL</v>
      </c>
      <c r="R176" s="1"/>
      <c r="S176" s="1"/>
      <c r="T176" s="1" t="str">
        <f ca="1">IFERROR(__xludf.DUMMYFUNCTION("""COMPUTED_VALUE"""),"DIOP Mouhamadou")</f>
        <v>DIOP Mouhamadou</v>
      </c>
      <c r="U176" s="1" t="str">
        <f ca="1">IFERROR(__xludf.DUMMYFUNCTION("""COMPUTED_VALUE"""),"THIAW  DIOP Ndeye Rama")</f>
        <v>THIAW  DIOP Ndeye Rama</v>
      </c>
      <c r="V176" s="1" t="str">
        <f ca="1">IFERROR(__xludf.DUMMYFUNCTION("""COMPUTED_VALUE"""),"moussdiop5@hotmail.fr")</f>
        <v>moussdiop5@hotmail.fr</v>
      </c>
      <c r="W176" s="1" t="str">
        <f ca="1">IFERROR(__xludf.DUMMYFUNCTION("""COMPUTED_VALUE"""),"adjithiaw1@hotmail.com")</f>
        <v>adjithiaw1@hotmail.com</v>
      </c>
      <c r="X176" s="1" t="str">
        <f ca="1">IFERROR(__xludf.DUMMYFUNCTION("""COMPUTED_VALUE"""),"+33 6 13 97 01 38")</f>
        <v>+33 6 13 97 01 38</v>
      </c>
      <c r="Y176" s="1" t="str">
        <f ca="1">IFERROR(__xludf.DUMMYFUNCTION("""COMPUTED_VALUE"""),"+221 77 182 96 73")</f>
        <v>+221 77 182 96 73</v>
      </c>
      <c r="Z176" s="1" t="str">
        <f ca="1">IFERROR(__xludf.DUMMYFUNCTION("""COMPUTED_VALUE"""),"+221 76 909 95 05")</f>
        <v>+221 76 909 95 05</v>
      </c>
      <c r="AA176" s="1" t="str">
        <f ca="1">IFERROR(__xludf.DUMMYFUNCTION("""COMPUTED_VALUE"""),"+33 6 13 97 01 38")</f>
        <v>+33 6 13 97 01 38</v>
      </c>
      <c r="AB176" s="2">
        <f ca="1">IFERROR(__xludf.DUMMYFUNCTION("""COMPUTED_VALUE"""),26333)</f>
        <v>26333</v>
      </c>
      <c r="AC176" s="2">
        <f ca="1">IFERROR(__xludf.DUMMYFUNCTION("""COMPUTED_VALUE"""),28317)</f>
        <v>28317</v>
      </c>
      <c r="AD176" s="1" t="str">
        <f ca="1">IFERROR(__xludf.DUMMYFUNCTION("""COMPUTED_VALUE"""),"PERE")</f>
        <v>PERE</v>
      </c>
      <c r="AE176" s="1" t="str">
        <f ca="1">IFERROR(__xludf.DUMMYFUNCTION("""COMPUTED_VALUE"""),"MERE")</f>
        <v>MERE</v>
      </c>
      <c r="AF176" s="1" t="str">
        <f ca="1">IFERROR(__xludf.DUMMYFUNCTION("""COMPUTED_VALUE"""),"FRANCE")</f>
        <v>FRANCE</v>
      </c>
      <c r="AG176" s="1" t="str">
        <f ca="1">IFERROR(__xludf.DUMMYFUNCTION("""COMPUTED_VALUE"""),"FRANCE")</f>
        <v>FRANCE</v>
      </c>
      <c r="AH176" s="1" t="str">
        <f ca="1">IFERROR(__xludf.DUMMYFUNCTION("""COMPUTED_VALUE"""),"SENEGAL")</f>
        <v>SENEGAL</v>
      </c>
      <c r="AI176" s="1" t="str">
        <f ca="1">IFERROR(__xludf.DUMMYFUNCTION("""COMPUTED_VALUE"""),"SENEGAL")</f>
        <v>SENEGAL</v>
      </c>
      <c r="AJ176" s="1" t="str">
        <f ca="1">IFERROR(__xludf.DUMMYFUNCTION("""COMPUTED_VALUE"""),"F1649")</f>
        <v>F1649</v>
      </c>
      <c r="AK176" s="1" t="str">
        <f ca="1">IFERROR(__xludf.DUMMYFUNCTION("""COMPUTED_VALUE"""),"Marié(e)")</f>
        <v>Marié(e)</v>
      </c>
      <c r="AL176" s="1" t="str">
        <f ca="1">IFERROR(__xludf.DUMMYFUNCTION("""COMPUTED_VALUE"""),"Marié(e)")</f>
        <v>Marié(e)</v>
      </c>
      <c r="AM176" s="1" t="str">
        <f ca="1">IFERROR(__xludf.DUMMYFUNCTION("""COMPUTED_VALUE"""),"F1649")</f>
        <v>F1649</v>
      </c>
    </row>
    <row r="177" spans="1:39" ht="13" x14ac:dyDescent="0.15">
      <c r="A177" s="1" t="str">
        <f ca="1">IFERROR(__xludf.DUMMYFUNCTION("""COMPUTED_VALUE"""),"DIOP Natacha Anne Saint Clair")</f>
        <v>DIOP Natacha Anne Saint Clair</v>
      </c>
      <c r="B177" s="1" t="str">
        <f ca="1">IFERROR(__xludf.DUMMYFUNCTION("""COMPUTED_VALUE"""),"DIOP")</f>
        <v>DIOP</v>
      </c>
      <c r="C177" s="1" t="str">
        <f ca="1">IFERROR(__xludf.DUMMYFUNCTION("""COMPUTED_VALUE"""),"Natacha Anne Saint Clair")</f>
        <v>Natacha Anne Saint Clair</v>
      </c>
      <c r="D177" s="1" t="str">
        <f ca="1">IFERROR(__xludf.DUMMYFUNCTION("""COMPUTED_VALUE"""),"1282E1")</f>
        <v>1282E1</v>
      </c>
      <c r="E177" s="2">
        <f ca="1">IFERROR(__xludf.DUMMYFUNCTION("""COMPUTED_VALUE"""),40414)</f>
        <v>40414</v>
      </c>
      <c r="F177" s="1" t="str">
        <f ca="1">IFERROR(__xludf.DUMMYFUNCTION("""COMPUTED_VALUE"""),"2NDE1 COOP")</f>
        <v>2NDE1 COOP</v>
      </c>
      <c r="G177" s="1" t="str">
        <f ca="1">IFERROR(__xludf.DUMMYFUNCTION("""COMPUTED_VALUE"""),"2nde")</f>
        <v>2nde</v>
      </c>
      <c r="H177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177" s="1" t="str">
        <f ca="1">IFERROR(__xludf.DUMMYFUNCTION("""COMPUTED_VALUE"""),"LVA Anglais")</f>
        <v>LVA Anglais</v>
      </c>
      <c r="J177" s="1" t="str">
        <f ca="1">IFERROR(__xludf.DUMMYFUNCTION("""COMPUTED_VALUE"""),"LVB Espagnol")</f>
        <v>LVB Espagnol</v>
      </c>
      <c r="K177" s="1"/>
      <c r="L177" s="1"/>
      <c r="M177" s="1"/>
      <c r="N177" s="1" t="str">
        <f ca="1">IFERROR(__xludf.DUMMYFUNCTION("""COMPUTED_VALUE"""),"Fille")</f>
        <v>Fille</v>
      </c>
      <c r="O177" s="1"/>
      <c r="P177" s="1" t="str">
        <f ca="1">IFERROR(__xludf.DUMMYFUNCTION("""COMPUTED_VALUE"""),"SENEGAL")</f>
        <v>SENEGAL</v>
      </c>
      <c r="Q177" s="1" t="str">
        <f ca="1">IFERROR(__xludf.DUMMYFUNCTION("""COMPUTED_VALUE"""),"SENEGAL")</f>
        <v>SENEGAL</v>
      </c>
      <c r="R177" s="1" t="str">
        <f ca="1">IFERROR(__xludf.DUMMYFUNCTION("""COMPUTED_VALUE"""),"natacha.diop@lfjpsaly.org")</f>
        <v>natacha.diop@lfjpsaly.org</v>
      </c>
      <c r="S177" s="1" t="str">
        <f ca="1">IFERROR(__xludf.DUMMYFUNCTION("""COMPUTED_VALUE"""),"+221 77 649 10 35")</f>
        <v>+221 77 649 10 35</v>
      </c>
      <c r="T177" s="1" t="str">
        <f ca="1">IFERROR(__xludf.DUMMYFUNCTION("""COMPUTED_VALUE"""),"TINE Tatiana Dior")</f>
        <v>TINE Tatiana Dior</v>
      </c>
      <c r="U177" s="1"/>
      <c r="V177" s="1" t="str">
        <f ca="1">IFERROR(__xludf.DUMMYFUNCTION("""COMPUTED_VALUE"""),"ttatianadior@gmail.com")</f>
        <v>ttatianadior@gmail.com</v>
      </c>
      <c r="W177" s="1"/>
      <c r="X177" s="1" t="str">
        <f ca="1">IFERROR(__xludf.DUMMYFUNCTION("""COMPUTED_VALUE"""),"+221 77 649 10 35")</f>
        <v>+221 77 649 10 35</v>
      </c>
      <c r="Y177" s="1"/>
      <c r="Z177" s="1" t="str">
        <f ca="1">IFERROR(__xludf.DUMMYFUNCTION("""COMPUTED_VALUE"""),"+221")</f>
        <v>+221</v>
      </c>
      <c r="AA177" s="1"/>
      <c r="AB177" s="2">
        <f ca="1">IFERROR(__xludf.DUMMYFUNCTION("""COMPUTED_VALUE"""),35699)</f>
        <v>35699</v>
      </c>
      <c r="AC177" s="1"/>
      <c r="AD177" s="1" t="str">
        <f ca="1">IFERROR(__xludf.DUMMYFUNCTION("""COMPUTED_VALUE"""),"MERE")</f>
        <v>MERE</v>
      </c>
      <c r="AE177" s="1"/>
      <c r="AF177" s="1" t="str">
        <f ca="1">IFERROR(__xludf.DUMMYFUNCTION("""COMPUTED_VALUE"""),"SENEGAL")</f>
        <v>SENEGAL</v>
      </c>
      <c r="AG177" s="1"/>
      <c r="AH177" s="1"/>
      <c r="AI177" s="1"/>
      <c r="AJ177" s="1" t="str">
        <f ca="1">IFERROR(__xludf.DUMMYFUNCTION("""COMPUTED_VALUE"""),"F1282")</f>
        <v>F1282</v>
      </c>
      <c r="AK177" s="1" t="str">
        <f ca="1">IFERROR(__xludf.DUMMYFUNCTION("""COMPUTED_VALUE"""),"Veuf(ve)")</f>
        <v>Veuf(ve)</v>
      </c>
      <c r="AL177" s="1"/>
      <c r="AM177" s="1" t="str">
        <f ca="1">IFERROR(__xludf.DUMMYFUNCTION("""COMPUTED_VALUE"""),"F1282")</f>
        <v>F1282</v>
      </c>
    </row>
    <row r="178" spans="1:39" ht="13" x14ac:dyDescent="0.15">
      <c r="A178" s="1" t="str">
        <f ca="1">IFERROR(__xludf.DUMMYFUNCTION("""COMPUTED_VALUE"""),"DIOP Oumou")</f>
        <v>DIOP Oumou</v>
      </c>
      <c r="B178" s="1" t="str">
        <f ca="1">IFERROR(__xludf.DUMMYFUNCTION("""COMPUTED_VALUE"""),"DIOP")</f>
        <v>DIOP</v>
      </c>
      <c r="C178" s="1" t="str">
        <f ca="1">IFERROR(__xludf.DUMMYFUNCTION("""COMPUTED_VALUE"""),"Oumou")</f>
        <v>Oumou</v>
      </c>
      <c r="D178" s="1" t="str">
        <f ca="1">IFERROR(__xludf.DUMMYFUNCTION("""COMPUTED_VALUE"""),"1649E2")</f>
        <v>1649E2</v>
      </c>
      <c r="E178" s="2">
        <f ca="1">IFERROR(__xludf.DUMMYFUNCTION("""COMPUTED_VALUE"""),40695)</f>
        <v>40695</v>
      </c>
      <c r="F178" s="1" t="str">
        <f ca="1">IFERROR(__xludf.DUMMYFUNCTION("""COMPUTED_VALUE"""),"3EME1")</f>
        <v>3EME1</v>
      </c>
      <c r="G178" s="1" t="str">
        <f ca="1">IFERROR(__xludf.DUMMYFUNCTION("""COMPUTED_VALUE"""),"3ème")</f>
        <v>3ème</v>
      </c>
      <c r="H178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178" s="1" t="str">
        <f ca="1">IFERROR(__xludf.DUMMYFUNCTION("""COMPUTED_VALUE"""),"LVA Anglais")</f>
        <v>LVA Anglais</v>
      </c>
      <c r="J178" s="1" t="str">
        <f ca="1">IFERROR(__xludf.DUMMYFUNCTION("""COMPUTED_VALUE"""),"LVB Espagnol")</f>
        <v>LVB Espagnol</v>
      </c>
      <c r="K178" s="1"/>
      <c r="L178" s="1"/>
      <c r="M178" s="1"/>
      <c r="N178" s="1" t="str">
        <f ca="1">IFERROR(__xludf.DUMMYFUNCTION("""COMPUTED_VALUE"""),"Fille")</f>
        <v>Fille</v>
      </c>
      <c r="O178" s="1"/>
      <c r="P178" s="1" t="str">
        <f ca="1">IFERROR(__xludf.DUMMYFUNCTION("""COMPUTED_VALUE"""),"FRANCE")</f>
        <v>FRANCE</v>
      </c>
      <c r="Q178" s="1" t="str">
        <f ca="1">IFERROR(__xludf.DUMMYFUNCTION("""COMPUTED_VALUE"""),"SENEGAL")</f>
        <v>SENEGAL</v>
      </c>
      <c r="R178" s="1" t="str">
        <f ca="1">IFERROR(__xludf.DUMMYFUNCTION("""COMPUTED_VALUE"""),"oumou.diop@lfjpsaly.org")</f>
        <v>oumou.diop@lfjpsaly.org</v>
      </c>
      <c r="S178" s="1"/>
      <c r="T178" s="1" t="str">
        <f ca="1">IFERROR(__xludf.DUMMYFUNCTION("""COMPUTED_VALUE"""),"THIAW  DIOP Ndeye Rama")</f>
        <v>THIAW  DIOP Ndeye Rama</v>
      </c>
      <c r="U178" s="1" t="str">
        <f ca="1">IFERROR(__xludf.DUMMYFUNCTION("""COMPUTED_VALUE"""),"DIOP Mouhamadou")</f>
        <v>DIOP Mouhamadou</v>
      </c>
      <c r="V178" s="1" t="str">
        <f ca="1">IFERROR(__xludf.DUMMYFUNCTION("""COMPUTED_VALUE"""),"adjithiaw1@hotmail.com")</f>
        <v>adjithiaw1@hotmail.com</v>
      </c>
      <c r="W178" s="1" t="str">
        <f ca="1">IFERROR(__xludf.DUMMYFUNCTION("""COMPUTED_VALUE"""),"moussdiop5@hotmail.fr")</f>
        <v>moussdiop5@hotmail.fr</v>
      </c>
      <c r="X178" s="1" t="str">
        <f ca="1">IFERROR(__xludf.DUMMYFUNCTION("""COMPUTED_VALUE"""),"+221 77 182 96 73")</f>
        <v>+221 77 182 96 73</v>
      </c>
      <c r="Y178" s="1" t="str">
        <f ca="1">IFERROR(__xludf.DUMMYFUNCTION("""COMPUTED_VALUE"""),"+33 6 13 97 01 38")</f>
        <v>+33 6 13 97 01 38</v>
      </c>
      <c r="Z178" s="1" t="str">
        <f ca="1">IFERROR(__xludf.DUMMYFUNCTION("""COMPUTED_VALUE"""),"+33 6 13 97 01 38")</f>
        <v>+33 6 13 97 01 38</v>
      </c>
      <c r="AA178" s="1" t="str">
        <f ca="1">IFERROR(__xludf.DUMMYFUNCTION("""COMPUTED_VALUE"""),"+221 76 909 95 05")</f>
        <v>+221 76 909 95 05</v>
      </c>
      <c r="AB178" s="2">
        <f ca="1">IFERROR(__xludf.DUMMYFUNCTION("""COMPUTED_VALUE"""),28317)</f>
        <v>28317</v>
      </c>
      <c r="AC178" s="2">
        <f ca="1">IFERROR(__xludf.DUMMYFUNCTION("""COMPUTED_VALUE"""),26333)</f>
        <v>26333</v>
      </c>
      <c r="AD178" s="1" t="str">
        <f ca="1">IFERROR(__xludf.DUMMYFUNCTION("""COMPUTED_VALUE"""),"MERE")</f>
        <v>MERE</v>
      </c>
      <c r="AE178" s="1" t="str">
        <f ca="1">IFERROR(__xludf.DUMMYFUNCTION("""COMPUTED_VALUE"""),"PERE")</f>
        <v>PERE</v>
      </c>
      <c r="AF178" s="1" t="str">
        <f ca="1">IFERROR(__xludf.DUMMYFUNCTION("""COMPUTED_VALUE"""),"FRANCE")</f>
        <v>FRANCE</v>
      </c>
      <c r="AG178" s="1" t="str">
        <f ca="1">IFERROR(__xludf.DUMMYFUNCTION("""COMPUTED_VALUE"""),"FRANCE")</f>
        <v>FRANCE</v>
      </c>
      <c r="AH178" s="1" t="str">
        <f ca="1">IFERROR(__xludf.DUMMYFUNCTION("""COMPUTED_VALUE"""),"SENEGAL")</f>
        <v>SENEGAL</v>
      </c>
      <c r="AI178" s="1" t="str">
        <f ca="1">IFERROR(__xludf.DUMMYFUNCTION("""COMPUTED_VALUE"""),"SENEGAL")</f>
        <v>SENEGAL</v>
      </c>
      <c r="AJ178" s="1" t="str">
        <f ca="1">IFERROR(__xludf.DUMMYFUNCTION("""COMPUTED_VALUE"""),"F1649")</f>
        <v>F1649</v>
      </c>
      <c r="AK178" s="1" t="str">
        <f ca="1">IFERROR(__xludf.DUMMYFUNCTION("""COMPUTED_VALUE"""),"Marié(e)")</f>
        <v>Marié(e)</v>
      </c>
      <c r="AL178" s="1" t="str">
        <f ca="1">IFERROR(__xludf.DUMMYFUNCTION("""COMPUTED_VALUE"""),"Marié(e)")</f>
        <v>Marié(e)</v>
      </c>
      <c r="AM178" s="1" t="str">
        <f ca="1">IFERROR(__xludf.DUMMYFUNCTION("""COMPUTED_VALUE"""),"F1649")</f>
        <v>F1649</v>
      </c>
    </row>
    <row r="179" spans="1:39" ht="13" x14ac:dyDescent="0.15">
      <c r="A179" s="1" t="str">
        <f ca="1">IFERROR(__xludf.DUMMYFUNCTION("""COMPUTED_VALUE"""),"DIOP Penda")</f>
        <v>DIOP Penda</v>
      </c>
      <c r="B179" s="1" t="str">
        <f ca="1">IFERROR(__xludf.DUMMYFUNCTION("""COMPUTED_VALUE"""),"DIOP")</f>
        <v>DIOP</v>
      </c>
      <c r="C179" s="1" t="str">
        <f ca="1">IFERROR(__xludf.DUMMYFUNCTION("""COMPUTED_VALUE"""),"Penda")</f>
        <v>Penda</v>
      </c>
      <c r="D179" s="1" t="str">
        <f ca="1">IFERROR(__xludf.DUMMYFUNCTION("""COMPUTED_VALUE"""),"1650E1")</f>
        <v>1650E1</v>
      </c>
      <c r="E179" s="2">
        <f ca="1">IFERROR(__xludf.DUMMYFUNCTION("""COMPUTED_VALUE"""),42372)</f>
        <v>42372</v>
      </c>
      <c r="F179" s="1" t="str">
        <f ca="1">IFERROR(__xludf.DUMMYFUNCTION("""COMPUTED_VALUE"""),"CM1B")</f>
        <v>CM1B</v>
      </c>
      <c r="G179" s="1" t="str">
        <f ca="1">IFERROR(__xludf.DUMMYFUNCTION("""COMPUTED_VALUE"""),"CM1")</f>
        <v>CM1</v>
      </c>
      <c r="H179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179" s="1"/>
      <c r="J179" s="1"/>
      <c r="K179" s="1"/>
      <c r="L179" s="1"/>
      <c r="M179" s="1"/>
      <c r="N179" s="1" t="str">
        <f ca="1">IFERROR(__xludf.DUMMYFUNCTION("""COMPUTED_VALUE"""),"Fille")</f>
        <v>Fille</v>
      </c>
      <c r="O179" s="1"/>
      <c r="P179" s="1" t="str">
        <f ca="1">IFERROR(__xludf.DUMMYFUNCTION("""COMPUTED_VALUE"""),"FRANCE")</f>
        <v>FRANCE</v>
      </c>
      <c r="Q179" s="1" t="str">
        <f ca="1">IFERROR(__xludf.DUMMYFUNCTION("""COMPUTED_VALUE"""),"SENEGAL")</f>
        <v>SENEGAL</v>
      </c>
      <c r="R179" s="1"/>
      <c r="S179" s="1" t="str">
        <f ca="1">IFERROR(__xludf.DUMMYFUNCTION("""COMPUTED_VALUE"""),"+221")</f>
        <v>+221</v>
      </c>
      <c r="T179" s="1" t="str">
        <f ca="1">IFERROR(__xludf.DUMMYFUNCTION("""COMPUTED_VALUE"""),"TOURE Barbara Keita")</f>
        <v>TOURE Barbara Keita</v>
      </c>
      <c r="U179" s="1"/>
      <c r="V179" s="1" t="str">
        <f ca="1">IFERROR(__xludf.DUMMYFUNCTION("""COMPUTED_VALUE"""),"globalranksas@gmail.com")</f>
        <v>globalranksas@gmail.com</v>
      </c>
      <c r="W179" s="1"/>
      <c r="X179" s="1" t="str">
        <f ca="1">IFERROR(__xludf.DUMMYFUNCTION("""COMPUTED_VALUE"""),"+221 78 011 88 21")</f>
        <v>+221 78 011 88 21</v>
      </c>
      <c r="Y179" s="1"/>
      <c r="Z179" s="1" t="str">
        <f ca="1">IFERROR(__xludf.DUMMYFUNCTION("""COMPUTED_VALUE"""),"+33 6 70 54 50 22")</f>
        <v>+33 6 70 54 50 22</v>
      </c>
      <c r="AA179" s="1"/>
      <c r="AB179" s="2">
        <f ca="1">IFERROR(__xludf.DUMMYFUNCTION("""COMPUTED_VALUE"""),34194)</f>
        <v>34194</v>
      </c>
      <c r="AC179" s="1"/>
      <c r="AD179" s="1" t="str">
        <f ca="1">IFERROR(__xludf.DUMMYFUNCTION("""COMPUTED_VALUE"""),"MERE")</f>
        <v>MERE</v>
      </c>
      <c r="AE179" s="1"/>
      <c r="AF179" s="1" t="str">
        <f ca="1">IFERROR(__xludf.DUMMYFUNCTION("""COMPUTED_VALUE"""),"FRANCE")</f>
        <v>FRANCE</v>
      </c>
      <c r="AG179" s="1"/>
      <c r="AH179" s="1" t="str">
        <f ca="1">IFERROR(__xludf.DUMMYFUNCTION("""COMPUTED_VALUE"""),"SENEGAL")</f>
        <v>SENEGAL</v>
      </c>
      <c r="AI179" s="1"/>
      <c r="AJ179" s="1" t="str">
        <f ca="1">IFERROR(__xludf.DUMMYFUNCTION("""COMPUTED_VALUE"""),"F1650")</f>
        <v>F1650</v>
      </c>
      <c r="AK179" s="1" t="str">
        <f ca="1">IFERROR(__xludf.DUMMYFUNCTION("""COMPUTED_VALUE"""),"Célibataire")</f>
        <v>Célibataire</v>
      </c>
      <c r="AL179" s="1"/>
      <c r="AM179" s="1" t="str">
        <f ca="1">IFERROR(__xludf.DUMMYFUNCTION("""COMPUTED_VALUE"""),"F1650")</f>
        <v>F1650</v>
      </c>
    </row>
    <row r="180" spans="1:39" ht="13" x14ac:dyDescent="0.15">
      <c r="A180" s="1" t="str">
        <f ca="1">IFERROR(__xludf.DUMMYFUNCTION("""COMPUTED_VALUE"""),"DIOP Pierre Daniel Layty Saint Clair")</f>
        <v>DIOP Pierre Daniel Layty Saint Clair</v>
      </c>
      <c r="B180" s="1" t="str">
        <f ca="1">IFERROR(__xludf.DUMMYFUNCTION("""COMPUTED_VALUE"""),"DIOP")</f>
        <v>DIOP</v>
      </c>
      <c r="C180" s="1" t="str">
        <f ca="1">IFERROR(__xludf.DUMMYFUNCTION("""COMPUTED_VALUE"""),"Pierre Daniel Layty Saint Clair")</f>
        <v>Pierre Daniel Layty Saint Clair</v>
      </c>
      <c r="D180" s="1" t="str">
        <f ca="1">IFERROR(__xludf.DUMMYFUNCTION("""COMPUTED_VALUE"""),"11179S2614")</f>
        <v>11179S2614</v>
      </c>
      <c r="E180" s="2">
        <f ca="1">IFERROR(__xludf.DUMMYFUNCTION("""COMPUTED_VALUE"""),41207)</f>
        <v>41207</v>
      </c>
      <c r="F180" s="1" t="str">
        <f ca="1">IFERROR(__xludf.DUMMYFUNCTION("""COMPUTED_VALUE"""),"4EME2")</f>
        <v>4EME2</v>
      </c>
      <c r="G180" s="1" t="str">
        <f ca="1">IFERROR(__xludf.DUMMYFUNCTION("""COMPUTED_VALUE"""),"4ème")</f>
        <v>4ème</v>
      </c>
      <c r="H180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180" s="1" t="str">
        <f ca="1">IFERROR(__xludf.DUMMYFUNCTION("""COMPUTED_VALUE"""),"LVA Anglais")</f>
        <v>LVA Anglais</v>
      </c>
      <c r="J180" s="1" t="str">
        <f ca="1">IFERROR(__xludf.DUMMYFUNCTION("""COMPUTED_VALUE"""),"LVB Espagnol")</f>
        <v>LVB Espagnol</v>
      </c>
      <c r="K180" s="1"/>
      <c r="L180" s="1"/>
      <c r="M180" s="1"/>
      <c r="N180" s="1" t="str">
        <f ca="1">IFERROR(__xludf.DUMMYFUNCTION("""COMPUTED_VALUE"""),"Garçon")</f>
        <v>Garçon</v>
      </c>
      <c r="O180" s="1"/>
      <c r="P180" s="1" t="str">
        <f ca="1">IFERROR(__xludf.DUMMYFUNCTION("""COMPUTED_VALUE"""),"SENEGAL")</f>
        <v>SENEGAL</v>
      </c>
      <c r="Q180" s="1"/>
      <c r="R180" s="1" t="str">
        <f ca="1">IFERROR(__xludf.DUMMYFUNCTION("""COMPUTED_VALUE"""),"pierre.diop@lfjpsaly.org")</f>
        <v>pierre.diop@lfjpsaly.org</v>
      </c>
      <c r="S180" s="1" t="str">
        <f ca="1">IFERROR(__xludf.DUMMYFUNCTION("""COMPUTED_VALUE"""),"+221")</f>
        <v>+221</v>
      </c>
      <c r="T180" s="1" t="str">
        <f ca="1">IFERROR(__xludf.DUMMYFUNCTION("""COMPUTED_VALUE"""),"TINE Tatiana Dior")</f>
        <v>TINE Tatiana Dior</v>
      </c>
      <c r="U180" s="1"/>
      <c r="V180" s="1" t="str">
        <f ca="1">IFERROR(__xludf.DUMMYFUNCTION("""COMPUTED_VALUE"""),"ttatianadior@gmail.com")</f>
        <v>ttatianadior@gmail.com</v>
      </c>
      <c r="W180" s="1"/>
      <c r="X180" s="1" t="str">
        <f ca="1">IFERROR(__xludf.DUMMYFUNCTION("""COMPUTED_VALUE"""),"+221 77 649 10 35")</f>
        <v>+221 77 649 10 35</v>
      </c>
      <c r="Y180" s="1"/>
      <c r="Z180" s="1" t="str">
        <f ca="1">IFERROR(__xludf.DUMMYFUNCTION("""COMPUTED_VALUE"""),"+221")</f>
        <v>+221</v>
      </c>
      <c r="AA180" s="1"/>
      <c r="AB180" s="2">
        <f ca="1">IFERROR(__xludf.DUMMYFUNCTION("""COMPUTED_VALUE"""),35699)</f>
        <v>35699</v>
      </c>
      <c r="AC180" s="1"/>
      <c r="AD180" s="1" t="str">
        <f ca="1">IFERROR(__xludf.DUMMYFUNCTION("""COMPUTED_VALUE"""),"MERE")</f>
        <v>MERE</v>
      </c>
      <c r="AE180" s="1"/>
      <c r="AF180" s="1" t="str">
        <f ca="1">IFERROR(__xludf.DUMMYFUNCTION("""COMPUTED_VALUE"""),"SENEGAL")</f>
        <v>SENEGAL</v>
      </c>
      <c r="AG180" s="1"/>
      <c r="AH180" s="1"/>
      <c r="AI180" s="1"/>
      <c r="AJ180" s="1" t="str">
        <f ca="1">IFERROR(__xludf.DUMMYFUNCTION("""COMPUTED_VALUE"""),"F1282")</f>
        <v>F1282</v>
      </c>
      <c r="AK180" s="1" t="str">
        <f ca="1">IFERROR(__xludf.DUMMYFUNCTION("""COMPUTED_VALUE"""),"Veuf(ve)")</f>
        <v>Veuf(ve)</v>
      </c>
      <c r="AL180" s="1"/>
      <c r="AM180" s="1" t="str">
        <f ca="1">IFERROR(__xludf.DUMMYFUNCTION("""COMPUTED_VALUE"""),"F1282")</f>
        <v>F1282</v>
      </c>
    </row>
    <row r="181" spans="1:39" ht="13" x14ac:dyDescent="0.15">
      <c r="A181" s="1" t="str">
        <f ca="1">IFERROR(__xludf.DUMMYFUNCTION("""COMPUTED_VALUE"""),"DIOP Senaba")</f>
        <v>DIOP Senaba</v>
      </c>
      <c r="B181" s="1" t="str">
        <f ca="1">IFERROR(__xludf.DUMMYFUNCTION("""COMPUTED_VALUE"""),"DIOP")</f>
        <v>DIOP</v>
      </c>
      <c r="C181" s="1" t="str">
        <f ca="1">IFERROR(__xludf.DUMMYFUNCTION("""COMPUTED_VALUE"""),"Senaba")</f>
        <v>Senaba</v>
      </c>
      <c r="D181" s="1" t="str">
        <f ca="1">IFERROR(__xludf.DUMMYFUNCTION("""COMPUTED_VALUE"""),"1285E1")</f>
        <v>1285E1</v>
      </c>
      <c r="E181" s="2">
        <f ca="1">IFERROR(__xludf.DUMMYFUNCTION("""COMPUTED_VALUE"""),41130)</f>
        <v>41130</v>
      </c>
      <c r="F181" s="1" t="str">
        <f ca="1">IFERROR(__xludf.DUMMYFUNCTION("""COMPUTED_VALUE"""),"4EME1")</f>
        <v>4EME1</v>
      </c>
      <c r="G181" s="1" t="str">
        <f ca="1">IFERROR(__xludf.DUMMYFUNCTION("""COMPUTED_VALUE"""),"4ème")</f>
        <v>4ème</v>
      </c>
      <c r="H181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181" s="1" t="str">
        <f ca="1">IFERROR(__xludf.DUMMYFUNCTION("""COMPUTED_VALUE"""),"LVA Anglais")</f>
        <v>LVA Anglais</v>
      </c>
      <c r="J181" s="1" t="str">
        <f ca="1">IFERROR(__xludf.DUMMYFUNCTION("""COMPUTED_VALUE"""),"LVB Espagnol")</f>
        <v>LVB Espagnol</v>
      </c>
      <c r="K181" s="1"/>
      <c r="L181" s="1"/>
      <c r="M181" s="1"/>
      <c r="N181" s="1" t="str">
        <f ca="1">IFERROR(__xludf.DUMMYFUNCTION("""COMPUTED_VALUE"""),"Garçon")</f>
        <v>Garçon</v>
      </c>
      <c r="O181" s="1"/>
      <c r="P181" s="1" t="str">
        <f ca="1">IFERROR(__xludf.DUMMYFUNCTION("""COMPUTED_VALUE"""),"FRANCE")</f>
        <v>FRANCE</v>
      </c>
      <c r="Q181" s="1" t="str">
        <f ca="1">IFERROR(__xludf.DUMMYFUNCTION("""COMPUTED_VALUE"""),"SENEGAL")</f>
        <v>SENEGAL</v>
      </c>
      <c r="R181" s="1" t="str">
        <f ca="1">IFERROR(__xludf.DUMMYFUNCTION("""COMPUTED_VALUE"""),"senaba.diop@lfjpsaly.org")</f>
        <v>senaba.diop@lfjpsaly.org</v>
      </c>
      <c r="S181" s="1" t="str">
        <f ca="1">IFERROR(__xludf.DUMMYFUNCTION("""COMPUTED_VALUE"""),"+221 77 761 17 39")</f>
        <v>+221 77 761 17 39</v>
      </c>
      <c r="T181" s="1" t="str">
        <f ca="1">IFERROR(__xludf.DUMMYFUNCTION("""COMPUTED_VALUE"""),"MOURAIN DIOP Fanelly")</f>
        <v>MOURAIN DIOP Fanelly</v>
      </c>
      <c r="U181" s="1" t="str">
        <f ca="1">IFERROR(__xludf.DUMMYFUNCTION("""COMPUTED_VALUE"""),"DIOP Mouhesine")</f>
        <v>DIOP Mouhesine</v>
      </c>
      <c r="V181" s="1" t="str">
        <f ca="1">IFERROR(__xludf.DUMMYFUNCTION("""COMPUTED_VALUE"""),"fanellym@gmail.com")</f>
        <v>fanellym@gmail.com</v>
      </c>
      <c r="W181" s="1" t="str">
        <f ca="1">IFERROR(__xludf.DUMMYFUNCTION("""COMPUTED_VALUE"""),"sefral.sn@gmail.com")</f>
        <v>sefral.sn@gmail.com</v>
      </c>
      <c r="X181" s="1" t="str">
        <f ca="1">IFERROR(__xludf.DUMMYFUNCTION("""COMPUTED_VALUE"""),"+221 77 761 17 39")</f>
        <v>+221 77 761 17 39</v>
      </c>
      <c r="Y181" s="1" t="str">
        <f ca="1">IFERROR(__xludf.DUMMYFUNCTION("""COMPUTED_VALUE"""),"+221 77 257 38 75")</f>
        <v>+221 77 257 38 75</v>
      </c>
      <c r="Z181" s="1" t="str">
        <f ca="1">IFERROR(__xludf.DUMMYFUNCTION("""COMPUTED_VALUE"""),"+221")</f>
        <v>+221</v>
      </c>
      <c r="AA181" s="1" t="str">
        <f ca="1">IFERROR(__xludf.DUMMYFUNCTION("""COMPUTED_VALUE"""),"+221")</f>
        <v>+221</v>
      </c>
      <c r="AB181" s="2">
        <f ca="1">IFERROR(__xludf.DUMMYFUNCTION("""COMPUTED_VALUE"""),29151)</f>
        <v>29151</v>
      </c>
      <c r="AC181" s="2">
        <f ca="1">IFERROR(__xludf.DUMMYFUNCTION("""COMPUTED_VALUE"""),25386)</f>
        <v>25386</v>
      </c>
      <c r="AD181" s="1" t="str">
        <f ca="1">IFERROR(__xludf.DUMMYFUNCTION("""COMPUTED_VALUE"""),"MERE")</f>
        <v>MERE</v>
      </c>
      <c r="AE181" s="1" t="str">
        <f ca="1">IFERROR(__xludf.DUMMYFUNCTION("""COMPUTED_VALUE"""),"PERE")</f>
        <v>PERE</v>
      </c>
      <c r="AF181" s="1" t="str">
        <f ca="1">IFERROR(__xludf.DUMMYFUNCTION("""COMPUTED_VALUE"""),"FRANCE")</f>
        <v>FRANCE</v>
      </c>
      <c r="AG181" s="1" t="str">
        <f ca="1">IFERROR(__xludf.DUMMYFUNCTION("""COMPUTED_VALUE"""),"FRANCE")</f>
        <v>FRANCE</v>
      </c>
      <c r="AH181" s="1"/>
      <c r="AI181" s="1" t="str">
        <f ca="1">IFERROR(__xludf.DUMMYFUNCTION("""COMPUTED_VALUE"""),"SENEGAL")</f>
        <v>SENEGAL</v>
      </c>
      <c r="AJ181" s="1" t="str">
        <f ca="1">IFERROR(__xludf.DUMMYFUNCTION("""COMPUTED_VALUE"""),"F1285")</f>
        <v>F1285</v>
      </c>
      <c r="AK181" s="1" t="str">
        <f ca="1">IFERROR(__xludf.DUMMYFUNCTION("""COMPUTED_VALUE"""),"Marié(e)")</f>
        <v>Marié(e)</v>
      </c>
      <c r="AL181" s="1" t="str">
        <f ca="1">IFERROR(__xludf.DUMMYFUNCTION("""COMPUTED_VALUE"""),"Marié(e)")</f>
        <v>Marié(e)</v>
      </c>
      <c r="AM181" s="1" t="str">
        <f ca="1">IFERROR(__xludf.DUMMYFUNCTION("""COMPUTED_VALUE"""),"F1285")</f>
        <v>F1285</v>
      </c>
    </row>
    <row r="182" spans="1:39" ht="13" x14ac:dyDescent="0.15">
      <c r="A182" s="1" t="str">
        <f ca="1">IFERROR(__xludf.DUMMYFUNCTION("""COMPUTED_VALUE"""),"DIOP DA COSTA Dimitri")</f>
        <v>DIOP DA COSTA Dimitri</v>
      </c>
      <c r="B182" s="1" t="str">
        <f ca="1">IFERROR(__xludf.DUMMYFUNCTION("""COMPUTED_VALUE"""),"DIOP DA COSTA")</f>
        <v>DIOP DA COSTA</v>
      </c>
      <c r="C182" s="1" t="str">
        <f ca="1">IFERROR(__xludf.DUMMYFUNCTION("""COMPUTED_VALUE"""),"Dimitri")</f>
        <v>Dimitri</v>
      </c>
      <c r="D182" s="1" t="str">
        <f ca="1">IFERROR(__xludf.DUMMYFUNCTION("""COMPUTED_VALUE"""),"1277E1")</f>
        <v>1277E1</v>
      </c>
      <c r="E182" s="2">
        <f ca="1">IFERROR(__xludf.DUMMYFUNCTION("""COMPUTED_VALUE"""),43370)</f>
        <v>43370</v>
      </c>
      <c r="F182" s="1" t="str">
        <f ca="1">IFERROR(__xludf.DUMMYFUNCTION("""COMPUTED_VALUE"""),"CE1A")</f>
        <v>CE1A</v>
      </c>
      <c r="G182" s="1" t="str">
        <f ca="1">IFERROR(__xludf.DUMMYFUNCTION("""COMPUTED_VALUE"""),"CE1")</f>
        <v>CE1</v>
      </c>
      <c r="H182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182" s="1"/>
      <c r="J182" s="1"/>
      <c r="K182" s="1"/>
      <c r="L182" s="1"/>
      <c r="M182" s="1"/>
      <c r="N182" s="1" t="str">
        <f ca="1">IFERROR(__xludf.DUMMYFUNCTION("""COMPUTED_VALUE"""),"Garçon")</f>
        <v>Garçon</v>
      </c>
      <c r="O182" s="1"/>
      <c r="P182" s="1" t="str">
        <f ca="1">IFERROR(__xludf.DUMMYFUNCTION("""COMPUTED_VALUE"""),"SENEGAL")</f>
        <v>SENEGAL</v>
      </c>
      <c r="Q182" s="1" t="str">
        <f ca="1">IFERROR(__xludf.DUMMYFUNCTION("""COMPUTED_VALUE"""),"FRANCE")</f>
        <v>FRANCE</v>
      </c>
      <c r="R182" s="1"/>
      <c r="S182" s="1"/>
      <c r="T182" s="1" t="str">
        <f ca="1">IFERROR(__xludf.DUMMYFUNCTION("""COMPUTED_VALUE"""),"DA COSTA Jose")</f>
        <v>DA COSTA Jose</v>
      </c>
      <c r="U182" s="1" t="str">
        <f ca="1">IFERROR(__xludf.DUMMYFUNCTION("""COMPUTED_VALUE"""),"DA COSTA Aminata")</f>
        <v>DA COSTA Aminata</v>
      </c>
      <c r="V182" s="1" t="str">
        <f ca="1">IFERROR(__xludf.DUMMYFUNCTION("""COMPUTED_VALUE"""),"jdacosta66@gmail.com")</f>
        <v>jdacosta66@gmail.com</v>
      </c>
      <c r="W182" s="1" t="str">
        <f ca="1">IFERROR(__xludf.DUMMYFUNCTION("""COMPUTED_VALUE"""),"aminadiop16@gmail.com")</f>
        <v>aminadiop16@gmail.com</v>
      </c>
      <c r="X182" s="1" t="str">
        <f ca="1">IFERROR(__xludf.DUMMYFUNCTION("""COMPUTED_VALUE"""),"+221 76 773 35 65")</f>
        <v>+221 76 773 35 65</v>
      </c>
      <c r="Y182" s="1" t="str">
        <f ca="1">IFERROR(__xludf.DUMMYFUNCTION("""COMPUTED_VALUE"""),"+221 77 224 94 25")</f>
        <v>+221 77 224 94 25</v>
      </c>
      <c r="Z182" s="1" t="str">
        <f ca="1">IFERROR(__xludf.DUMMYFUNCTION("""COMPUTED_VALUE"""),"+221")</f>
        <v>+221</v>
      </c>
      <c r="AA182" s="1" t="str">
        <f ca="1">IFERROR(__xludf.DUMMYFUNCTION("""COMPUTED_VALUE"""),"+221")</f>
        <v>+221</v>
      </c>
      <c r="AB182" s="2">
        <f ca="1">IFERROR(__xludf.DUMMYFUNCTION("""COMPUTED_VALUE"""),20929)</f>
        <v>20929</v>
      </c>
      <c r="AC182" s="2">
        <f ca="1">IFERROR(__xludf.DUMMYFUNCTION("""COMPUTED_VALUE"""),30762)</f>
        <v>30762</v>
      </c>
      <c r="AD182" s="1" t="str">
        <f ca="1">IFERROR(__xludf.DUMMYFUNCTION("""COMPUTED_VALUE"""),"PERE")</f>
        <v>PERE</v>
      </c>
      <c r="AE182" s="1" t="str">
        <f ca="1">IFERROR(__xludf.DUMMYFUNCTION("""COMPUTED_VALUE"""),"MERE")</f>
        <v>MERE</v>
      </c>
      <c r="AF182" s="1" t="str">
        <f ca="1">IFERROR(__xludf.DUMMYFUNCTION("""COMPUTED_VALUE"""),"FRANCE")</f>
        <v>FRANCE</v>
      </c>
      <c r="AG182" s="1" t="str">
        <f ca="1">IFERROR(__xludf.DUMMYFUNCTION("""COMPUTED_VALUE"""),"SENEGAL")</f>
        <v>SENEGAL</v>
      </c>
      <c r="AH182" s="1" t="str">
        <f ca="1">IFERROR(__xludf.DUMMYFUNCTION("""COMPUTED_VALUE"""),"SENEGAL")</f>
        <v>SENEGAL</v>
      </c>
      <c r="AI182" s="1"/>
      <c r="AJ182" s="1" t="str">
        <f ca="1">IFERROR(__xludf.DUMMYFUNCTION("""COMPUTED_VALUE"""),"F1277")</f>
        <v>F1277</v>
      </c>
      <c r="AK182" s="1" t="str">
        <f ca="1">IFERROR(__xludf.DUMMYFUNCTION("""COMPUTED_VALUE"""),"Marié(e)")</f>
        <v>Marié(e)</v>
      </c>
      <c r="AL182" s="1" t="str">
        <f ca="1">IFERROR(__xludf.DUMMYFUNCTION("""COMPUTED_VALUE"""),"Marié(e)")</f>
        <v>Marié(e)</v>
      </c>
      <c r="AM182" s="1" t="str">
        <f ca="1">IFERROR(__xludf.DUMMYFUNCTION("""COMPUTED_VALUE"""),"F1277")</f>
        <v>F1277</v>
      </c>
    </row>
    <row r="183" spans="1:39" ht="13" x14ac:dyDescent="0.15">
      <c r="A183" s="1" t="str">
        <f ca="1">IFERROR(__xludf.DUMMYFUNCTION("""COMPUTED_VALUE"""),"DIOUF Fatou Kiné")</f>
        <v>DIOUF Fatou Kiné</v>
      </c>
      <c r="B183" s="1" t="str">
        <f ca="1">IFERROR(__xludf.DUMMYFUNCTION("""COMPUTED_VALUE"""),"DIOUF")</f>
        <v>DIOUF</v>
      </c>
      <c r="C183" s="1" t="str">
        <f ca="1">IFERROR(__xludf.DUMMYFUNCTION("""COMPUTED_VALUE"""),"Fatou Kiné")</f>
        <v>Fatou Kiné</v>
      </c>
      <c r="D183" s="1" t="str">
        <f ca="1">IFERROR(__xludf.DUMMYFUNCTION("""COMPUTED_VALUE"""),"1289E1")</f>
        <v>1289E1</v>
      </c>
      <c r="E183" s="2">
        <f ca="1">IFERROR(__xludf.DUMMYFUNCTION("""COMPUTED_VALUE"""),42456)</f>
        <v>42456</v>
      </c>
      <c r="F183" s="1" t="str">
        <f ca="1">IFERROR(__xludf.DUMMYFUNCTION("""COMPUTED_VALUE"""),"CM1B")</f>
        <v>CM1B</v>
      </c>
      <c r="G183" s="1" t="str">
        <f ca="1">IFERROR(__xludf.DUMMYFUNCTION("""COMPUTED_VALUE"""),"CM1")</f>
        <v>CM1</v>
      </c>
      <c r="H183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183" s="1"/>
      <c r="J183" s="1"/>
      <c r="K183" s="1"/>
      <c r="L183" s="1"/>
      <c r="M183" s="1"/>
      <c r="N183" s="1" t="str">
        <f ca="1">IFERROR(__xludf.DUMMYFUNCTION("""COMPUTED_VALUE"""),"Fille")</f>
        <v>Fille</v>
      </c>
      <c r="O183" s="1"/>
      <c r="P183" s="1" t="str">
        <f ca="1">IFERROR(__xludf.DUMMYFUNCTION("""COMPUTED_VALUE"""),"FRANCE")</f>
        <v>FRANCE</v>
      </c>
      <c r="Q183" s="1" t="str">
        <f ca="1">IFERROR(__xludf.DUMMYFUNCTION("""COMPUTED_VALUE"""),"SENEGAL")</f>
        <v>SENEGAL</v>
      </c>
      <c r="R183" s="1"/>
      <c r="S183" s="1" t="str">
        <f ca="1">IFERROR(__xludf.DUMMYFUNCTION("""COMPUTED_VALUE"""),"+221")</f>
        <v>+221</v>
      </c>
      <c r="T183" s="1" t="str">
        <f ca="1">IFERROR(__xludf.DUMMYFUNCTION("""COMPUTED_VALUE"""),"DIOUF Mohamed Moustapha")</f>
        <v>DIOUF Mohamed Moustapha</v>
      </c>
      <c r="U183" s="1"/>
      <c r="V183" s="1" t="str">
        <f ca="1">IFERROR(__xludf.DUMMYFUNCTION("""COMPUTED_VALUE"""),"moustaphadiouf@gmail.com")</f>
        <v>moustaphadiouf@gmail.com</v>
      </c>
      <c r="W183" s="1"/>
      <c r="X183" s="1" t="str">
        <f ca="1">IFERROR(__xludf.DUMMYFUNCTION("""COMPUTED_VALUE"""),"+221 78 639 38 38")</f>
        <v>+221 78 639 38 38</v>
      </c>
      <c r="Y183" s="1"/>
      <c r="Z183" s="1" t="str">
        <f ca="1">IFERROR(__xludf.DUMMYFUNCTION("""COMPUTED_VALUE"""),"+221")</f>
        <v>+221</v>
      </c>
      <c r="AA183" s="1"/>
      <c r="AB183" s="2">
        <f ca="1">IFERROR(__xludf.DUMMYFUNCTION("""COMPUTED_VALUE"""),28948)</f>
        <v>28948</v>
      </c>
      <c r="AC183" s="1"/>
      <c r="AD183" s="1" t="str">
        <f ca="1">IFERROR(__xludf.DUMMYFUNCTION("""COMPUTED_VALUE"""),"PERE")</f>
        <v>PERE</v>
      </c>
      <c r="AE183" s="1"/>
      <c r="AF183" s="1" t="str">
        <f ca="1">IFERROR(__xludf.DUMMYFUNCTION("""COMPUTED_VALUE"""),"FRANCE")</f>
        <v>FRANCE</v>
      </c>
      <c r="AG183" s="1"/>
      <c r="AH183" s="1" t="str">
        <f ca="1">IFERROR(__xludf.DUMMYFUNCTION("""COMPUTED_VALUE"""),"SENEGAL")</f>
        <v>SENEGAL</v>
      </c>
      <c r="AI183" s="1"/>
      <c r="AJ183" s="1" t="str">
        <f ca="1">IFERROR(__xludf.DUMMYFUNCTION("""COMPUTED_VALUE"""),"F1289")</f>
        <v>F1289</v>
      </c>
      <c r="AK183" s="1" t="str">
        <f ca="1">IFERROR(__xludf.DUMMYFUNCTION("""COMPUTED_VALUE"""),"Veuf(ve)")</f>
        <v>Veuf(ve)</v>
      </c>
      <c r="AL183" s="1"/>
      <c r="AM183" s="1" t="str">
        <f ca="1">IFERROR(__xludf.DUMMYFUNCTION("""COMPUTED_VALUE"""),"F1289")</f>
        <v>F1289</v>
      </c>
    </row>
    <row r="184" spans="1:39" ht="13" x14ac:dyDescent="0.15">
      <c r="A184" s="1" t="str">
        <f ca="1">IFERROR(__xludf.DUMMYFUNCTION("""COMPUTED_VALUE"""),"DIOUF Lou")</f>
        <v>DIOUF Lou</v>
      </c>
      <c r="B184" s="1" t="str">
        <f ca="1">IFERROR(__xludf.DUMMYFUNCTION("""COMPUTED_VALUE"""),"DIOUF")</f>
        <v>DIOUF</v>
      </c>
      <c r="C184" s="1" t="str">
        <f ca="1">IFERROR(__xludf.DUMMYFUNCTION("""COMPUTED_VALUE"""),"Lou")</f>
        <v>Lou</v>
      </c>
      <c r="D184" s="1" t="str">
        <f ca="1">IFERROR(__xludf.DUMMYFUNCTION("""COMPUTED_VALUE"""),"1288E1")</f>
        <v>1288E1</v>
      </c>
      <c r="E184" s="2">
        <f ca="1">IFERROR(__xludf.DUMMYFUNCTION("""COMPUTED_VALUE"""),42609)</f>
        <v>42609</v>
      </c>
      <c r="F184" s="1" t="str">
        <f ca="1">IFERROR(__xludf.DUMMYFUNCTION("""COMPUTED_VALUE"""),"CM1A")</f>
        <v>CM1A</v>
      </c>
      <c r="G184" s="1" t="str">
        <f ca="1">IFERROR(__xludf.DUMMYFUNCTION("""COMPUTED_VALUE"""),"CM1")</f>
        <v>CM1</v>
      </c>
      <c r="H184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184" s="1"/>
      <c r="J184" s="1"/>
      <c r="K184" s="1"/>
      <c r="L184" s="1"/>
      <c r="M184" s="1"/>
      <c r="N184" s="1" t="str">
        <f ca="1">IFERROR(__xludf.DUMMYFUNCTION("""COMPUTED_VALUE"""),"Fille")</f>
        <v>Fille</v>
      </c>
      <c r="O184" s="1"/>
      <c r="P184" s="1" t="str">
        <f ca="1">IFERROR(__xludf.DUMMYFUNCTION("""COMPUTED_VALUE"""),"FRANCE")</f>
        <v>FRANCE</v>
      </c>
      <c r="Q184" s="1" t="str">
        <f ca="1">IFERROR(__xludf.DUMMYFUNCTION("""COMPUTED_VALUE"""),"SENEGAL")</f>
        <v>SENEGAL</v>
      </c>
      <c r="R184" s="1"/>
      <c r="S184" s="1"/>
      <c r="T184" s="1" t="str">
        <f ca="1">IFERROR(__xludf.DUMMYFUNCTION("""COMPUTED_VALUE"""),"LARRALDE Marie")</f>
        <v>LARRALDE Marie</v>
      </c>
      <c r="U184" s="1" t="str">
        <f ca="1">IFERROR(__xludf.DUMMYFUNCTION("""COMPUTED_VALUE"""),"DIOUF Cheikh")</f>
        <v>DIOUF Cheikh</v>
      </c>
      <c r="V184" s="1" t="str">
        <f ca="1">IFERROR(__xludf.DUMMYFUNCTION("""COMPUTED_VALUE"""),"marie_larralde@hotmail.com")</f>
        <v>marie_larralde@hotmail.com</v>
      </c>
      <c r="W184" s="1" t="str">
        <f ca="1">IFERROR(__xludf.DUMMYFUNCTION("""COMPUTED_VALUE"""),"marie_larralde@hotmail.com")</f>
        <v>marie_larralde@hotmail.com</v>
      </c>
      <c r="X184" s="1" t="str">
        <f ca="1">IFERROR(__xludf.DUMMYFUNCTION("""COMPUTED_VALUE"""),"775939294")</f>
        <v>775939294</v>
      </c>
      <c r="Y184" s="1" t="str">
        <f ca="1">IFERROR(__xludf.DUMMYFUNCTION("""COMPUTED_VALUE"""),"773054584")</f>
        <v>773054584</v>
      </c>
      <c r="Z184" s="1" t="str">
        <f ca="1">IFERROR(__xludf.DUMMYFUNCTION("""COMPUTED_VALUE"""),"+33 6 82 26 84 60")</f>
        <v>+33 6 82 26 84 60</v>
      </c>
      <c r="AA184" s="1"/>
      <c r="AB184" s="2">
        <f ca="1">IFERROR(__xludf.DUMMYFUNCTION("""COMPUTED_VALUE"""),28907)</f>
        <v>28907</v>
      </c>
      <c r="AC184" s="2">
        <f ca="1">IFERROR(__xludf.DUMMYFUNCTION("""COMPUTED_VALUE"""),31761)</f>
        <v>31761</v>
      </c>
      <c r="AD184" s="1" t="str">
        <f ca="1">IFERROR(__xludf.DUMMYFUNCTION("""COMPUTED_VALUE"""),"MERE")</f>
        <v>MERE</v>
      </c>
      <c r="AE184" s="1" t="str">
        <f ca="1">IFERROR(__xludf.DUMMYFUNCTION("""COMPUTED_VALUE"""),"PERE")</f>
        <v>PERE</v>
      </c>
      <c r="AF184" s="1" t="str">
        <f ca="1">IFERROR(__xludf.DUMMYFUNCTION("""COMPUTED_VALUE"""),"FRANCE")</f>
        <v>FRANCE</v>
      </c>
      <c r="AG184" s="1" t="str">
        <f ca="1">IFERROR(__xludf.DUMMYFUNCTION("""COMPUTED_VALUE"""),"SENEGAL")</f>
        <v>SENEGAL</v>
      </c>
      <c r="AH184" s="1"/>
      <c r="AI184" s="1"/>
      <c r="AJ184" s="1" t="str">
        <f ca="1">IFERROR(__xludf.DUMMYFUNCTION("""COMPUTED_VALUE"""),"F1288")</f>
        <v>F1288</v>
      </c>
      <c r="AK184" s="1" t="str">
        <f ca="1">IFERROR(__xludf.DUMMYFUNCTION("""COMPUTED_VALUE"""),"Marié(e)")</f>
        <v>Marié(e)</v>
      </c>
      <c r="AL184" s="1" t="str">
        <f ca="1">IFERROR(__xludf.DUMMYFUNCTION("""COMPUTED_VALUE"""),"Marié(e)")</f>
        <v>Marié(e)</v>
      </c>
      <c r="AM184" s="1" t="str">
        <f ca="1">IFERROR(__xludf.DUMMYFUNCTION("""COMPUTED_VALUE"""),"F1288")</f>
        <v>F1288</v>
      </c>
    </row>
    <row r="185" spans="1:39" ht="13" x14ac:dyDescent="0.15">
      <c r="A185" s="1" t="str">
        <f ca="1">IFERROR(__xludf.DUMMYFUNCTION("""COMPUTED_VALUE"""),"DIOUF Mohamed Al Amine")</f>
        <v>DIOUF Mohamed Al Amine</v>
      </c>
      <c r="B185" s="1" t="str">
        <f ca="1">IFERROR(__xludf.DUMMYFUNCTION("""COMPUTED_VALUE"""),"DIOUF")</f>
        <v>DIOUF</v>
      </c>
      <c r="C185" s="1" t="str">
        <f ca="1">IFERROR(__xludf.DUMMYFUNCTION("""COMPUTED_VALUE"""),"Mohamed Al Amine")</f>
        <v>Mohamed Al Amine</v>
      </c>
      <c r="D185" s="1" t="str">
        <f ca="1">IFERROR(__xludf.DUMMYFUNCTION("""COMPUTED_VALUE"""),"1289E2")</f>
        <v>1289E2</v>
      </c>
      <c r="E185" s="2">
        <f ca="1">IFERROR(__xludf.DUMMYFUNCTION("""COMPUTED_VALUE"""),43598)</f>
        <v>43598</v>
      </c>
      <c r="F185" s="1" t="str">
        <f ca="1">IFERROR(__xludf.DUMMYFUNCTION("""COMPUTED_VALUE"""),"CP-CE2")</f>
        <v>CP-CE2</v>
      </c>
      <c r="G185" s="1" t="str">
        <f ca="1">IFERROR(__xludf.DUMMYFUNCTION("""COMPUTED_VALUE"""),"CP")</f>
        <v>CP</v>
      </c>
      <c r="H185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185" s="1"/>
      <c r="J185" s="1"/>
      <c r="K185" s="1"/>
      <c r="L185" s="1"/>
      <c r="M185" s="1"/>
      <c r="N185" s="1" t="str">
        <f ca="1">IFERROR(__xludf.DUMMYFUNCTION("""COMPUTED_VALUE"""),"Garçon")</f>
        <v>Garçon</v>
      </c>
      <c r="O185" s="1"/>
      <c r="P185" s="1" t="str">
        <f ca="1">IFERROR(__xludf.DUMMYFUNCTION("""COMPUTED_VALUE"""),"FRANCE")</f>
        <v>FRANCE</v>
      </c>
      <c r="Q185" s="1" t="str">
        <f ca="1">IFERROR(__xludf.DUMMYFUNCTION("""COMPUTED_VALUE"""),"SENEGAL")</f>
        <v>SENEGAL</v>
      </c>
      <c r="R185" s="1"/>
      <c r="S185" s="1" t="str">
        <f ca="1">IFERROR(__xludf.DUMMYFUNCTION("""COMPUTED_VALUE"""),"+221")</f>
        <v>+221</v>
      </c>
      <c r="T185" s="1" t="str">
        <f ca="1">IFERROR(__xludf.DUMMYFUNCTION("""COMPUTED_VALUE"""),"DIOUF Mohamed Moustapha")</f>
        <v>DIOUF Mohamed Moustapha</v>
      </c>
      <c r="U185" s="1"/>
      <c r="V185" s="1" t="str">
        <f ca="1">IFERROR(__xludf.DUMMYFUNCTION("""COMPUTED_VALUE"""),"moustaphadiouf@gmail.com")</f>
        <v>moustaphadiouf@gmail.com</v>
      </c>
      <c r="W185" s="1"/>
      <c r="X185" s="1" t="str">
        <f ca="1">IFERROR(__xludf.DUMMYFUNCTION("""COMPUTED_VALUE"""),"+221 78 639 38 38")</f>
        <v>+221 78 639 38 38</v>
      </c>
      <c r="Y185" s="1"/>
      <c r="Z185" s="1" t="str">
        <f ca="1">IFERROR(__xludf.DUMMYFUNCTION("""COMPUTED_VALUE"""),"+221")</f>
        <v>+221</v>
      </c>
      <c r="AA185" s="1"/>
      <c r="AB185" s="2">
        <f ca="1">IFERROR(__xludf.DUMMYFUNCTION("""COMPUTED_VALUE"""),28948)</f>
        <v>28948</v>
      </c>
      <c r="AC185" s="1"/>
      <c r="AD185" s="1" t="str">
        <f ca="1">IFERROR(__xludf.DUMMYFUNCTION("""COMPUTED_VALUE"""),"PERE")</f>
        <v>PERE</v>
      </c>
      <c r="AE185" s="1"/>
      <c r="AF185" s="1" t="str">
        <f ca="1">IFERROR(__xludf.DUMMYFUNCTION("""COMPUTED_VALUE"""),"FRANCE")</f>
        <v>FRANCE</v>
      </c>
      <c r="AG185" s="1"/>
      <c r="AH185" s="1" t="str">
        <f ca="1">IFERROR(__xludf.DUMMYFUNCTION("""COMPUTED_VALUE"""),"SENEGAL")</f>
        <v>SENEGAL</v>
      </c>
      <c r="AI185" s="1"/>
      <c r="AJ185" s="1" t="str">
        <f ca="1">IFERROR(__xludf.DUMMYFUNCTION("""COMPUTED_VALUE"""),"F1289")</f>
        <v>F1289</v>
      </c>
      <c r="AK185" s="1" t="str">
        <f ca="1">IFERROR(__xludf.DUMMYFUNCTION("""COMPUTED_VALUE"""),"Veuf(ve)")</f>
        <v>Veuf(ve)</v>
      </c>
      <c r="AL185" s="1"/>
      <c r="AM185" s="1" t="str">
        <f ca="1">IFERROR(__xludf.DUMMYFUNCTION("""COMPUTED_VALUE"""),"F1289")</f>
        <v>F1289</v>
      </c>
    </row>
    <row r="186" spans="1:39" ht="13" x14ac:dyDescent="0.15">
      <c r="A186" s="1" t="str">
        <f ca="1">IFERROR(__xludf.DUMMYFUNCTION("""COMPUTED_VALUE"""),"DIOUF Moussa")</f>
        <v>DIOUF Moussa</v>
      </c>
      <c r="B186" s="1" t="str">
        <f ca="1">IFERROR(__xludf.DUMMYFUNCTION("""COMPUTED_VALUE"""),"DIOUF")</f>
        <v>DIOUF</v>
      </c>
      <c r="C186" s="1" t="str">
        <f ca="1">IFERROR(__xludf.DUMMYFUNCTION("""COMPUTED_VALUE"""),"Moussa")</f>
        <v>Moussa</v>
      </c>
      <c r="D186" s="1" t="str">
        <f ca="1">IFERROR(__xludf.DUMMYFUNCTION("""COMPUTED_VALUE"""),"1289E3")</f>
        <v>1289E3</v>
      </c>
      <c r="E186" s="2">
        <f ca="1">IFERROR(__xludf.DUMMYFUNCTION("""COMPUTED_VALUE"""),41127)</f>
        <v>41127</v>
      </c>
      <c r="F186" s="1" t="str">
        <f ca="1">IFERROR(__xludf.DUMMYFUNCTION("""COMPUTED_VALUE"""),"3EME1")</f>
        <v>3EME1</v>
      </c>
      <c r="G186" s="1" t="str">
        <f ca="1">IFERROR(__xludf.DUMMYFUNCTION("""COMPUTED_VALUE"""),"3ème")</f>
        <v>3ème</v>
      </c>
      <c r="H186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186" s="1" t="str">
        <f ca="1">IFERROR(__xludf.DUMMYFUNCTION("""COMPUTED_VALUE"""),"LVA Anglais")</f>
        <v>LVA Anglais</v>
      </c>
      <c r="J186" s="1" t="str">
        <f ca="1">IFERROR(__xludf.DUMMYFUNCTION("""COMPUTED_VALUE"""),"LVB Espagnol")</f>
        <v>LVB Espagnol</v>
      </c>
      <c r="K186" s="1"/>
      <c r="L186" s="1"/>
      <c r="M186" s="1"/>
      <c r="N186" s="1" t="str">
        <f ca="1">IFERROR(__xludf.DUMMYFUNCTION("""COMPUTED_VALUE"""),"Garçon")</f>
        <v>Garçon</v>
      </c>
      <c r="O186" s="1"/>
      <c r="P186" s="1" t="str">
        <f ca="1">IFERROR(__xludf.DUMMYFUNCTION("""COMPUTED_VALUE"""),"FRANCE")</f>
        <v>FRANCE</v>
      </c>
      <c r="Q186" s="1" t="str">
        <f ca="1">IFERROR(__xludf.DUMMYFUNCTION("""COMPUTED_VALUE"""),"SENEGAL")</f>
        <v>SENEGAL</v>
      </c>
      <c r="R186" s="1" t="str">
        <f ca="1">IFERROR(__xludf.DUMMYFUNCTION("""COMPUTED_VALUE"""),"moussa.diouf@lfjpsaly.org")</f>
        <v>moussa.diouf@lfjpsaly.org</v>
      </c>
      <c r="S186" s="1" t="str">
        <f ca="1">IFERROR(__xludf.DUMMYFUNCTION("""COMPUTED_VALUE"""),"+221")</f>
        <v>+221</v>
      </c>
      <c r="T186" s="1" t="str">
        <f ca="1">IFERROR(__xludf.DUMMYFUNCTION("""COMPUTED_VALUE"""),"DIOUF Mohamed Moustapha")</f>
        <v>DIOUF Mohamed Moustapha</v>
      </c>
      <c r="U186" s="1"/>
      <c r="V186" s="1" t="str">
        <f ca="1">IFERROR(__xludf.DUMMYFUNCTION("""COMPUTED_VALUE"""),"moustaphadiouf@gmail.com")</f>
        <v>moustaphadiouf@gmail.com</v>
      </c>
      <c r="W186" s="1"/>
      <c r="X186" s="1" t="str">
        <f ca="1">IFERROR(__xludf.DUMMYFUNCTION("""COMPUTED_VALUE"""),"+221 78 639 38 38")</f>
        <v>+221 78 639 38 38</v>
      </c>
      <c r="Y186" s="1"/>
      <c r="Z186" s="1" t="str">
        <f ca="1">IFERROR(__xludf.DUMMYFUNCTION("""COMPUTED_VALUE"""),"+221")</f>
        <v>+221</v>
      </c>
      <c r="AA186" s="1"/>
      <c r="AB186" s="2">
        <f ca="1">IFERROR(__xludf.DUMMYFUNCTION("""COMPUTED_VALUE"""),28948)</f>
        <v>28948</v>
      </c>
      <c r="AC186" s="1"/>
      <c r="AD186" s="1" t="str">
        <f ca="1">IFERROR(__xludf.DUMMYFUNCTION("""COMPUTED_VALUE"""),"PERE")</f>
        <v>PERE</v>
      </c>
      <c r="AE186" s="1"/>
      <c r="AF186" s="1" t="str">
        <f ca="1">IFERROR(__xludf.DUMMYFUNCTION("""COMPUTED_VALUE"""),"FRANCE")</f>
        <v>FRANCE</v>
      </c>
      <c r="AG186" s="1"/>
      <c r="AH186" s="1" t="str">
        <f ca="1">IFERROR(__xludf.DUMMYFUNCTION("""COMPUTED_VALUE"""),"SENEGAL")</f>
        <v>SENEGAL</v>
      </c>
      <c r="AI186" s="1"/>
      <c r="AJ186" s="1" t="str">
        <f ca="1">IFERROR(__xludf.DUMMYFUNCTION("""COMPUTED_VALUE"""),"F1289")</f>
        <v>F1289</v>
      </c>
      <c r="AK186" s="1" t="str">
        <f ca="1">IFERROR(__xludf.DUMMYFUNCTION("""COMPUTED_VALUE"""),"Veuf(ve)")</f>
        <v>Veuf(ve)</v>
      </c>
      <c r="AL186" s="1"/>
      <c r="AM186" s="1" t="str">
        <f ca="1">IFERROR(__xludf.DUMMYFUNCTION("""COMPUTED_VALUE"""),"F1289")</f>
        <v>F1289</v>
      </c>
    </row>
    <row r="187" spans="1:39" ht="13" x14ac:dyDescent="0.15">
      <c r="A187" s="1" t="str">
        <f ca="1">IFERROR(__xludf.DUMMYFUNCTION("""COMPUTED_VALUE"""),"DIOUF Yanis")</f>
        <v>DIOUF Yanis</v>
      </c>
      <c r="B187" s="1" t="str">
        <f ca="1">IFERROR(__xludf.DUMMYFUNCTION("""COMPUTED_VALUE"""),"DIOUF")</f>
        <v>DIOUF</v>
      </c>
      <c r="C187" s="1" t="str">
        <f ca="1">IFERROR(__xludf.DUMMYFUNCTION("""COMPUTED_VALUE"""),"Yanis")</f>
        <v>Yanis</v>
      </c>
      <c r="D187" s="1" t="str">
        <f ca="1">IFERROR(__xludf.DUMMYFUNCTION("""COMPUTED_VALUE"""),"1291E1")</f>
        <v>1291E1</v>
      </c>
      <c r="E187" s="2">
        <f ca="1">IFERROR(__xludf.DUMMYFUNCTION("""COMPUTED_VALUE"""),40176)</f>
        <v>40176</v>
      </c>
      <c r="F187" s="1" t="str">
        <f ca="1">IFERROR(__xludf.DUMMYFUNCTION("""COMPUTED_VALUE"""),"3EME1")</f>
        <v>3EME1</v>
      </c>
      <c r="G187" s="1" t="str">
        <f ca="1">IFERROR(__xludf.DUMMYFUNCTION("""COMPUTED_VALUE"""),"3ème")</f>
        <v>3ème</v>
      </c>
      <c r="H187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187" s="1" t="str">
        <f ca="1">IFERROR(__xludf.DUMMYFUNCTION("""COMPUTED_VALUE"""),"LVA Anglais")</f>
        <v>LVA Anglais</v>
      </c>
      <c r="J187" s="1" t="str">
        <f ca="1">IFERROR(__xludf.DUMMYFUNCTION("""COMPUTED_VALUE"""),"LVB Espagnol")</f>
        <v>LVB Espagnol</v>
      </c>
      <c r="K187" s="1"/>
      <c r="L187" s="1"/>
      <c r="M187" s="1"/>
      <c r="N187" s="1" t="str">
        <f ca="1">IFERROR(__xludf.DUMMYFUNCTION("""COMPUTED_VALUE"""),"Garçon")</f>
        <v>Garçon</v>
      </c>
      <c r="O187" s="1"/>
      <c r="P187" s="1" t="str">
        <f ca="1">IFERROR(__xludf.DUMMYFUNCTION("""COMPUTED_VALUE"""),"SENEGAL")</f>
        <v>SENEGAL</v>
      </c>
      <c r="Q187" s="1" t="str">
        <f ca="1">IFERROR(__xludf.DUMMYFUNCTION("""COMPUTED_VALUE"""),"FRANCE")</f>
        <v>FRANCE</v>
      </c>
      <c r="R187" s="1" t="str">
        <f ca="1">IFERROR(__xludf.DUMMYFUNCTION("""COMPUTED_VALUE"""),"yanis.diouf@lfjpsaly.org")</f>
        <v>yanis.diouf@lfjpsaly.org</v>
      </c>
      <c r="S187" s="1" t="str">
        <f ca="1">IFERROR(__xludf.DUMMYFUNCTION("""COMPUTED_VALUE"""),"+221 77 294 80 15")</f>
        <v>+221 77 294 80 15</v>
      </c>
      <c r="T187" s="1" t="str">
        <f ca="1">IFERROR(__xludf.DUMMYFUNCTION("""COMPUTED_VALUE"""),"DIOUF Blaise")</f>
        <v>DIOUF Blaise</v>
      </c>
      <c r="U187" s="1" t="str">
        <f ca="1">IFERROR(__xludf.DUMMYFUNCTION("""COMPUTED_VALUE"""),"DIOUF Patrice")</f>
        <v>DIOUF Patrice</v>
      </c>
      <c r="V187" s="1" t="str">
        <f ca="1">IFERROR(__xludf.DUMMYFUNCTION("""COMPUTED_VALUE"""),"irs2002irs@gmail.com")</f>
        <v>irs2002irs@gmail.com</v>
      </c>
      <c r="W187" s="1" t="str">
        <f ca="1">IFERROR(__xludf.DUMMYFUNCTION("""COMPUTED_VALUE"""),"pat.diouf@patrans.sn")</f>
        <v>pat.diouf@patrans.sn</v>
      </c>
      <c r="X187" s="1" t="str">
        <f ca="1">IFERROR(__xludf.DUMMYFUNCTION("""COMPUTED_VALUE"""),"+221 77 632 81 52")</f>
        <v>+221 77 632 81 52</v>
      </c>
      <c r="Y187" s="1" t="str">
        <f ca="1">IFERROR(__xludf.DUMMYFUNCTION("""COMPUTED_VALUE"""),"+221 77 567 16 10")</f>
        <v>+221 77 567 16 10</v>
      </c>
      <c r="Z187" s="1" t="str">
        <f ca="1">IFERROR(__xludf.DUMMYFUNCTION("""COMPUTED_VALUE"""),"+221")</f>
        <v>+221</v>
      </c>
      <c r="AA187" s="1" t="str">
        <f ca="1">IFERROR(__xludf.DUMMYFUNCTION("""COMPUTED_VALUE"""),"+221")</f>
        <v>+221</v>
      </c>
      <c r="AB187" s="2">
        <f ca="1">IFERROR(__xludf.DUMMYFUNCTION("""COMPUTED_VALUE"""),22204)</f>
        <v>22204</v>
      </c>
      <c r="AC187" s="2">
        <f ca="1">IFERROR(__xludf.DUMMYFUNCTION("""COMPUTED_VALUE"""),25487)</f>
        <v>25487</v>
      </c>
      <c r="AD187" s="1" t="str">
        <f ca="1">IFERROR(__xludf.DUMMYFUNCTION("""COMPUTED_VALUE"""),"TUTEUR")</f>
        <v>TUTEUR</v>
      </c>
      <c r="AE187" s="1" t="str">
        <f ca="1">IFERROR(__xludf.DUMMYFUNCTION("""COMPUTED_VALUE"""),"PERE")</f>
        <v>PERE</v>
      </c>
      <c r="AF187" s="1" t="str">
        <f ca="1">IFERROR(__xludf.DUMMYFUNCTION("""COMPUTED_VALUE"""),"SENEGAL")</f>
        <v>SENEGAL</v>
      </c>
      <c r="AG187" s="1" t="str">
        <f ca="1">IFERROR(__xludf.DUMMYFUNCTION("""COMPUTED_VALUE"""),"SENEGAL")</f>
        <v>SENEGAL</v>
      </c>
      <c r="AH187" s="1"/>
      <c r="AI187" s="1"/>
      <c r="AJ187" s="1" t="str">
        <f ca="1">IFERROR(__xludf.DUMMYFUNCTION("""COMPUTED_VALUE"""),"F1291")</f>
        <v>F1291</v>
      </c>
      <c r="AK187" s="1" t="str">
        <f ca="1">IFERROR(__xludf.DUMMYFUNCTION("""COMPUTED_VALUE"""),"Marié(e)")</f>
        <v>Marié(e)</v>
      </c>
      <c r="AL187" s="1" t="str">
        <f ca="1">IFERROR(__xludf.DUMMYFUNCTION("""COMPUTED_VALUE"""),"Marié(e)")</f>
        <v>Marié(e)</v>
      </c>
      <c r="AM187" s="1" t="str">
        <f ca="1">IFERROR(__xludf.DUMMYFUNCTION("""COMPUTED_VALUE"""),"F1291")</f>
        <v>F1291</v>
      </c>
    </row>
    <row r="188" spans="1:39" ht="13" x14ac:dyDescent="0.15">
      <c r="A188" s="1" t="str">
        <f ca="1">IFERROR(__xludf.DUMMYFUNCTION("""COMPUTED_VALUE"""),"DJOUKWE David")</f>
        <v>DJOUKWE David</v>
      </c>
      <c r="B188" s="1" t="str">
        <f ca="1">IFERROR(__xludf.DUMMYFUNCTION("""COMPUTED_VALUE"""),"DJOUKWE")</f>
        <v>DJOUKWE</v>
      </c>
      <c r="C188" s="1" t="str">
        <f ca="1">IFERROR(__xludf.DUMMYFUNCTION("""COMPUTED_VALUE"""),"David")</f>
        <v>David</v>
      </c>
      <c r="D188" s="1" t="str">
        <f ca="1">IFERROR(__xludf.DUMMYFUNCTION("""COMPUTED_VALUE"""),"1293E1")</f>
        <v>1293E1</v>
      </c>
      <c r="E188" s="2">
        <f ca="1">IFERROR(__xludf.DUMMYFUNCTION("""COMPUTED_VALUE"""),39809)</f>
        <v>39809</v>
      </c>
      <c r="F188" s="1" t="str">
        <f ca="1">IFERROR(__xludf.DUMMYFUNCTION("""COMPUTED_VALUE"""),"TERMINALE1")</f>
        <v>TERMINALE1</v>
      </c>
      <c r="G188" s="1" t="str">
        <f ca="1">IFERROR(__xludf.DUMMYFUNCTION("""COMPUTED_VALUE"""),"Terminale")</f>
        <v>Terminale</v>
      </c>
      <c r="H188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188" s="1" t="str">
        <f ca="1">IFERROR(__xludf.DUMMYFUNCTION("""COMPUTED_VALUE"""),"LVA Anglais")</f>
        <v>LVA Anglais</v>
      </c>
      <c r="J188" s="1" t="str">
        <f ca="1">IFERROR(__xludf.DUMMYFUNCTION("""COMPUTED_VALUE"""),"LVB Espagnol")</f>
        <v>LVB Espagnol</v>
      </c>
      <c r="K188" s="1"/>
      <c r="L188" s="1"/>
      <c r="M188" s="1" t="str">
        <f ca="1">IFERROR(__xludf.DUMMYFUNCTION("""COMPUTED_VALUE"""),"SPE MATHS, SPE SES")</f>
        <v>SPE MATHS, SPE SES</v>
      </c>
      <c r="N188" s="1" t="str">
        <f ca="1">IFERROR(__xludf.DUMMYFUNCTION("""COMPUTED_VALUE"""),"Garçon")</f>
        <v>Garçon</v>
      </c>
      <c r="O188" s="1"/>
      <c r="P188" s="1" t="str">
        <f ca="1">IFERROR(__xludf.DUMMYFUNCTION("""COMPUTED_VALUE"""),"ALLEMAGNE")</f>
        <v>ALLEMAGNE</v>
      </c>
      <c r="Q188" s="1" t="str">
        <f ca="1">IFERROR(__xludf.DUMMYFUNCTION("""COMPUTED_VALUE"""),"CAMEROUN")</f>
        <v>CAMEROUN</v>
      </c>
      <c r="R188" s="1" t="str">
        <f ca="1">IFERROR(__xludf.DUMMYFUNCTION("""COMPUTED_VALUE"""),"david.djoukwe@lfjpsaly.org")</f>
        <v>david.djoukwe@lfjpsaly.org</v>
      </c>
      <c r="S188" s="1" t="str">
        <f ca="1">IFERROR(__xludf.DUMMYFUNCTION("""COMPUTED_VALUE"""),"+221 77 856 78 29")</f>
        <v>+221 77 856 78 29</v>
      </c>
      <c r="T188" s="1" t="str">
        <f ca="1">IFERROR(__xludf.DUMMYFUNCTION("""COMPUTED_VALUE"""),"DJOUKWE Viviane")</f>
        <v>DJOUKWE Viviane</v>
      </c>
      <c r="U188" s="1" t="str">
        <f ca="1">IFERROR(__xludf.DUMMYFUNCTION("""COMPUTED_VALUE"""),"DJOUKWE NGUEDJIO Igor")</f>
        <v>DJOUKWE NGUEDJIO Igor</v>
      </c>
      <c r="V188" s="1" t="str">
        <f ca="1">IFERROR(__xludf.DUMMYFUNCTION("""COMPUTED_VALUE"""),"vngandeu@yahoo.fr")</f>
        <v>vngandeu@yahoo.fr</v>
      </c>
      <c r="W188" s="1" t="str">
        <f ca="1">IFERROR(__xludf.DUMMYFUNCTION("""COMPUTED_VALUE"""),"djoukwe@hotmail.com")</f>
        <v>djoukwe@hotmail.com</v>
      </c>
      <c r="X188" s="1" t="str">
        <f ca="1">IFERROR(__xludf.DUMMYFUNCTION("""COMPUTED_VALUE"""),"+221 77 856 78 29")</f>
        <v>+221 77 856 78 29</v>
      </c>
      <c r="Y188" s="1" t="str">
        <f ca="1">IFERROR(__xludf.DUMMYFUNCTION("""COMPUTED_VALUE"""),"+221 77 268 99 08")</f>
        <v>+221 77 268 99 08</v>
      </c>
      <c r="Z188" s="1" t="str">
        <f ca="1">IFERROR(__xludf.DUMMYFUNCTION("""COMPUTED_VALUE"""),"+221")</f>
        <v>+221</v>
      </c>
      <c r="AA188" s="1" t="str">
        <f ca="1">IFERROR(__xludf.DUMMYFUNCTION("""COMPUTED_VALUE"""),"+221")</f>
        <v>+221</v>
      </c>
      <c r="AB188" s="2">
        <f ca="1">IFERROR(__xludf.DUMMYFUNCTION("""COMPUTED_VALUE"""),29964)</f>
        <v>29964</v>
      </c>
      <c r="AC188" s="2">
        <f ca="1">IFERROR(__xludf.DUMMYFUNCTION("""COMPUTED_VALUE"""),27183)</f>
        <v>27183</v>
      </c>
      <c r="AD188" s="1" t="str">
        <f ca="1">IFERROR(__xludf.DUMMYFUNCTION("""COMPUTED_VALUE"""),"MERE")</f>
        <v>MERE</v>
      </c>
      <c r="AE188" s="1" t="str">
        <f ca="1">IFERROR(__xludf.DUMMYFUNCTION("""COMPUTED_VALUE"""),"PERE")</f>
        <v>PERE</v>
      </c>
      <c r="AF188" s="1" t="str">
        <f ca="1">IFERROR(__xludf.DUMMYFUNCTION("""COMPUTED_VALUE"""),"CAMEROUN")</f>
        <v>CAMEROUN</v>
      </c>
      <c r="AG188" s="1" t="str">
        <f ca="1">IFERROR(__xludf.DUMMYFUNCTION("""COMPUTED_VALUE"""),"ALLEMAGNE")</f>
        <v>ALLEMAGNE</v>
      </c>
      <c r="AH188" s="1"/>
      <c r="AI188" s="1"/>
      <c r="AJ188" s="1" t="str">
        <f ca="1">IFERROR(__xludf.DUMMYFUNCTION("""COMPUTED_VALUE"""),"F1293")</f>
        <v>F1293</v>
      </c>
      <c r="AK188" s="1" t="str">
        <f ca="1">IFERROR(__xludf.DUMMYFUNCTION("""COMPUTED_VALUE"""),"Marié(e)")</f>
        <v>Marié(e)</v>
      </c>
      <c r="AL188" s="1" t="str">
        <f ca="1">IFERROR(__xludf.DUMMYFUNCTION("""COMPUTED_VALUE"""),"Marié(e)")</f>
        <v>Marié(e)</v>
      </c>
      <c r="AM188" s="1" t="str">
        <f ca="1">IFERROR(__xludf.DUMMYFUNCTION("""COMPUTED_VALUE"""),"F1293")</f>
        <v>F1293</v>
      </c>
    </row>
    <row r="189" spans="1:39" ht="13" x14ac:dyDescent="0.15">
      <c r="A189" s="1" t="str">
        <f ca="1">IFERROR(__xludf.DUMMYFUNCTION("""COMPUTED_VALUE"""),"DJOUKWE Elie")</f>
        <v>DJOUKWE Elie</v>
      </c>
      <c r="B189" s="1" t="str">
        <f ca="1">IFERROR(__xludf.DUMMYFUNCTION("""COMPUTED_VALUE"""),"DJOUKWE")</f>
        <v>DJOUKWE</v>
      </c>
      <c r="C189" s="1" t="str">
        <f ca="1">IFERROR(__xludf.DUMMYFUNCTION("""COMPUTED_VALUE"""),"Elie")</f>
        <v>Elie</v>
      </c>
      <c r="D189" s="1" t="str">
        <f ca="1">IFERROR(__xludf.DUMMYFUNCTION("""COMPUTED_VALUE"""),"1293E3")</f>
        <v>1293E3</v>
      </c>
      <c r="E189" s="2">
        <f ca="1">IFERROR(__xludf.DUMMYFUNCTION("""COMPUTED_VALUE"""),42565)</f>
        <v>42565</v>
      </c>
      <c r="F189" s="1" t="str">
        <f ca="1">IFERROR(__xludf.DUMMYFUNCTION("""COMPUTED_VALUE"""),"CM1A")</f>
        <v>CM1A</v>
      </c>
      <c r="G189" s="1" t="str">
        <f ca="1">IFERROR(__xludf.DUMMYFUNCTION("""COMPUTED_VALUE"""),"CM1")</f>
        <v>CM1</v>
      </c>
      <c r="H189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189" s="1"/>
      <c r="J189" s="1"/>
      <c r="K189" s="1"/>
      <c r="L189" s="1"/>
      <c r="M189" s="1"/>
      <c r="N189" s="1" t="str">
        <f ca="1">IFERROR(__xludf.DUMMYFUNCTION("""COMPUTED_VALUE"""),"Garçon")</f>
        <v>Garçon</v>
      </c>
      <c r="O189" s="1"/>
      <c r="P189" s="1" t="str">
        <f ca="1">IFERROR(__xludf.DUMMYFUNCTION("""COMPUTED_VALUE"""),"ALLEMAGNE")</f>
        <v>ALLEMAGNE</v>
      </c>
      <c r="Q189" s="1" t="str">
        <f ca="1">IFERROR(__xludf.DUMMYFUNCTION("""COMPUTED_VALUE"""),"CAMEROUN")</f>
        <v>CAMEROUN</v>
      </c>
      <c r="R189" s="1"/>
      <c r="S189" s="1"/>
      <c r="T189" s="1" t="str">
        <f ca="1">IFERROR(__xludf.DUMMYFUNCTION("""COMPUTED_VALUE"""),"DJOUKWE Viviane")</f>
        <v>DJOUKWE Viviane</v>
      </c>
      <c r="U189" s="1" t="str">
        <f ca="1">IFERROR(__xludf.DUMMYFUNCTION("""COMPUTED_VALUE"""),"DJOUKWE NGUEDJIO Igor")</f>
        <v>DJOUKWE NGUEDJIO Igor</v>
      </c>
      <c r="V189" s="1" t="str">
        <f ca="1">IFERROR(__xludf.DUMMYFUNCTION("""COMPUTED_VALUE"""),"vngandeu@yahoo.fr")</f>
        <v>vngandeu@yahoo.fr</v>
      </c>
      <c r="W189" s="1" t="str">
        <f ca="1">IFERROR(__xludf.DUMMYFUNCTION("""COMPUTED_VALUE"""),"djoukwe@hotmail.com")</f>
        <v>djoukwe@hotmail.com</v>
      </c>
      <c r="X189" s="1" t="str">
        <f ca="1">IFERROR(__xludf.DUMMYFUNCTION("""COMPUTED_VALUE"""),"+221 77 856 78 29")</f>
        <v>+221 77 856 78 29</v>
      </c>
      <c r="Y189" s="1" t="str">
        <f ca="1">IFERROR(__xludf.DUMMYFUNCTION("""COMPUTED_VALUE"""),"+221 77 268 99 08")</f>
        <v>+221 77 268 99 08</v>
      </c>
      <c r="Z189" s="1" t="str">
        <f ca="1">IFERROR(__xludf.DUMMYFUNCTION("""COMPUTED_VALUE"""),"+221")</f>
        <v>+221</v>
      </c>
      <c r="AA189" s="1" t="str">
        <f ca="1">IFERROR(__xludf.DUMMYFUNCTION("""COMPUTED_VALUE"""),"+221")</f>
        <v>+221</v>
      </c>
      <c r="AB189" s="2">
        <f ca="1">IFERROR(__xludf.DUMMYFUNCTION("""COMPUTED_VALUE"""),29964)</f>
        <v>29964</v>
      </c>
      <c r="AC189" s="2">
        <f ca="1">IFERROR(__xludf.DUMMYFUNCTION("""COMPUTED_VALUE"""),27183)</f>
        <v>27183</v>
      </c>
      <c r="AD189" s="1" t="str">
        <f ca="1">IFERROR(__xludf.DUMMYFUNCTION("""COMPUTED_VALUE"""),"MERE")</f>
        <v>MERE</v>
      </c>
      <c r="AE189" s="1" t="str">
        <f ca="1">IFERROR(__xludf.DUMMYFUNCTION("""COMPUTED_VALUE"""),"PERE")</f>
        <v>PERE</v>
      </c>
      <c r="AF189" s="1" t="str">
        <f ca="1">IFERROR(__xludf.DUMMYFUNCTION("""COMPUTED_VALUE"""),"CAMEROUN")</f>
        <v>CAMEROUN</v>
      </c>
      <c r="AG189" s="1" t="str">
        <f ca="1">IFERROR(__xludf.DUMMYFUNCTION("""COMPUTED_VALUE"""),"ALLEMAGNE")</f>
        <v>ALLEMAGNE</v>
      </c>
      <c r="AH189" s="1"/>
      <c r="AI189" s="1"/>
      <c r="AJ189" s="1" t="str">
        <f ca="1">IFERROR(__xludf.DUMMYFUNCTION("""COMPUTED_VALUE"""),"F1293")</f>
        <v>F1293</v>
      </c>
      <c r="AK189" s="1" t="str">
        <f ca="1">IFERROR(__xludf.DUMMYFUNCTION("""COMPUTED_VALUE"""),"Marié(e)")</f>
        <v>Marié(e)</v>
      </c>
      <c r="AL189" s="1" t="str">
        <f ca="1">IFERROR(__xludf.DUMMYFUNCTION("""COMPUTED_VALUE"""),"Marié(e)")</f>
        <v>Marié(e)</v>
      </c>
      <c r="AM189" s="1" t="str">
        <f ca="1">IFERROR(__xludf.DUMMYFUNCTION("""COMPUTED_VALUE"""),"F1293")</f>
        <v>F1293</v>
      </c>
    </row>
    <row r="190" spans="1:39" ht="13" x14ac:dyDescent="0.15">
      <c r="A190" s="1" t="str">
        <f ca="1">IFERROR(__xludf.DUMMYFUNCTION("""COMPUTED_VALUE"""),"DJOUKWE Emmanuel")</f>
        <v>DJOUKWE Emmanuel</v>
      </c>
      <c r="B190" s="1" t="str">
        <f ca="1">IFERROR(__xludf.DUMMYFUNCTION("""COMPUTED_VALUE"""),"DJOUKWE")</f>
        <v>DJOUKWE</v>
      </c>
      <c r="C190" s="1" t="str">
        <f ca="1">IFERROR(__xludf.DUMMYFUNCTION("""COMPUTED_VALUE"""),"Emmanuel")</f>
        <v>Emmanuel</v>
      </c>
      <c r="D190" s="1" t="str">
        <f ca="1">IFERROR(__xludf.DUMMYFUNCTION("""COMPUTED_VALUE"""),"1293E2")</f>
        <v>1293E2</v>
      </c>
      <c r="E190" s="2">
        <f ca="1">IFERROR(__xludf.DUMMYFUNCTION("""COMPUTED_VALUE"""),40655)</f>
        <v>40655</v>
      </c>
      <c r="F190" s="1" t="str">
        <f ca="1">IFERROR(__xludf.DUMMYFUNCTION("""COMPUTED_VALUE"""),"2NDE2")</f>
        <v>2NDE2</v>
      </c>
      <c r="G190" s="1" t="str">
        <f ca="1">IFERROR(__xludf.DUMMYFUNCTION("""COMPUTED_VALUE"""),"2nde")</f>
        <v>2nde</v>
      </c>
      <c r="H190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190" s="1" t="str">
        <f ca="1">IFERROR(__xludf.DUMMYFUNCTION("""COMPUTED_VALUE"""),"LVA Anglais")</f>
        <v>LVA Anglais</v>
      </c>
      <c r="J190" s="1" t="str">
        <f ca="1">IFERROR(__xludf.DUMMYFUNCTION("""COMPUTED_VALUE"""),"LVB Espagnol")</f>
        <v>LVB Espagnol</v>
      </c>
      <c r="K190" s="1"/>
      <c r="L190" s="1"/>
      <c r="M190" s="1"/>
      <c r="N190" s="1" t="str">
        <f ca="1">IFERROR(__xludf.DUMMYFUNCTION("""COMPUTED_VALUE"""),"Garçon")</f>
        <v>Garçon</v>
      </c>
      <c r="O190" s="1"/>
      <c r="P190" s="1" t="str">
        <f ca="1">IFERROR(__xludf.DUMMYFUNCTION("""COMPUTED_VALUE"""),"ALLEMAGNE")</f>
        <v>ALLEMAGNE</v>
      </c>
      <c r="Q190" s="1" t="str">
        <f ca="1">IFERROR(__xludf.DUMMYFUNCTION("""COMPUTED_VALUE"""),"CAMEROUN")</f>
        <v>CAMEROUN</v>
      </c>
      <c r="R190" s="1" t="str">
        <f ca="1">IFERROR(__xludf.DUMMYFUNCTION("""COMPUTED_VALUE"""),"emmanuel.djoukwe@lfjpsaly.org")</f>
        <v>emmanuel.djoukwe@lfjpsaly.org</v>
      </c>
      <c r="S190" s="1" t="str">
        <f ca="1">IFERROR(__xludf.DUMMYFUNCTION("""COMPUTED_VALUE"""),"+221 77 856 78 29")</f>
        <v>+221 77 856 78 29</v>
      </c>
      <c r="T190" s="1" t="str">
        <f ca="1">IFERROR(__xludf.DUMMYFUNCTION("""COMPUTED_VALUE"""),"DJOUKWE Viviane")</f>
        <v>DJOUKWE Viviane</v>
      </c>
      <c r="U190" s="1" t="str">
        <f ca="1">IFERROR(__xludf.DUMMYFUNCTION("""COMPUTED_VALUE"""),"DJOUKWE NGUEDJIO Igor")</f>
        <v>DJOUKWE NGUEDJIO Igor</v>
      </c>
      <c r="V190" s="1" t="str">
        <f ca="1">IFERROR(__xludf.DUMMYFUNCTION("""COMPUTED_VALUE"""),"vngandeu@yahoo.fr")</f>
        <v>vngandeu@yahoo.fr</v>
      </c>
      <c r="W190" s="1" t="str">
        <f ca="1">IFERROR(__xludf.DUMMYFUNCTION("""COMPUTED_VALUE"""),"djoukwe@hotmail.com")</f>
        <v>djoukwe@hotmail.com</v>
      </c>
      <c r="X190" s="1" t="str">
        <f ca="1">IFERROR(__xludf.DUMMYFUNCTION("""COMPUTED_VALUE"""),"+221 77 856 78 29")</f>
        <v>+221 77 856 78 29</v>
      </c>
      <c r="Y190" s="1" t="str">
        <f ca="1">IFERROR(__xludf.DUMMYFUNCTION("""COMPUTED_VALUE"""),"+221 77 268 99 08")</f>
        <v>+221 77 268 99 08</v>
      </c>
      <c r="Z190" s="1" t="str">
        <f ca="1">IFERROR(__xludf.DUMMYFUNCTION("""COMPUTED_VALUE"""),"+221")</f>
        <v>+221</v>
      </c>
      <c r="AA190" s="1" t="str">
        <f ca="1">IFERROR(__xludf.DUMMYFUNCTION("""COMPUTED_VALUE"""),"+221")</f>
        <v>+221</v>
      </c>
      <c r="AB190" s="2">
        <f ca="1">IFERROR(__xludf.DUMMYFUNCTION("""COMPUTED_VALUE"""),29964)</f>
        <v>29964</v>
      </c>
      <c r="AC190" s="2">
        <f ca="1">IFERROR(__xludf.DUMMYFUNCTION("""COMPUTED_VALUE"""),27183)</f>
        <v>27183</v>
      </c>
      <c r="AD190" s="1" t="str">
        <f ca="1">IFERROR(__xludf.DUMMYFUNCTION("""COMPUTED_VALUE"""),"MERE")</f>
        <v>MERE</v>
      </c>
      <c r="AE190" s="1" t="str">
        <f ca="1">IFERROR(__xludf.DUMMYFUNCTION("""COMPUTED_VALUE"""),"PERE")</f>
        <v>PERE</v>
      </c>
      <c r="AF190" s="1" t="str">
        <f ca="1">IFERROR(__xludf.DUMMYFUNCTION("""COMPUTED_VALUE"""),"CAMEROUN")</f>
        <v>CAMEROUN</v>
      </c>
      <c r="AG190" s="1" t="str">
        <f ca="1">IFERROR(__xludf.DUMMYFUNCTION("""COMPUTED_VALUE"""),"ALLEMAGNE")</f>
        <v>ALLEMAGNE</v>
      </c>
      <c r="AH190" s="1"/>
      <c r="AI190" s="1"/>
      <c r="AJ190" s="1" t="str">
        <f ca="1">IFERROR(__xludf.DUMMYFUNCTION("""COMPUTED_VALUE"""),"F1293")</f>
        <v>F1293</v>
      </c>
      <c r="AK190" s="1" t="str">
        <f ca="1">IFERROR(__xludf.DUMMYFUNCTION("""COMPUTED_VALUE"""),"Marié(e)")</f>
        <v>Marié(e)</v>
      </c>
      <c r="AL190" s="1" t="str">
        <f ca="1">IFERROR(__xludf.DUMMYFUNCTION("""COMPUTED_VALUE"""),"Marié(e)")</f>
        <v>Marié(e)</v>
      </c>
      <c r="AM190" s="1" t="str">
        <f ca="1">IFERROR(__xludf.DUMMYFUNCTION("""COMPUTED_VALUE"""),"F1293")</f>
        <v>F1293</v>
      </c>
    </row>
    <row r="191" spans="1:39" ht="13" x14ac:dyDescent="0.15">
      <c r="A191" s="1" t="str">
        <f ca="1">IFERROR(__xludf.DUMMYFUNCTION("""COMPUTED_VALUE"""),"DOLO Kalba Mamoudou")</f>
        <v>DOLO Kalba Mamoudou</v>
      </c>
      <c r="B191" s="1" t="str">
        <f ca="1">IFERROR(__xludf.DUMMYFUNCTION("""COMPUTED_VALUE"""),"DOLO")</f>
        <v>DOLO</v>
      </c>
      <c r="C191" s="1" t="str">
        <f ca="1">IFERROR(__xludf.DUMMYFUNCTION("""COMPUTED_VALUE"""),"Kalba Mamoudou")</f>
        <v>Kalba Mamoudou</v>
      </c>
      <c r="D191" s="1" t="str">
        <f ca="1">IFERROR(__xludf.DUMMYFUNCTION("""COMPUTED_VALUE"""),"11605S2835")</f>
        <v>11605S2835</v>
      </c>
      <c r="E191" s="2">
        <f ca="1">IFERROR(__xludf.DUMMYFUNCTION("""COMPUTED_VALUE"""),40397)</f>
        <v>40397</v>
      </c>
      <c r="F191" s="1" t="str">
        <f ca="1">IFERROR(__xludf.DUMMYFUNCTION("""COMPUTED_VALUE"""),"2NDE2")</f>
        <v>2NDE2</v>
      </c>
      <c r="G191" s="1" t="str">
        <f ca="1">IFERROR(__xludf.DUMMYFUNCTION("""COMPUTED_VALUE"""),"2nde")</f>
        <v>2nde</v>
      </c>
      <c r="H191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191" s="1" t="str">
        <f ca="1">IFERROR(__xludf.DUMMYFUNCTION("""COMPUTED_VALUE"""),"LVA Anglais")</f>
        <v>LVA Anglais</v>
      </c>
      <c r="J191" s="1" t="str">
        <f ca="1">IFERROR(__xludf.DUMMYFUNCTION("""COMPUTED_VALUE"""),"LVB Espagnol")</f>
        <v>LVB Espagnol</v>
      </c>
      <c r="K191" s="1"/>
      <c r="L191" s="1"/>
      <c r="M191" s="1"/>
      <c r="N191" s="1" t="str">
        <f ca="1">IFERROR(__xludf.DUMMYFUNCTION("""COMPUTED_VALUE"""),"Garçon")</f>
        <v>Garçon</v>
      </c>
      <c r="O191" s="1"/>
      <c r="P191" s="1" t="str">
        <f ca="1">IFERROR(__xludf.DUMMYFUNCTION("""COMPUTED_VALUE"""),"MALI")</f>
        <v>MALI</v>
      </c>
      <c r="Q191" s="1"/>
      <c r="R191" s="1" t="str">
        <f ca="1">IFERROR(__xludf.DUMMYFUNCTION("""COMPUTED_VALUE"""),"kalba.dolo@lfjpsaly.org")</f>
        <v>kalba.dolo@lfjpsaly.org</v>
      </c>
      <c r="S191" s="1" t="str">
        <f ca="1">IFERROR(__xludf.DUMMYFUNCTION("""COMPUTED_VALUE"""),"+221 77 377 45 30")</f>
        <v>+221 77 377 45 30</v>
      </c>
      <c r="T191" s="1" t="str">
        <f ca="1">IFERROR(__xludf.DUMMYFUNCTION("""COMPUTED_VALUE"""),"SOUMAHORO Djenebou")</f>
        <v>SOUMAHORO Djenebou</v>
      </c>
      <c r="U191" s="1" t="str">
        <f ca="1">IFERROR(__xludf.DUMMYFUNCTION("""COMPUTED_VALUE"""),"STRIVE Valérie Raphoz")</f>
        <v>STRIVE Valérie Raphoz</v>
      </c>
      <c r="V191" s="1" t="str">
        <f ca="1">IFERROR(__xludf.DUMMYFUNCTION("""COMPUTED_VALUE"""),"soumahorozeinab2@gmail.com")</f>
        <v>soumahorozeinab2@gmail.com</v>
      </c>
      <c r="W191" s="1" t="str">
        <f ca="1">IFERROR(__xludf.DUMMYFUNCTION("""COMPUTED_VALUE"""),"vraphoz@strivefootballgroup.com")</f>
        <v>vraphoz@strivefootballgroup.com</v>
      </c>
      <c r="X191" s="1" t="str">
        <f ca="1">IFERROR(__xludf.DUMMYFUNCTION("""COMPUTED_VALUE"""),"+221 78 733 82 89")</f>
        <v>+221 78 733 82 89</v>
      </c>
      <c r="Y191" s="1" t="str">
        <f ca="1">IFERROR(__xludf.DUMMYFUNCTION("""COMPUTED_VALUE"""),"+33 6 50 85 20 71")</f>
        <v>+33 6 50 85 20 71</v>
      </c>
      <c r="Z191" s="1" t="str">
        <f ca="1">IFERROR(__xludf.DUMMYFUNCTION("""COMPUTED_VALUE"""),"+221")</f>
        <v>+221</v>
      </c>
      <c r="AA191" s="1" t="str">
        <f ca="1">IFERROR(__xludf.DUMMYFUNCTION("""COMPUTED_VALUE"""),"+221")</f>
        <v>+221</v>
      </c>
      <c r="AB191" s="2">
        <f ca="1">IFERROR(__xludf.DUMMYFUNCTION("""COMPUTED_VALUE"""),35883)</f>
        <v>35883</v>
      </c>
      <c r="AC191" s="2">
        <f ca="1">IFERROR(__xludf.DUMMYFUNCTION("""COMPUTED_VALUE"""),44754)</f>
        <v>44754</v>
      </c>
      <c r="AD191" s="1" t="str">
        <f ca="1">IFERROR(__xludf.DUMMYFUNCTION("""COMPUTED_VALUE"""),"TUTEUR")</f>
        <v>TUTEUR</v>
      </c>
      <c r="AE191" s="1" t="str">
        <f ca="1">IFERROR(__xludf.DUMMYFUNCTION("""COMPUTED_VALUE"""),"AUTRE LIEN")</f>
        <v>AUTRE LIEN</v>
      </c>
      <c r="AF191" s="1" t="str">
        <f ca="1">IFERROR(__xludf.DUMMYFUNCTION("""COMPUTED_VALUE"""),"COTE D'IVOIRE")</f>
        <v>COTE D'IVOIRE</v>
      </c>
      <c r="AG191" s="1" t="str">
        <f ca="1">IFERROR(__xludf.DUMMYFUNCTION("""COMPUTED_VALUE"""),"FRANCE")</f>
        <v>FRANCE</v>
      </c>
      <c r="AH191" s="1"/>
      <c r="AI191" s="1" t="str">
        <f ca="1">IFERROR(__xludf.DUMMYFUNCTION("""COMPUTED_VALUE"""),"FRANCE")</f>
        <v>FRANCE</v>
      </c>
      <c r="AJ191" s="1" t="str">
        <f ca="1">IFERROR(__xludf.DUMMYFUNCTION("""COMPUTED_VALUE"""),"F1575")</f>
        <v>F1575</v>
      </c>
      <c r="AK191" s="1" t="str">
        <f ca="1">IFERROR(__xludf.DUMMYFUNCTION("""COMPUTED_VALUE"""),"Marié(e)")</f>
        <v>Marié(e)</v>
      </c>
      <c r="AL191" s="1" t="str">
        <f ca="1">IFERROR(__xludf.DUMMYFUNCTION("""COMPUTED_VALUE"""),"Marié(e)")</f>
        <v>Marié(e)</v>
      </c>
      <c r="AM191" s="1" t="str">
        <f ca="1">IFERROR(__xludf.DUMMYFUNCTION("""COMPUTED_VALUE"""),"F1575")</f>
        <v>F1575</v>
      </c>
    </row>
    <row r="192" spans="1:39" ht="13" x14ac:dyDescent="0.15">
      <c r="A192" s="1" t="str">
        <f ca="1">IFERROR(__xludf.DUMMYFUNCTION("""COMPUTED_VALUE"""),"DORESSAMY RAZAFIMALALA Omega")</f>
        <v>DORESSAMY RAZAFIMALALA Omega</v>
      </c>
      <c r="B192" s="1" t="str">
        <f ca="1">IFERROR(__xludf.DUMMYFUNCTION("""COMPUTED_VALUE"""),"DORESSAMY RAZAFIMALALA")</f>
        <v>DORESSAMY RAZAFIMALALA</v>
      </c>
      <c r="C192" s="1" t="str">
        <f ca="1">IFERROR(__xludf.DUMMYFUNCTION("""COMPUTED_VALUE"""),"Omega")</f>
        <v>Omega</v>
      </c>
      <c r="D192" s="1" t="str">
        <f ca="1">IFERROR(__xludf.DUMMYFUNCTION("""COMPUTED_VALUE"""),"12134S3244")</f>
        <v>12134S3244</v>
      </c>
      <c r="E192" s="2">
        <f ca="1">IFERROR(__xludf.DUMMYFUNCTION("""COMPUTED_VALUE"""),40898)</f>
        <v>40898</v>
      </c>
      <c r="F192" s="1" t="str">
        <f ca="1">IFERROR(__xludf.DUMMYFUNCTION("""COMPUTED_VALUE"""),"2NDE2")</f>
        <v>2NDE2</v>
      </c>
      <c r="G192" s="1" t="str">
        <f ca="1">IFERROR(__xludf.DUMMYFUNCTION("""COMPUTED_VALUE"""),"2nde")</f>
        <v>2nde</v>
      </c>
      <c r="H192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192" s="1" t="str">
        <f ca="1">IFERROR(__xludf.DUMMYFUNCTION("""COMPUTED_VALUE"""),"LVA Anglais")</f>
        <v>LVA Anglais</v>
      </c>
      <c r="J192" s="1" t="str">
        <f ca="1">IFERROR(__xludf.DUMMYFUNCTION("""COMPUTED_VALUE"""),"LVB Espagnol")</f>
        <v>LVB Espagnol</v>
      </c>
      <c r="K192" s="1"/>
      <c r="L192" s="1"/>
      <c r="M192" s="1"/>
      <c r="N192" s="1" t="str">
        <f ca="1">IFERROR(__xludf.DUMMYFUNCTION("""COMPUTED_VALUE"""),"Fille")</f>
        <v>Fille</v>
      </c>
      <c r="O192" s="1"/>
      <c r="P192" s="1" t="str">
        <f ca="1">IFERROR(__xludf.DUMMYFUNCTION("""COMPUTED_VALUE"""),"FRANCE")</f>
        <v>FRANCE</v>
      </c>
      <c r="Q192" s="1" t="str">
        <f ca="1">IFERROR(__xludf.DUMMYFUNCTION("""COMPUTED_VALUE"""),"FRANCE")</f>
        <v>FRANCE</v>
      </c>
      <c r="R192" s="1"/>
      <c r="S192" s="1" t="str">
        <f ca="1">IFERROR(__xludf.DUMMYFUNCTION("""COMPUTED_VALUE"""),"+33 6 59 45 98 29")</f>
        <v>+33 6 59 45 98 29</v>
      </c>
      <c r="T192" s="1" t="str">
        <f ca="1">IFERROR(__xludf.DUMMYFUNCTION("""COMPUTED_VALUE"""),"DORESSAMY Patrick")</f>
        <v>DORESSAMY Patrick</v>
      </c>
      <c r="U192" s="1" t="str">
        <f ca="1">IFERROR(__xludf.DUMMYFUNCTION("""COMPUTED_VALUE"""),"DORESSAMY RAZAFIMALALA Elena")</f>
        <v>DORESSAMY RAZAFIMALALA Elena</v>
      </c>
      <c r="V192" s="1" t="str">
        <f ca="1">IFERROR(__xludf.DUMMYFUNCTION("""COMPUTED_VALUE"""),"patrick.doressamy1970@gmail.com")</f>
        <v>patrick.doressamy1970@gmail.com</v>
      </c>
      <c r="W192" s="1" t="str">
        <f ca="1">IFERROR(__xludf.DUMMYFUNCTION("""COMPUTED_VALUE"""),"michelahelena2025@gmail.com")</f>
        <v>michelahelena2025@gmail.com</v>
      </c>
      <c r="X192" s="1" t="str">
        <f ca="1">IFERROR(__xludf.DUMMYFUNCTION("""COMPUTED_VALUE"""),"+33 6 59 45 98 29")</f>
        <v>+33 6 59 45 98 29</v>
      </c>
      <c r="Y192" s="1" t="str">
        <f ca="1">IFERROR(__xludf.DUMMYFUNCTION("""COMPUTED_VALUE"""),"+261 32 69 227 33")</f>
        <v>+261 32 69 227 33</v>
      </c>
      <c r="Z192" s="1" t="str">
        <f ca="1">IFERROR(__xludf.DUMMYFUNCTION("""COMPUTED_VALUE"""),"+33 6 59 45 98 29")</f>
        <v>+33 6 59 45 98 29</v>
      </c>
      <c r="AA192" s="1" t="str">
        <f ca="1">IFERROR(__xludf.DUMMYFUNCTION("""COMPUTED_VALUE"""),"+221 32 692 27 33")</f>
        <v>+221 32 692 27 33</v>
      </c>
      <c r="AB192" s="2">
        <f ca="1">IFERROR(__xludf.DUMMYFUNCTION("""COMPUTED_VALUE"""),25682)</f>
        <v>25682</v>
      </c>
      <c r="AC192" s="2">
        <f ca="1">IFERROR(__xludf.DUMMYFUNCTION("""COMPUTED_VALUE"""),37799)</f>
        <v>37799</v>
      </c>
      <c r="AD192" s="1" t="str">
        <f ca="1">IFERROR(__xludf.DUMMYFUNCTION("""COMPUTED_VALUE"""),"AUTRE LIEN")</f>
        <v>AUTRE LIEN</v>
      </c>
      <c r="AE192" s="1" t="str">
        <f ca="1">IFERROR(__xludf.DUMMYFUNCTION("""COMPUTED_VALUE"""),"TUTEUR")</f>
        <v>TUTEUR</v>
      </c>
      <c r="AF192" s="1" t="str">
        <f ca="1">IFERROR(__xludf.DUMMYFUNCTION("""COMPUTED_VALUE"""),"FRANCE")</f>
        <v>FRANCE</v>
      </c>
      <c r="AG192" s="1" t="str">
        <f ca="1">IFERROR(__xludf.DUMMYFUNCTION("""COMPUTED_VALUE"""),"MADAGASCAR")</f>
        <v>MADAGASCAR</v>
      </c>
      <c r="AH192" s="1"/>
      <c r="AI192" s="1"/>
      <c r="AJ192" s="1" t="str">
        <f ca="1">IFERROR(__xludf.DUMMYFUNCTION("""COMPUTED_VALUE"""),"U12134")</f>
        <v>U12134</v>
      </c>
      <c r="AK192" s="1" t="str">
        <f ca="1">IFERROR(__xludf.DUMMYFUNCTION("""COMPUTED_VALUE"""),"Divorcée")</f>
        <v>Divorcée</v>
      </c>
      <c r="AL192" s="1" t="str">
        <f ca="1">IFERROR(__xludf.DUMMYFUNCTION("""COMPUTED_VALUE"""),"Célibataire")</f>
        <v>Célibataire</v>
      </c>
      <c r="AM192" s="1" t="str">
        <f ca="1">IFERROR(__xludf.DUMMYFUNCTION("""COMPUTED_VALUE"""),"U12134")</f>
        <v>U12134</v>
      </c>
    </row>
    <row r="193" spans="1:39" ht="13" x14ac:dyDescent="0.15">
      <c r="A193" s="1" t="str">
        <f ca="1">IFERROR(__xludf.DUMMYFUNCTION("""COMPUTED_VALUE"""),"DOUMBOUYA Moussa")</f>
        <v>DOUMBOUYA Moussa</v>
      </c>
      <c r="B193" s="1" t="str">
        <f ca="1">IFERROR(__xludf.DUMMYFUNCTION("""COMPUTED_VALUE"""),"DOUMBOUYA")</f>
        <v>DOUMBOUYA</v>
      </c>
      <c r="C193" s="1" t="str">
        <f ca="1">IFERROR(__xludf.DUMMYFUNCTION("""COMPUTED_VALUE"""),"Moussa")</f>
        <v>Moussa</v>
      </c>
      <c r="D193" s="1" t="str">
        <f ca="1">IFERROR(__xludf.DUMMYFUNCTION("""COMPUTED_VALUE"""),"11801S2625")</f>
        <v>11801S2625</v>
      </c>
      <c r="E193" s="2">
        <f ca="1">IFERROR(__xludf.DUMMYFUNCTION("""COMPUTED_VALUE"""),44693)</f>
        <v>44693</v>
      </c>
      <c r="F193" s="1" t="str">
        <f ca="1">IFERROR(__xludf.DUMMYFUNCTION("""COMPUTED_VALUE"""),"Mat 1")</f>
        <v>Mat 1</v>
      </c>
      <c r="G193" s="1" t="str">
        <f ca="1">IFERROR(__xludf.DUMMYFUNCTION("""COMPUTED_VALUE"""),"PS")</f>
        <v>PS</v>
      </c>
      <c r="H193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193" s="1"/>
      <c r="J193" s="1"/>
      <c r="K193" s="1"/>
      <c r="L193" s="1"/>
      <c r="M193" s="1"/>
      <c r="N193" s="1" t="str">
        <f ca="1">IFERROR(__xludf.DUMMYFUNCTION("""COMPUTED_VALUE"""),"Garçon")</f>
        <v>Garçon</v>
      </c>
      <c r="O193" s="1"/>
      <c r="P193" s="1" t="str">
        <f ca="1">IFERROR(__xludf.DUMMYFUNCTION("""COMPUTED_VALUE"""),"FRANCE")</f>
        <v>FRANCE</v>
      </c>
      <c r="Q193" s="1"/>
      <c r="R193" s="1"/>
      <c r="S193" s="1" t="str">
        <f ca="1">IFERROR(__xludf.DUMMYFUNCTION("""COMPUTED_VALUE"""),"+221")</f>
        <v>+221</v>
      </c>
      <c r="T193" s="1" t="str">
        <f ca="1">IFERROR(__xludf.DUMMYFUNCTION("""COMPUTED_VALUE"""),"DIOP DOUMBOUYA Ndeye Anta")</f>
        <v>DIOP DOUMBOUYA Ndeye Anta</v>
      </c>
      <c r="U193" s="1" t="str">
        <f ca="1">IFERROR(__xludf.DUMMYFUNCTION("""COMPUTED_VALUE"""),"DOUMBOUYA Cheikh Talibouya")</f>
        <v>DOUMBOUYA Cheikh Talibouya</v>
      </c>
      <c r="V193" s="1" t="str">
        <f ca="1">IFERROR(__xludf.DUMMYFUNCTION("""COMPUTED_VALUE"""),"nidiop82@gmail.com")</f>
        <v>nidiop82@gmail.com</v>
      </c>
      <c r="W193" s="1" t="str">
        <f ca="1">IFERROR(__xludf.DUMMYFUNCTION("""COMPUTED_VALUE"""),"cadoums2208@gmail.com")</f>
        <v>cadoums2208@gmail.com</v>
      </c>
      <c r="X193" s="1" t="str">
        <f ca="1">IFERROR(__xludf.DUMMYFUNCTION("""COMPUTED_VALUE"""),"+221 78 122 98 80")</f>
        <v>+221 78 122 98 80</v>
      </c>
      <c r="Y193" s="1" t="str">
        <f ca="1">IFERROR(__xludf.DUMMYFUNCTION("""COMPUTED_VALUE"""),"+221 78 773 00 00")</f>
        <v>+221 78 773 00 00</v>
      </c>
      <c r="Z193" s="1" t="str">
        <f ca="1">IFERROR(__xludf.DUMMYFUNCTION("""COMPUTED_VALUE"""),"+22178695000")</f>
        <v>+22178695000</v>
      </c>
      <c r="AA193" s="1" t="str">
        <f ca="1">IFERROR(__xludf.DUMMYFUNCTION("""COMPUTED_VALUE"""),"+221")</f>
        <v>+221</v>
      </c>
      <c r="AB193" s="2">
        <f ca="1">IFERROR(__xludf.DUMMYFUNCTION("""COMPUTED_VALUE"""),30251)</f>
        <v>30251</v>
      </c>
      <c r="AC193" s="2">
        <f ca="1">IFERROR(__xludf.DUMMYFUNCTION("""COMPUTED_VALUE"""),28542)</f>
        <v>28542</v>
      </c>
      <c r="AD193" s="1" t="str">
        <f ca="1">IFERROR(__xludf.DUMMYFUNCTION("""COMPUTED_VALUE"""),"MERE")</f>
        <v>MERE</v>
      </c>
      <c r="AE193" s="1" t="str">
        <f ca="1">IFERROR(__xludf.DUMMYFUNCTION("""COMPUTED_VALUE"""),"PERE")</f>
        <v>PERE</v>
      </c>
      <c r="AF193" s="1" t="str">
        <f ca="1">IFERROR(__xludf.DUMMYFUNCTION("""COMPUTED_VALUE"""),"FRANCE")</f>
        <v>FRANCE</v>
      </c>
      <c r="AG193" s="1" t="str">
        <f ca="1">IFERROR(__xludf.DUMMYFUNCTION("""COMPUTED_VALUE"""),"SENEGAL")</f>
        <v>SENEGAL</v>
      </c>
      <c r="AH193" s="1" t="str">
        <f ca="1">IFERROR(__xludf.DUMMYFUNCTION("""COMPUTED_VALUE"""),"SENEGAL")</f>
        <v>SENEGAL</v>
      </c>
      <c r="AI193" s="1"/>
      <c r="AJ193" s="1" t="str">
        <f ca="1">IFERROR(__xludf.DUMMYFUNCTION("""COMPUTED_VALUE"""),"U11801")</f>
        <v>U11801</v>
      </c>
      <c r="AK193" s="1" t="str">
        <f ca="1">IFERROR(__xludf.DUMMYFUNCTION("""COMPUTED_VALUE"""),"Marié(e)")</f>
        <v>Marié(e)</v>
      </c>
      <c r="AL193" s="1" t="str">
        <f ca="1">IFERROR(__xludf.DUMMYFUNCTION("""COMPUTED_VALUE"""),"Marié(e)")</f>
        <v>Marié(e)</v>
      </c>
      <c r="AM193" s="1" t="str">
        <f ca="1">IFERROR(__xludf.DUMMYFUNCTION("""COMPUTED_VALUE"""),"U11801")</f>
        <v>U11801</v>
      </c>
    </row>
    <row r="194" spans="1:39" ht="13" x14ac:dyDescent="0.15">
      <c r="A194" s="1" t="str">
        <f ca="1">IFERROR(__xludf.DUMMYFUNCTION("""COMPUTED_VALUE"""),"DRAMÉ Assia")</f>
        <v>DRAMÉ Assia</v>
      </c>
      <c r="B194" s="1" t="str">
        <f ca="1">IFERROR(__xludf.DUMMYFUNCTION("""COMPUTED_VALUE"""),"DRAMÉ")</f>
        <v>DRAMÉ</v>
      </c>
      <c r="C194" s="1" t="str">
        <f ca="1">IFERROR(__xludf.DUMMYFUNCTION("""COMPUTED_VALUE"""),"Assia")</f>
        <v>Assia</v>
      </c>
      <c r="D194" s="1" t="str">
        <f ca="1">IFERROR(__xludf.DUMMYFUNCTION("""COMPUTED_VALUE"""),"1652E1")</f>
        <v>1652E1</v>
      </c>
      <c r="E194" s="2">
        <f ca="1">IFERROR(__xludf.DUMMYFUNCTION("""COMPUTED_VALUE"""),42299)</f>
        <v>42299</v>
      </c>
      <c r="F194" s="1" t="str">
        <f ca="1">IFERROR(__xludf.DUMMYFUNCTION("""COMPUTED_VALUE"""),"CM2B")</f>
        <v>CM2B</v>
      </c>
      <c r="G194" s="1" t="str">
        <f ca="1">IFERROR(__xludf.DUMMYFUNCTION("""COMPUTED_VALUE"""),"CM2")</f>
        <v>CM2</v>
      </c>
      <c r="H194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194" s="1"/>
      <c r="J194" s="1"/>
      <c r="K194" s="1"/>
      <c r="L194" s="1"/>
      <c r="M194" s="1"/>
      <c r="N194" s="1" t="str">
        <f ca="1">IFERROR(__xludf.DUMMYFUNCTION("""COMPUTED_VALUE"""),"Fille")</f>
        <v>Fille</v>
      </c>
      <c r="O194" s="1"/>
      <c r="P194" s="1" t="str">
        <f ca="1">IFERROR(__xludf.DUMMYFUNCTION("""COMPUTED_VALUE"""),"FRANCE")</f>
        <v>FRANCE</v>
      </c>
      <c r="Q194" s="1"/>
      <c r="R194" s="1"/>
      <c r="S194" s="1" t="str">
        <f ca="1">IFERROR(__xludf.DUMMYFUNCTION("""COMPUTED_VALUE"""),"+221 76 472 41 01")</f>
        <v>+221 76 472 41 01</v>
      </c>
      <c r="T194" s="1" t="str">
        <f ca="1">IFERROR(__xludf.DUMMYFUNCTION("""COMPUTED_VALUE"""),"DRAMÉ Claire")</f>
        <v>DRAMÉ Claire</v>
      </c>
      <c r="U194" s="1" t="str">
        <f ca="1">IFERROR(__xludf.DUMMYFUNCTION("""COMPUTED_VALUE"""),"DRAME Yamadou")</f>
        <v>DRAME Yamadou</v>
      </c>
      <c r="V194" s="1" t="str">
        <f ca="1">IFERROR(__xludf.DUMMYFUNCTION("""COMPUTED_VALUE"""),"clairedrame2@gmail.com")</f>
        <v>clairedrame2@gmail.com</v>
      </c>
      <c r="W194" s="1" t="str">
        <f ca="1">IFERROR(__xludf.DUMMYFUNCTION("""COMPUTED_VALUE"""),"yamdrame@gmail.com")</f>
        <v>yamdrame@gmail.com</v>
      </c>
      <c r="X194" s="1" t="str">
        <f ca="1">IFERROR(__xludf.DUMMYFUNCTION("""COMPUTED_VALUE"""),"+33 6 61 82 99 07")</f>
        <v>+33 6 61 82 99 07</v>
      </c>
      <c r="Y194" s="1" t="str">
        <f ca="1">IFERROR(__xludf.DUMMYFUNCTION("""COMPUTED_VALUE"""),"+221 76 472 40 91")</f>
        <v>+221 76 472 40 91</v>
      </c>
      <c r="Z194" s="1" t="str">
        <f ca="1">IFERROR(__xludf.DUMMYFUNCTION("""COMPUTED_VALUE"""),"+221 76 472 41 01")</f>
        <v>+221 76 472 41 01</v>
      </c>
      <c r="AA194" s="1" t="str">
        <f ca="1">IFERROR(__xludf.DUMMYFUNCTION("""COMPUTED_VALUE"""),"+221 76 472 40 91")</f>
        <v>+221 76 472 40 91</v>
      </c>
      <c r="AB194" s="2">
        <f ca="1">IFERROR(__xludf.DUMMYFUNCTION("""COMPUTED_VALUE"""),31376)</f>
        <v>31376</v>
      </c>
      <c r="AC194" s="2">
        <f ca="1">IFERROR(__xludf.DUMMYFUNCTION("""COMPUTED_VALUE"""),32553)</f>
        <v>32553</v>
      </c>
      <c r="AD194" s="1" t="str">
        <f ca="1">IFERROR(__xludf.DUMMYFUNCTION("""COMPUTED_VALUE"""),"MERE")</f>
        <v>MERE</v>
      </c>
      <c r="AE194" s="1" t="str">
        <f ca="1">IFERROR(__xludf.DUMMYFUNCTION("""COMPUTED_VALUE"""),"PERE")</f>
        <v>PERE</v>
      </c>
      <c r="AF194" s="1" t="str">
        <f ca="1">IFERROR(__xludf.DUMMYFUNCTION("""COMPUTED_VALUE"""),"FRANCE")</f>
        <v>FRANCE</v>
      </c>
      <c r="AG194" s="1" t="str">
        <f ca="1">IFERROR(__xludf.DUMMYFUNCTION("""COMPUTED_VALUE"""),"FRANCE")</f>
        <v>FRANCE</v>
      </c>
      <c r="AH194" s="1"/>
      <c r="AI194" s="1" t="str">
        <f ca="1">IFERROR(__xludf.DUMMYFUNCTION("""COMPUTED_VALUE"""),"SENEGAL")</f>
        <v>SENEGAL</v>
      </c>
      <c r="AJ194" s="1" t="str">
        <f ca="1">IFERROR(__xludf.DUMMYFUNCTION("""COMPUTED_VALUE"""),"F1652")</f>
        <v>F1652</v>
      </c>
      <c r="AK194" s="1" t="str">
        <f ca="1">IFERROR(__xludf.DUMMYFUNCTION("""COMPUTED_VALUE"""),"Marié(e)")</f>
        <v>Marié(e)</v>
      </c>
      <c r="AL194" s="1" t="str">
        <f ca="1">IFERROR(__xludf.DUMMYFUNCTION("""COMPUTED_VALUE"""),"Marié(e)")</f>
        <v>Marié(e)</v>
      </c>
      <c r="AM194" s="1" t="str">
        <f ca="1">IFERROR(__xludf.DUMMYFUNCTION("""COMPUTED_VALUE"""),"F1652")</f>
        <v>F1652</v>
      </c>
    </row>
    <row r="195" spans="1:39" ht="13" x14ac:dyDescent="0.15">
      <c r="A195" s="1" t="str">
        <f ca="1">IFERROR(__xludf.DUMMYFUNCTION("""COMPUTED_VALUE"""),"DRAMÉ Ismaël  Mamadou")</f>
        <v>DRAMÉ Ismaël  Mamadou</v>
      </c>
      <c r="B195" s="1" t="str">
        <f ca="1">IFERROR(__xludf.DUMMYFUNCTION("""COMPUTED_VALUE"""),"DRAMÉ")</f>
        <v>DRAMÉ</v>
      </c>
      <c r="C195" s="1" t="str">
        <f ca="1">IFERROR(__xludf.DUMMYFUNCTION("""COMPUTED_VALUE"""),"Ismaël  Mamadou")</f>
        <v>Ismaël  Mamadou</v>
      </c>
      <c r="D195" s="1" t="str">
        <f ca="1">IFERROR(__xludf.DUMMYFUNCTION("""COMPUTED_VALUE"""),"1652E2")</f>
        <v>1652E2</v>
      </c>
      <c r="E195" s="2">
        <f ca="1">IFERROR(__xludf.DUMMYFUNCTION("""COMPUTED_VALUE"""),43237)</f>
        <v>43237</v>
      </c>
      <c r="F195" s="1" t="str">
        <f ca="1">IFERROR(__xludf.DUMMYFUNCTION("""COMPUTED_VALUE"""),"CE1A")</f>
        <v>CE1A</v>
      </c>
      <c r="G195" s="1" t="str">
        <f ca="1">IFERROR(__xludf.DUMMYFUNCTION("""COMPUTED_VALUE"""),"CE1")</f>
        <v>CE1</v>
      </c>
      <c r="H195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195" s="1"/>
      <c r="J195" s="1"/>
      <c r="K195" s="1"/>
      <c r="L195" s="1"/>
      <c r="M195" s="1"/>
      <c r="N195" s="1" t="str">
        <f ca="1">IFERROR(__xludf.DUMMYFUNCTION("""COMPUTED_VALUE"""),"Garçon")</f>
        <v>Garçon</v>
      </c>
      <c r="O195" s="1"/>
      <c r="P195" s="1" t="str">
        <f ca="1">IFERROR(__xludf.DUMMYFUNCTION("""COMPUTED_VALUE"""),"FRANCE")</f>
        <v>FRANCE</v>
      </c>
      <c r="Q195" s="1"/>
      <c r="R195" s="1"/>
      <c r="S195" s="1"/>
      <c r="T195" s="1" t="str">
        <f ca="1">IFERROR(__xludf.DUMMYFUNCTION("""COMPUTED_VALUE"""),"DRAMÉ Claire")</f>
        <v>DRAMÉ Claire</v>
      </c>
      <c r="U195" s="1" t="str">
        <f ca="1">IFERROR(__xludf.DUMMYFUNCTION("""COMPUTED_VALUE"""),"DRAME Yamadou")</f>
        <v>DRAME Yamadou</v>
      </c>
      <c r="V195" s="1" t="str">
        <f ca="1">IFERROR(__xludf.DUMMYFUNCTION("""COMPUTED_VALUE"""),"clairedrame2@gmail.com")</f>
        <v>clairedrame2@gmail.com</v>
      </c>
      <c r="W195" s="1" t="str">
        <f ca="1">IFERROR(__xludf.DUMMYFUNCTION("""COMPUTED_VALUE"""),"yamdrame@gmail.com")</f>
        <v>yamdrame@gmail.com</v>
      </c>
      <c r="X195" s="1" t="str">
        <f ca="1">IFERROR(__xludf.DUMMYFUNCTION("""COMPUTED_VALUE"""),"+33 6 61 82 99 07")</f>
        <v>+33 6 61 82 99 07</v>
      </c>
      <c r="Y195" s="1" t="str">
        <f ca="1">IFERROR(__xludf.DUMMYFUNCTION("""COMPUTED_VALUE"""),"+221 76 472 40 91")</f>
        <v>+221 76 472 40 91</v>
      </c>
      <c r="Z195" s="1" t="str">
        <f ca="1">IFERROR(__xludf.DUMMYFUNCTION("""COMPUTED_VALUE"""),"+221 76 472 41 01")</f>
        <v>+221 76 472 41 01</v>
      </c>
      <c r="AA195" s="1" t="str">
        <f ca="1">IFERROR(__xludf.DUMMYFUNCTION("""COMPUTED_VALUE"""),"+221 76 472 40 91")</f>
        <v>+221 76 472 40 91</v>
      </c>
      <c r="AB195" s="2">
        <f ca="1">IFERROR(__xludf.DUMMYFUNCTION("""COMPUTED_VALUE"""),31376)</f>
        <v>31376</v>
      </c>
      <c r="AC195" s="2">
        <f ca="1">IFERROR(__xludf.DUMMYFUNCTION("""COMPUTED_VALUE"""),32553)</f>
        <v>32553</v>
      </c>
      <c r="AD195" s="1" t="str">
        <f ca="1">IFERROR(__xludf.DUMMYFUNCTION("""COMPUTED_VALUE"""),"MERE")</f>
        <v>MERE</v>
      </c>
      <c r="AE195" s="1" t="str">
        <f ca="1">IFERROR(__xludf.DUMMYFUNCTION("""COMPUTED_VALUE"""),"MERE")</f>
        <v>MERE</v>
      </c>
      <c r="AF195" s="1" t="str">
        <f ca="1">IFERROR(__xludf.DUMMYFUNCTION("""COMPUTED_VALUE"""),"FRANCE")</f>
        <v>FRANCE</v>
      </c>
      <c r="AG195" s="1" t="str">
        <f ca="1">IFERROR(__xludf.DUMMYFUNCTION("""COMPUTED_VALUE"""),"FRANCE")</f>
        <v>FRANCE</v>
      </c>
      <c r="AH195" s="1"/>
      <c r="AI195" s="1" t="str">
        <f ca="1">IFERROR(__xludf.DUMMYFUNCTION("""COMPUTED_VALUE"""),"SENEGAL")</f>
        <v>SENEGAL</v>
      </c>
      <c r="AJ195" s="1" t="str">
        <f ca="1">IFERROR(__xludf.DUMMYFUNCTION("""COMPUTED_VALUE"""),"F1652")</f>
        <v>F1652</v>
      </c>
      <c r="AK195" s="1" t="str">
        <f ca="1">IFERROR(__xludf.DUMMYFUNCTION("""COMPUTED_VALUE"""),"Marié(e)")</f>
        <v>Marié(e)</v>
      </c>
      <c r="AL195" s="1" t="str">
        <f ca="1">IFERROR(__xludf.DUMMYFUNCTION("""COMPUTED_VALUE"""),"Marié(e)")</f>
        <v>Marié(e)</v>
      </c>
      <c r="AM195" s="1" t="str">
        <f ca="1">IFERROR(__xludf.DUMMYFUNCTION("""COMPUTED_VALUE"""),"F1652")</f>
        <v>F1652</v>
      </c>
    </row>
    <row r="196" spans="1:39" ht="13" x14ac:dyDescent="0.15">
      <c r="A196" s="1" t="str">
        <f ca="1">IFERROR(__xludf.DUMMYFUNCTION("""COMPUTED_VALUE"""),"DRAME Ndieme")</f>
        <v>DRAME Ndieme</v>
      </c>
      <c r="B196" s="1" t="str">
        <f ca="1">IFERROR(__xludf.DUMMYFUNCTION("""COMPUTED_VALUE"""),"DRAME")</f>
        <v>DRAME</v>
      </c>
      <c r="C196" s="1" t="str">
        <f ca="1">IFERROR(__xludf.DUMMYFUNCTION("""COMPUTED_VALUE"""),"Ndieme")</f>
        <v>Ndieme</v>
      </c>
      <c r="D196" s="1" t="str">
        <f ca="1">IFERROR(__xludf.DUMMYFUNCTION("""COMPUTED_VALUE"""),"11829S2628")</f>
        <v>11829S2628</v>
      </c>
      <c r="E196" s="2">
        <f ca="1">IFERROR(__xludf.DUMMYFUNCTION("""COMPUTED_VALUE"""),40206)</f>
        <v>40206</v>
      </c>
      <c r="F196" s="1" t="str">
        <f ca="1">IFERROR(__xludf.DUMMYFUNCTION("""COMPUTED_VALUE"""),"2NDE2")</f>
        <v>2NDE2</v>
      </c>
      <c r="G196" s="1" t="str">
        <f ca="1">IFERROR(__xludf.DUMMYFUNCTION("""COMPUTED_VALUE"""),"2nde")</f>
        <v>2nde</v>
      </c>
      <c r="H196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196" s="1" t="str">
        <f ca="1">IFERROR(__xludf.DUMMYFUNCTION("""COMPUTED_VALUE"""),"LVA Anglais")</f>
        <v>LVA Anglais</v>
      </c>
      <c r="J196" s="1" t="str">
        <f ca="1">IFERROR(__xludf.DUMMYFUNCTION("""COMPUTED_VALUE"""),"LVB Espagnol")</f>
        <v>LVB Espagnol</v>
      </c>
      <c r="K196" s="1"/>
      <c r="L196" s="1"/>
      <c r="M196" s="1"/>
      <c r="N196" s="1" t="str">
        <f ca="1">IFERROR(__xludf.DUMMYFUNCTION("""COMPUTED_VALUE"""),"Fille")</f>
        <v>Fille</v>
      </c>
      <c r="O196" s="1"/>
      <c r="P196" s="1" t="str">
        <f ca="1">IFERROR(__xludf.DUMMYFUNCTION("""COMPUTED_VALUE"""),"FRANCE")</f>
        <v>FRANCE</v>
      </c>
      <c r="Q196" s="1" t="str">
        <f ca="1">IFERROR(__xludf.DUMMYFUNCTION("""COMPUTED_VALUE"""),"SENEGAL")</f>
        <v>SENEGAL</v>
      </c>
      <c r="R196" s="1" t="str">
        <f ca="1">IFERROR(__xludf.DUMMYFUNCTION("""COMPUTED_VALUE"""),"ndieme.drame@lfjpsaly.org")</f>
        <v>ndieme.drame@lfjpsaly.org</v>
      </c>
      <c r="S196" s="1" t="str">
        <f ca="1">IFERROR(__xludf.DUMMYFUNCTION("""COMPUTED_VALUE"""),"+221 77 807 18 26")</f>
        <v>+221 77 807 18 26</v>
      </c>
      <c r="T196" s="1" t="str">
        <f ca="1">IFERROR(__xludf.DUMMYFUNCTION("""COMPUTED_VALUE"""),"DRAME Assane")</f>
        <v>DRAME Assane</v>
      </c>
      <c r="U196" s="1" t="str">
        <f ca="1">IFERROR(__xludf.DUMMYFUNCTION("""COMPUTED_VALUE"""),"SY Aichatou")</f>
        <v>SY Aichatou</v>
      </c>
      <c r="V196" s="1" t="str">
        <f ca="1">IFERROR(__xludf.DUMMYFUNCTION("""COMPUTED_VALUE"""),"assane.drame221@gmail.com")</f>
        <v>assane.drame221@gmail.com</v>
      </c>
      <c r="W196" s="1" t="str">
        <f ca="1">IFERROR(__xludf.DUMMYFUNCTION("""COMPUTED_VALUE"""),"bibiass221@gmail.com")</f>
        <v>bibiass221@gmail.com</v>
      </c>
      <c r="X196" s="1" t="str">
        <f ca="1">IFERROR(__xludf.DUMMYFUNCTION("""COMPUTED_VALUE"""),"+221 77 519 44 71")</f>
        <v>+221 77 519 44 71</v>
      </c>
      <c r="Y196" s="1" t="str">
        <f ca="1">IFERROR(__xludf.DUMMYFUNCTION("""COMPUTED_VALUE"""),"+221 77 519 44 71")</f>
        <v>+221 77 519 44 71</v>
      </c>
      <c r="Z196" s="1" t="str">
        <f ca="1">IFERROR(__xludf.DUMMYFUNCTION("""COMPUTED_VALUE"""),"+221 77 807 18 26")</f>
        <v>+221 77 807 18 26</v>
      </c>
      <c r="AA196" s="1" t="str">
        <f ca="1">IFERROR(__xludf.DUMMYFUNCTION("""COMPUTED_VALUE"""),"+221")</f>
        <v>+221</v>
      </c>
      <c r="AB196" s="2">
        <f ca="1">IFERROR(__xludf.DUMMYFUNCTION("""COMPUTED_VALUE"""),28474)</f>
        <v>28474</v>
      </c>
      <c r="AC196" s="2">
        <f ca="1">IFERROR(__xludf.DUMMYFUNCTION("""COMPUTED_VALUE"""),29627)</f>
        <v>29627</v>
      </c>
      <c r="AD196" s="1" t="str">
        <f ca="1">IFERROR(__xludf.DUMMYFUNCTION("""COMPUTED_VALUE"""),"PERE")</f>
        <v>PERE</v>
      </c>
      <c r="AE196" s="1" t="str">
        <f ca="1">IFERROR(__xludf.DUMMYFUNCTION("""COMPUTED_VALUE"""),"MERE")</f>
        <v>MERE</v>
      </c>
      <c r="AF196" s="1" t="str">
        <f ca="1">IFERROR(__xludf.DUMMYFUNCTION("""COMPUTED_VALUE"""),"FRANCE")</f>
        <v>FRANCE</v>
      </c>
      <c r="AG196" s="1" t="str">
        <f ca="1">IFERROR(__xludf.DUMMYFUNCTION("""COMPUTED_VALUE"""),"SENEGAL")</f>
        <v>SENEGAL</v>
      </c>
      <c r="AH196" s="1" t="str">
        <f ca="1">IFERROR(__xludf.DUMMYFUNCTION("""COMPUTED_VALUE"""),"SENEGAL")</f>
        <v>SENEGAL</v>
      </c>
      <c r="AI196" s="1"/>
      <c r="AJ196" s="1" t="str">
        <f ca="1">IFERROR(__xludf.DUMMYFUNCTION("""COMPUTED_VALUE"""),"U11829")</f>
        <v>U11829</v>
      </c>
      <c r="AK196" s="1" t="str">
        <f ca="1">IFERROR(__xludf.DUMMYFUNCTION("""COMPUTED_VALUE"""),"Marié(e)")</f>
        <v>Marié(e)</v>
      </c>
      <c r="AL196" s="1" t="str">
        <f ca="1">IFERROR(__xludf.DUMMYFUNCTION("""COMPUTED_VALUE"""),"Marié(e)")</f>
        <v>Marié(e)</v>
      </c>
      <c r="AM196" s="1" t="str">
        <f ca="1">IFERROR(__xludf.DUMMYFUNCTION("""COMPUTED_VALUE"""),"U11829")</f>
        <v>U11829</v>
      </c>
    </row>
    <row r="197" spans="1:39" ht="13" x14ac:dyDescent="0.15">
      <c r="A197" s="1" t="str">
        <f ca="1">IFERROR(__xludf.DUMMYFUNCTION("""COMPUTED_VALUE"""),"DRAMÉ Noam")</f>
        <v>DRAMÉ Noam</v>
      </c>
      <c r="B197" s="1" t="str">
        <f ca="1">IFERROR(__xludf.DUMMYFUNCTION("""COMPUTED_VALUE"""),"DRAMÉ")</f>
        <v>DRAMÉ</v>
      </c>
      <c r="C197" s="1" t="str">
        <f ca="1">IFERROR(__xludf.DUMMYFUNCTION("""COMPUTED_VALUE"""),"Noam")</f>
        <v>Noam</v>
      </c>
      <c r="D197" s="1" t="str">
        <f ca="1">IFERROR(__xludf.DUMMYFUNCTION("""COMPUTED_VALUE"""),"1652E3")</f>
        <v>1652E3</v>
      </c>
      <c r="E197" s="2">
        <f ca="1">IFERROR(__xludf.DUMMYFUNCTION("""COMPUTED_VALUE"""),43853)</f>
        <v>43853</v>
      </c>
      <c r="F197" s="1" t="str">
        <f ca="1">IFERROR(__xludf.DUMMYFUNCTION("""COMPUTED_VALUE"""),"Mat 3")</f>
        <v>Mat 3</v>
      </c>
      <c r="G197" s="1" t="str">
        <f ca="1">IFERROR(__xludf.DUMMYFUNCTION("""COMPUTED_VALUE"""),"GS")</f>
        <v>GS</v>
      </c>
      <c r="H197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197" s="1"/>
      <c r="J197" s="1"/>
      <c r="K197" s="1"/>
      <c r="L197" s="1"/>
      <c r="M197" s="1"/>
      <c r="N197" s="1" t="str">
        <f ca="1">IFERROR(__xludf.DUMMYFUNCTION("""COMPUTED_VALUE"""),"Garçon")</f>
        <v>Garçon</v>
      </c>
      <c r="O197" s="1"/>
      <c r="P197" s="1" t="str">
        <f ca="1">IFERROR(__xludf.DUMMYFUNCTION("""COMPUTED_VALUE"""),"FRANCE")</f>
        <v>FRANCE</v>
      </c>
      <c r="Q197" s="1"/>
      <c r="R197" s="1"/>
      <c r="S197" s="1"/>
      <c r="T197" s="1" t="str">
        <f ca="1">IFERROR(__xludf.DUMMYFUNCTION("""COMPUTED_VALUE"""),"DRAMÉ Claire")</f>
        <v>DRAMÉ Claire</v>
      </c>
      <c r="U197" s="1" t="str">
        <f ca="1">IFERROR(__xludf.DUMMYFUNCTION("""COMPUTED_VALUE"""),"DRAME Yamadou")</f>
        <v>DRAME Yamadou</v>
      </c>
      <c r="V197" s="1" t="str">
        <f ca="1">IFERROR(__xludf.DUMMYFUNCTION("""COMPUTED_VALUE"""),"clairedrame2@gmail.com")</f>
        <v>clairedrame2@gmail.com</v>
      </c>
      <c r="W197" s="1" t="str">
        <f ca="1">IFERROR(__xludf.DUMMYFUNCTION("""COMPUTED_VALUE"""),"yamdrame@gmail.com")</f>
        <v>yamdrame@gmail.com</v>
      </c>
      <c r="X197" s="1" t="str">
        <f ca="1">IFERROR(__xludf.DUMMYFUNCTION("""COMPUTED_VALUE"""),"+33 6 61 82 99 07")</f>
        <v>+33 6 61 82 99 07</v>
      </c>
      <c r="Y197" s="1" t="str">
        <f ca="1">IFERROR(__xludf.DUMMYFUNCTION("""COMPUTED_VALUE"""),"+221 76 472 40 91")</f>
        <v>+221 76 472 40 91</v>
      </c>
      <c r="Z197" s="1" t="str">
        <f ca="1">IFERROR(__xludf.DUMMYFUNCTION("""COMPUTED_VALUE"""),"+221 76 472 41 01")</f>
        <v>+221 76 472 41 01</v>
      </c>
      <c r="AA197" s="1" t="str">
        <f ca="1">IFERROR(__xludf.DUMMYFUNCTION("""COMPUTED_VALUE"""),"+221 76 472 40 91")</f>
        <v>+221 76 472 40 91</v>
      </c>
      <c r="AB197" s="2">
        <f ca="1">IFERROR(__xludf.DUMMYFUNCTION("""COMPUTED_VALUE"""),31376)</f>
        <v>31376</v>
      </c>
      <c r="AC197" s="2">
        <f ca="1">IFERROR(__xludf.DUMMYFUNCTION("""COMPUTED_VALUE"""),32553)</f>
        <v>32553</v>
      </c>
      <c r="AD197" s="1" t="str">
        <f ca="1">IFERROR(__xludf.DUMMYFUNCTION("""COMPUTED_VALUE"""),"MERE")</f>
        <v>MERE</v>
      </c>
      <c r="AE197" s="1" t="str">
        <f ca="1">IFERROR(__xludf.DUMMYFUNCTION("""COMPUTED_VALUE"""),"PERE")</f>
        <v>PERE</v>
      </c>
      <c r="AF197" s="1" t="str">
        <f ca="1">IFERROR(__xludf.DUMMYFUNCTION("""COMPUTED_VALUE"""),"FRANCE")</f>
        <v>FRANCE</v>
      </c>
      <c r="AG197" s="1" t="str">
        <f ca="1">IFERROR(__xludf.DUMMYFUNCTION("""COMPUTED_VALUE"""),"FRANCE")</f>
        <v>FRANCE</v>
      </c>
      <c r="AH197" s="1"/>
      <c r="AI197" s="1" t="str">
        <f ca="1">IFERROR(__xludf.DUMMYFUNCTION("""COMPUTED_VALUE"""),"SENEGAL")</f>
        <v>SENEGAL</v>
      </c>
      <c r="AJ197" s="1" t="str">
        <f ca="1">IFERROR(__xludf.DUMMYFUNCTION("""COMPUTED_VALUE"""),"F1652")</f>
        <v>F1652</v>
      </c>
      <c r="AK197" s="1" t="str">
        <f ca="1">IFERROR(__xludf.DUMMYFUNCTION("""COMPUTED_VALUE"""),"Marié(e)")</f>
        <v>Marié(e)</v>
      </c>
      <c r="AL197" s="1" t="str">
        <f ca="1">IFERROR(__xludf.DUMMYFUNCTION("""COMPUTED_VALUE"""),"Marié(e)")</f>
        <v>Marié(e)</v>
      </c>
      <c r="AM197" s="1" t="str">
        <f ca="1">IFERROR(__xludf.DUMMYFUNCTION("""COMPUTED_VALUE"""),"F1652")</f>
        <v>F1652</v>
      </c>
    </row>
    <row r="198" spans="1:39" ht="13" x14ac:dyDescent="0.15">
      <c r="A198" s="1" t="str">
        <f ca="1">IFERROR(__xludf.DUMMYFUNCTION("""COMPUTED_VALUE"""),"DUBOIS Sael")</f>
        <v>DUBOIS Sael</v>
      </c>
      <c r="B198" s="1" t="str">
        <f ca="1">IFERROR(__xludf.DUMMYFUNCTION("""COMPUTED_VALUE"""),"DUBOIS")</f>
        <v>DUBOIS</v>
      </c>
      <c r="C198" s="1" t="str">
        <f ca="1">IFERROR(__xludf.DUMMYFUNCTION("""COMPUTED_VALUE"""),"Sael")</f>
        <v>Sael</v>
      </c>
      <c r="D198" s="1" t="str">
        <f ca="1">IFERROR(__xludf.DUMMYFUNCTION("""COMPUTED_VALUE"""),"1514E1")</f>
        <v>1514E1</v>
      </c>
      <c r="E198" s="2">
        <f ca="1">IFERROR(__xludf.DUMMYFUNCTION("""COMPUTED_VALUE"""),42607)</f>
        <v>42607</v>
      </c>
      <c r="F198" s="1" t="str">
        <f ca="1">IFERROR(__xludf.DUMMYFUNCTION("""COMPUTED_VALUE"""),"CM1A")</f>
        <v>CM1A</v>
      </c>
      <c r="G198" s="1" t="str">
        <f ca="1">IFERROR(__xludf.DUMMYFUNCTION("""COMPUTED_VALUE"""),"CM1")</f>
        <v>CM1</v>
      </c>
      <c r="H198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198" s="1"/>
      <c r="J198" s="1"/>
      <c r="K198" s="1"/>
      <c r="L198" s="1"/>
      <c r="M198" s="1"/>
      <c r="N198" s="1" t="str">
        <f ca="1">IFERROR(__xludf.DUMMYFUNCTION("""COMPUTED_VALUE"""),"Garçon")</f>
        <v>Garçon</v>
      </c>
      <c r="O198" s="1"/>
      <c r="P198" s="1" t="str">
        <f ca="1">IFERROR(__xludf.DUMMYFUNCTION("""COMPUTED_VALUE"""),"FRANCE")</f>
        <v>FRANCE</v>
      </c>
      <c r="Q198" s="1"/>
      <c r="R198" s="1"/>
      <c r="S198" s="1"/>
      <c r="T198" s="1" t="str">
        <f ca="1">IFERROR(__xludf.DUMMYFUNCTION("""COMPUTED_VALUE"""),"AL HAWI AL MASRI Deborah")</f>
        <v>AL HAWI AL MASRI Deborah</v>
      </c>
      <c r="U198" s="1" t="str">
        <f ca="1">IFERROR(__xludf.DUMMYFUNCTION("""COMPUTED_VALUE"""),"DUBOIS Olivier")</f>
        <v>DUBOIS Olivier</v>
      </c>
      <c r="V198" s="1" t="str">
        <f ca="1">IFERROR(__xludf.DUMMYFUNCTION("""COMPUTED_VALUE"""),"deborah.alhawialmasri@ehsafricalogistics.com")</f>
        <v>deborah.alhawialmasri@ehsafricalogistics.com</v>
      </c>
      <c r="W198" s="1" t="str">
        <f ca="1">IFERROR(__xludf.DUMMYFUNCTION("""COMPUTED_VALUE"""),"mikhoyan@gmail.com")</f>
        <v>mikhoyan@gmail.com</v>
      </c>
      <c r="X198" s="1" t="str">
        <f ca="1">IFERROR(__xludf.DUMMYFUNCTION("""COMPUTED_VALUE"""),"+221 78 913 25 61")</f>
        <v>+221 78 913 25 61</v>
      </c>
      <c r="Y198" s="1" t="str">
        <f ca="1">IFERROR(__xludf.DUMMYFUNCTION("""COMPUTED_VALUE"""),"+33 7 44 22 43 78")</f>
        <v>+33 7 44 22 43 78</v>
      </c>
      <c r="Z198" s="1" t="str">
        <f ca="1">IFERROR(__xludf.DUMMYFUNCTION("""COMPUTED_VALUE"""),"+221 78 913 25 61")</f>
        <v>+221 78 913 25 61</v>
      </c>
      <c r="AA198" s="1"/>
      <c r="AB198" s="2">
        <f ca="1">IFERROR(__xludf.DUMMYFUNCTION("""COMPUTED_VALUE"""),31499)</f>
        <v>31499</v>
      </c>
      <c r="AC198" s="2">
        <f ca="1">IFERROR(__xludf.DUMMYFUNCTION("""COMPUTED_VALUE"""),27247)</f>
        <v>27247</v>
      </c>
      <c r="AD198" s="1" t="str">
        <f ca="1">IFERROR(__xludf.DUMMYFUNCTION("""COMPUTED_VALUE"""),"MERE")</f>
        <v>MERE</v>
      </c>
      <c r="AE198" s="1" t="str">
        <f ca="1">IFERROR(__xludf.DUMMYFUNCTION("""COMPUTED_VALUE"""),"PERE")</f>
        <v>PERE</v>
      </c>
      <c r="AF198" s="1" t="str">
        <f ca="1">IFERROR(__xludf.DUMMYFUNCTION("""COMPUTED_VALUE"""),"FRANCE")</f>
        <v>FRANCE</v>
      </c>
      <c r="AG198" s="1" t="str">
        <f ca="1">IFERROR(__xludf.DUMMYFUNCTION("""COMPUTED_VALUE"""),"FRANCE")</f>
        <v>FRANCE</v>
      </c>
      <c r="AH198" s="1"/>
      <c r="AI198" s="1"/>
      <c r="AJ198" s="1" t="str">
        <f ca="1">IFERROR(__xludf.DUMMYFUNCTION("""COMPUTED_VALUE"""),"F1514")</f>
        <v>F1514</v>
      </c>
      <c r="AK198" s="1" t="str">
        <f ca="1">IFERROR(__xludf.DUMMYFUNCTION("""COMPUTED_VALUE"""),"Célibataire")</f>
        <v>Célibataire</v>
      </c>
      <c r="AL198" s="1" t="str">
        <f ca="1">IFERROR(__xludf.DUMMYFUNCTION("""COMPUTED_VALUE"""),"Marié(e)")</f>
        <v>Marié(e)</v>
      </c>
      <c r="AM198" s="1" t="str">
        <f ca="1">IFERROR(__xludf.DUMMYFUNCTION("""COMPUTED_VALUE"""),"F1514")</f>
        <v>F1514</v>
      </c>
    </row>
    <row r="199" spans="1:39" ht="13" x14ac:dyDescent="0.15">
      <c r="A199" s="1" t="str">
        <f ca="1">IFERROR(__xludf.DUMMYFUNCTION("""COMPUTED_VALUE"""),"EID Melina")</f>
        <v>EID Melina</v>
      </c>
      <c r="B199" s="1" t="str">
        <f ca="1">IFERROR(__xludf.DUMMYFUNCTION("""COMPUTED_VALUE"""),"EID")</f>
        <v>EID</v>
      </c>
      <c r="C199" s="1" t="str">
        <f ca="1">IFERROR(__xludf.DUMMYFUNCTION("""COMPUTED_VALUE"""),"Melina")</f>
        <v>Melina</v>
      </c>
      <c r="D199" s="1" t="str">
        <f ca="1">IFERROR(__xludf.DUMMYFUNCTION("""COMPUTED_VALUE"""),"1296E1")</f>
        <v>1296E1</v>
      </c>
      <c r="E199" s="2">
        <f ca="1">IFERROR(__xludf.DUMMYFUNCTION("""COMPUTED_VALUE"""),44407)</f>
        <v>44407</v>
      </c>
      <c r="F199" s="1" t="str">
        <f ca="1">IFERROR(__xludf.DUMMYFUNCTION("""COMPUTED_VALUE"""),"Mat 3")</f>
        <v>Mat 3</v>
      </c>
      <c r="G199" s="1" t="str">
        <f ca="1">IFERROR(__xludf.DUMMYFUNCTION("""COMPUTED_VALUE"""),"MS")</f>
        <v>MS</v>
      </c>
      <c r="H199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199" s="1"/>
      <c r="J199" s="1"/>
      <c r="K199" s="1"/>
      <c r="L199" s="1"/>
      <c r="M199" s="1"/>
      <c r="N199" s="1" t="str">
        <f ca="1">IFERROR(__xludf.DUMMYFUNCTION("""COMPUTED_VALUE"""),"Fille")</f>
        <v>Fille</v>
      </c>
      <c r="O199" s="1"/>
      <c r="P199" s="1" t="str">
        <f ca="1">IFERROR(__xludf.DUMMYFUNCTION("""COMPUTED_VALUE"""),"FRANCE")</f>
        <v>FRANCE</v>
      </c>
      <c r="Q199" s="1"/>
      <c r="R199" s="1"/>
      <c r="S199" s="1"/>
      <c r="T199" s="1" t="str">
        <f ca="1">IFERROR(__xludf.DUMMYFUNCTION("""COMPUTED_VALUE"""),"EID Albert")</f>
        <v>EID Albert</v>
      </c>
      <c r="U199" s="1" t="str">
        <f ca="1">IFERROR(__xludf.DUMMYFUNCTION("""COMPUTED_VALUE"""),"EID Morgane")</f>
        <v>EID Morgane</v>
      </c>
      <c r="V199" s="1" t="str">
        <f ca="1">IFERROR(__xludf.DUMMYFUNCTION("""COMPUTED_VALUE"""),"eid.albert77@gmail.com")</f>
        <v>eid.albert77@gmail.com</v>
      </c>
      <c r="W199" s="1" t="str">
        <f ca="1">IFERROR(__xludf.DUMMYFUNCTION("""COMPUTED_VALUE"""),"morganebakhazi@hotmail.fr")</f>
        <v>morganebakhazi@hotmail.fr</v>
      </c>
      <c r="X199" s="1" t="str">
        <f ca="1">IFERROR(__xludf.DUMMYFUNCTION("""COMPUTED_VALUE"""),"775321644")</f>
        <v>775321644</v>
      </c>
      <c r="Y199" s="1" t="str">
        <f ca="1">IFERROR(__xludf.DUMMYFUNCTION("""COMPUTED_VALUE"""),"774547010")</f>
        <v>774547010</v>
      </c>
      <c r="Z199" s="1"/>
      <c r="AA199" s="1"/>
      <c r="AB199" s="2">
        <f ca="1">IFERROR(__xludf.DUMMYFUNCTION("""COMPUTED_VALUE"""),32630)</f>
        <v>32630</v>
      </c>
      <c r="AC199" s="2">
        <f ca="1">IFERROR(__xludf.DUMMYFUNCTION("""COMPUTED_VALUE"""),34592)</f>
        <v>34592</v>
      </c>
      <c r="AD199" s="1" t="str">
        <f ca="1">IFERROR(__xludf.DUMMYFUNCTION("""COMPUTED_VALUE"""),"PERE")</f>
        <v>PERE</v>
      </c>
      <c r="AE199" s="1" t="str">
        <f ca="1">IFERROR(__xludf.DUMMYFUNCTION("""COMPUTED_VALUE"""),"MERE")</f>
        <v>MERE</v>
      </c>
      <c r="AF199" s="1" t="str">
        <f ca="1">IFERROR(__xludf.DUMMYFUNCTION("""COMPUTED_VALUE"""),"FRANCE")</f>
        <v>FRANCE</v>
      </c>
      <c r="AG199" s="1" t="str">
        <f ca="1">IFERROR(__xludf.DUMMYFUNCTION("""COMPUTED_VALUE"""),"FRANCE")</f>
        <v>FRANCE</v>
      </c>
      <c r="AH199" s="1"/>
      <c r="AI199" s="1"/>
      <c r="AJ199" s="1" t="str">
        <f ca="1">IFERROR(__xludf.DUMMYFUNCTION("""COMPUTED_VALUE"""),"F1296")</f>
        <v>F1296</v>
      </c>
      <c r="AK199" s="1" t="str">
        <f ca="1">IFERROR(__xludf.DUMMYFUNCTION("""COMPUTED_VALUE"""),"Marié(e)")</f>
        <v>Marié(e)</v>
      </c>
      <c r="AL199" s="1" t="str">
        <f ca="1">IFERROR(__xludf.DUMMYFUNCTION("""COMPUTED_VALUE"""),"Marié(e)")</f>
        <v>Marié(e)</v>
      </c>
      <c r="AM199" s="1" t="str">
        <f ca="1">IFERROR(__xludf.DUMMYFUNCTION("""COMPUTED_VALUE"""),"F1296")</f>
        <v>F1296</v>
      </c>
    </row>
    <row r="200" spans="1:39" ht="13" x14ac:dyDescent="0.15">
      <c r="A200" s="1" t="str">
        <f ca="1">IFERROR(__xludf.DUMMYFUNCTION("""COMPUTED_VALUE"""),"EL HADI Lyne")</f>
        <v>EL HADI Lyne</v>
      </c>
      <c r="B200" s="1" t="str">
        <f ca="1">IFERROR(__xludf.DUMMYFUNCTION("""COMPUTED_VALUE"""),"EL HADI")</f>
        <v>EL HADI</v>
      </c>
      <c r="C200" s="1" t="str">
        <f ca="1">IFERROR(__xludf.DUMMYFUNCTION("""COMPUTED_VALUE"""),"Lyne")</f>
        <v>Lyne</v>
      </c>
      <c r="D200" s="1" t="str">
        <f ca="1">IFERROR(__xludf.DUMMYFUNCTION("""COMPUTED_VALUE"""),"1297E1")</f>
        <v>1297E1</v>
      </c>
      <c r="E200" s="2">
        <f ca="1">IFERROR(__xludf.DUMMYFUNCTION("""COMPUTED_VALUE"""),43416)</f>
        <v>43416</v>
      </c>
      <c r="F200" s="1" t="str">
        <f ca="1">IFERROR(__xludf.DUMMYFUNCTION("""COMPUTED_VALUE"""),"CE1B")</f>
        <v>CE1B</v>
      </c>
      <c r="G200" s="1" t="str">
        <f ca="1">IFERROR(__xludf.DUMMYFUNCTION("""COMPUTED_VALUE"""),"CE1")</f>
        <v>CE1</v>
      </c>
      <c r="H200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200" s="1"/>
      <c r="J200" s="1"/>
      <c r="K200" s="1"/>
      <c r="L200" s="1"/>
      <c r="M200" s="1"/>
      <c r="N200" s="1" t="str">
        <f ca="1">IFERROR(__xludf.DUMMYFUNCTION("""COMPUTED_VALUE"""),"Fille")</f>
        <v>Fille</v>
      </c>
      <c r="O200" s="1"/>
      <c r="P200" s="1" t="str">
        <f ca="1">IFERROR(__xludf.DUMMYFUNCTION("""COMPUTED_VALUE"""),"LIBAN")</f>
        <v>LIBAN</v>
      </c>
      <c r="Q200" s="1" t="str">
        <f ca="1">IFERROR(__xludf.DUMMYFUNCTION("""COMPUTED_VALUE"""),"SENEGAL")</f>
        <v>SENEGAL</v>
      </c>
      <c r="R200" s="1"/>
      <c r="S200" s="1"/>
      <c r="T200" s="1" t="str">
        <f ca="1">IFERROR(__xludf.DUMMYFUNCTION("""COMPUTED_VALUE"""),"EL HADI Saria")</f>
        <v>EL HADI Saria</v>
      </c>
      <c r="U200" s="1" t="str">
        <f ca="1">IFERROR(__xludf.DUMMYFUNCTION("""COMPUTED_VALUE"""),"EL HADI Hussein")</f>
        <v>EL HADI Hussein</v>
      </c>
      <c r="V200" s="1" t="str">
        <f ca="1">IFERROR(__xludf.DUMMYFUNCTION("""COMPUTED_VALUE"""),"sariashaden@gmail.com")</f>
        <v>sariashaden@gmail.com</v>
      </c>
      <c r="W200" s="1" t="str">
        <f ca="1">IFERROR(__xludf.DUMMYFUNCTION("""COMPUTED_VALUE"""),"alinea.saly@hotmail.fr")</f>
        <v>alinea.saly@hotmail.fr</v>
      </c>
      <c r="X200" s="1" t="str">
        <f ca="1">IFERROR(__xludf.DUMMYFUNCTION("""COMPUTED_VALUE"""),"+221 77 521 68 16")</f>
        <v>+221 77 521 68 16</v>
      </c>
      <c r="Y200" s="1" t="str">
        <f ca="1">IFERROR(__xludf.DUMMYFUNCTION("""COMPUTED_VALUE"""),"+221 77 555 18 71")</f>
        <v>+221 77 555 18 71</v>
      </c>
      <c r="Z200" s="1"/>
      <c r="AA200" s="1"/>
      <c r="AB200" s="2">
        <f ca="1">IFERROR(__xludf.DUMMYFUNCTION("""COMPUTED_VALUE"""),32815)</f>
        <v>32815</v>
      </c>
      <c r="AC200" s="2">
        <f ca="1">IFERROR(__xludf.DUMMYFUNCTION("""COMPUTED_VALUE"""),20467)</f>
        <v>20467</v>
      </c>
      <c r="AD200" s="1" t="str">
        <f ca="1">IFERROR(__xludf.DUMMYFUNCTION("""COMPUTED_VALUE"""),"MERE")</f>
        <v>MERE</v>
      </c>
      <c r="AE200" s="1" t="str">
        <f ca="1">IFERROR(__xludf.DUMMYFUNCTION("""COMPUTED_VALUE"""),"PERE")</f>
        <v>PERE</v>
      </c>
      <c r="AF200" s="1" t="str">
        <f ca="1">IFERROR(__xludf.DUMMYFUNCTION("""COMPUTED_VALUE"""),"SENEGAL")</f>
        <v>SENEGAL</v>
      </c>
      <c r="AG200" s="1" t="str">
        <f ca="1">IFERROR(__xludf.DUMMYFUNCTION("""COMPUTED_VALUE"""),"SENEGAL")</f>
        <v>SENEGAL</v>
      </c>
      <c r="AH200" s="1"/>
      <c r="AI200" s="1"/>
      <c r="AJ200" s="1" t="str">
        <f ca="1">IFERROR(__xludf.DUMMYFUNCTION("""COMPUTED_VALUE"""),"F1297")</f>
        <v>F1297</v>
      </c>
      <c r="AK200" s="1" t="str">
        <f ca="1">IFERROR(__xludf.DUMMYFUNCTION("""COMPUTED_VALUE"""),"Marié(e)")</f>
        <v>Marié(e)</v>
      </c>
      <c r="AL200" s="1" t="str">
        <f ca="1">IFERROR(__xludf.DUMMYFUNCTION("""COMPUTED_VALUE"""),"Marié(e)")</f>
        <v>Marié(e)</v>
      </c>
      <c r="AM200" s="1" t="str">
        <f ca="1">IFERROR(__xludf.DUMMYFUNCTION("""COMPUTED_VALUE"""),"F1297")</f>
        <v>F1297</v>
      </c>
    </row>
    <row r="201" spans="1:39" ht="13" x14ac:dyDescent="0.15">
      <c r="A201" s="1" t="str">
        <f ca="1">IFERROR(__xludf.DUMMYFUNCTION("""COMPUTED_VALUE"""),"EL HADI Shaden")</f>
        <v>EL HADI Shaden</v>
      </c>
      <c r="B201" s="1" t="str">
        <f ca="1">IFERROR(__xludf.DUMMYFUNCTION("""COMPUTED_VALUE"""),"EL HADI")</f>
        <v>EL HADI</v>
      </c>
      <c r="C201" s="1" t="str">
        <f ca="1">IFERROR(__xludf.DUMMYFUNCTION("""COMPUTED_VALUE"""),"Shaden")</f>
        <v>Shaden</v>
      </c>
      <c r="D201" s="1" t="str">
        <f ca="1">IFERROR(__xludf.DUMMYFUNCTION("""COMPUTED_VALUE"""),"1297E2")</f>
        <v>1297E2</v>
      </c>
      <c r="E201" s="2">
        <f ca="1">IFERROR(__xludf.DUMMYFUNCTION("""COMPUTED_VALUE"""),41955)</f>
        <v>41955</v>
      </c>
      <c r="F201" s="1" t="str">
        <f ca="1">IFERROR(__xludf.DUMMYFUNCTION("""COMPUTED_VALUE"""),"6EME2")</f>
        <v>6EME2</v>
      </c>
      <c r="G201" s="1" t="str">
        <f ca="1">IFERROR(__xludf.DUMMYFUNCTION("""COMPUTED_VALUE"""),"6ème")</f>
        <v>6ème</v>
      </c>
      <c r="H201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201" s="1" t="str">
        <f ca="1">IFERROR(__xludf.DUMMYFUNCTION("""COMPUTED_VALUE"""),"LVA Anglais")</f>
        <v>LVA Anglais</v>
      </c>
      <c r="J201" s="1" t="str">
        <f ca="1">IFERROR(__xludf.DUMMYFUNCTION("""COMPUTED_VALUE"""),"LVB Espagnol")</f>
        <v>LVB Espagnol</v>
      </c>
      <c r="K201" s="1"/>
      <c r="L201" s="1"/>
      <c r="M201" s="1"/>
      <c r="N201" s="1" t="str">
        <f ca="1">IFERROR(__xludf.DUMMYFUNCTION("""COMPUTED_VALUE"""),"Fille")</f>
        <v>Fille</v>
      </c>
      <c r="O201" s="1"/>
      <c r="P201" s="1" t="str">
        <f ca="1">IFERROR(__xludf.DUMMYFUNCTION("""COMPUTED_VALUE"""),"LIBAN")</f>
        <v>LIBAN</v>
      </c>
      <c r="Q201" s="1" t="str">
        <f ca="1">IFERROR(__xludf.DUMMYFUNCTION("""COMPUTED_VALUE"""),"SENEGAL")</f>
        <v>SENEGAL</v>
      </c>
      <c r="R201" s="1" t="str">
        <f ca="1">IFERROR(__xludf.DUMMYFUNCTION("""COMPUTED_VALUE"""),"shaden.elhadi@lfjpsaly.org")</f>
        <v>shaden.elhadi@lfjpsaly.org</v>
      </c>
      <c r="S201" s="1" t="str">
        <f ca="1">IFERROR(__xludf.DUMMYFUNCTION("""COMPUTED_VALUE"""),"+221 77 521 68 16")</f>
        <v>+221 77 521 68 16</v>
      </c>
      <c r="T201" s="1" t="str">
        <f ca="1">IFERROR(__xludf.DUMMYFUNCTION("""COMPUTED_VALUE"""),"EL HADI Saria")</f>
        <v>EL HADI Saria</v>
      </c>
      <c r="U201" s="1" t="str">
        <f ca="1">IFERROR(__xludf.DUMMYFUNCTION("""COMPUTED_VALUE"""),"EL HADI Hussein")</f>
        <v>EL HADI Hussein</v>
      </c>
      <c r="V201" s="1" t="str">
        <f ca="1">IFERROR(__xludf.DUMMYFUNCTION("""COMPUTED_VALUE"""),"sariashaden@gmail.com")</f>
        <v>sariashaden@gmail.com</v>
      </c>
      <c r="W201" s="1" t="str">
        <f ca="1">IFERROR(__xludf.DUMMYFUNCTION("""COMPUTED_VALUE"""),"alinea.saly@hotmail.fr")</f>
        <v>alinea.saly@hotmail.fr</v>
      </c>
      <c r="X201" s="1" t="str">
        <f ca="1">IFERROR(__xludf.DUMMYFUNCTION("""COMPUTED_VALUE"""),"+221 77 521 68 16")</f>
        <v>+221 77 521 68 16</v>
      </c>
      <c r="Y201" s="1" t="str">
        <f ca="1">IFERROR(__xludf.DUMMYFUNCTION("""COMPUTED_VALUE"""),"+221 77 555 18 71")</f>
        <v>+221 77 555 18 71</v>
      </c>
      <c r="Z201" s="1"/>
      <c r="AA201" s="1"/>
      <c r="AB201" s="2">
        <f ca="1">IFERROR(__xludf.DUMMYFUNCTION("""COMPUTED_VALUE"""),32815)</f>
        <v>32815</v>
      </c>
      <c r="AC201" s="2">
        <f ca="1">IFERROR(__xludf.DUMMYFUNCTION("""COMPUTED_VALUE"""),20467)</f>
        <v>20467</v>
      </c>
      <c r="AD201" s="1" t="str">
        <f ca="1">IFERROR(__xludf.DUMMYFUNCTION("""COMPUTED_VALUE"""),"MERE")</f>
        <v>MERE</v>
      </c>
      <c r="AE201" s="1" t="str">
        <f ca="1">IFERROR(__xludf.DUMMYFUNCTION("""COMPUTED_VALUE"""),"PERE")</f>
        <v>PERE</v>
      </c>
      <c r="AF201" s="1" t="str">
        <f ca="1">IFERROR(__xludf.DUMMYFUNCTION("""COMPUTED_VALUE"""),"SENEGAL")</f>
        <v>SENEGAL</v>
      </c>
      <c r="AG201" s="1" t="str">
        <f ca="1">IFERROR(__xludf.DUMMYFUNCTION("""COMPUTED_VALUE"""),"SENEGAL")</f>
        <v>SENEGAL</v>
      </c>
      <c r="AH201" s="1"/>
      <c r="AI201" s="1"/>
      <c r="AJ201" s="1" t="str">
        <f ca="1">IFERROR(__xludf.DUMMYFUNCTION("""COMPUTED_VALUE"""),"F1297")</f>
        <v>F1297</v>
      </c>
      <c r="AK201" s="1" t="str">
        <f ca="1">IFERROR(__xludf.DUMMYFUNCTION("""COMPUTED_VALUE"""),"Marié(e)")</f>
        <v>Marié(e)</v>
      </c>
      <c r="AL201" s="1" t="str">
        <f ca="1">IFERROR(__xludf.DUMMYFUNCTION("""COMPUTED_VALUE"""),"Marié(e)")</f>
        <v>Marié(e)</v>
      </c>
      <c r="AM201" s="1" t="str">
        <f ca="1">IFERROR(__xludf.DUMMYFUNCTION("""COMPUTED_VALUE"""),"F1297")</f>
        <v>F1297</v>
      </c>
    </row>
    <row r="202" spans="1:39" ht="13" x14ac:dyDescent="0.15">
      <c r="A202" s="1" t="str">
        <f ca="1">IFERROR(__xludf.DUMMYFUNCTION("""COMPUTED_VALUE"""),"ELABIB Fatiha")</f>
        <v>ELABIB Fatiha</v>
      </c>
      <c r="B202" s="1" t="str">
        <f ca="1">IFERROR(__xludf.DUMMYFUNCTION("""COMPUTED_VALUE"""),"ELABIB")</f>
        <v>ELABIB</v>
      </c>
      <c r="C202" s="1" t="str">
        <f ca="1">IFERROR(__xludf.DUMMYFUNCTION("""COMPUTED_VALUE"""),"Fatiha")</f>
        <v>Fatiha</v>
      </c>
      <c r="D202" s="1" t="str">
        <f ca="1">IFERROR(__xludf.DUMMYFUNCTION("""COMPUTED_VALUE"""),"11903S2796")</f>
        <v>11903S2796</v>
      </c>
      <c r="E202" s="2">
        <f ca="1">IFERROR(__xludf.DUMMYFUNCTION("""COMPUTED_VALUE"""),39978)</f>
        <v>39978</v>
      </c>
      <c r="F202" s="1" t="str">
        <f ca="1">IFERROR(__xludf.DUMMYFUNCTION("""COMPUTED_VALUE"""),"1ERE2")</f>
        <v>1ERE2</v>
      </c>
      <c r="G202" s="1" t="str">
        <f ca="1">IFERROR(__xludf.DUMMYFUNCTION("""COMPUTED_VALUE"""),"1ère")</f>
        <v>1ère</v>
      </c>
      <c r="H202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202" s="1" t="str">
        <f ca="1">IFERROR(__xludf.DUMMYFUNCTION("""COMPUTED_VALUE"""),"LVA Anglais")</f>
        <v>LVA Anglais</v>
      </c>
      <c r="J202" s="1" t="str">
        <f ca="1">IFERROR(__xludf.DUMMYFUNCTION("""COMPUTED_VALUE"""),"LVB Espagnol")</f>
        <v>LVB Espagnol</v>
      </c>
      <c r="K202" s="1"/>
      <c r="L202" s="1"/>
      <c r="M202" s="1" t="str">
        <f ca="1">IFERROR(__xludf.DUMMYFUNCTION("""COMPUTED_VALUE"""),"SPE MATHS, SPE SPC, SPE SVT")</f>
        <v>SPE MATHS, SPE SPC, SPE SVT</v>
      </c>
      <c r="N202" s="1" t="str">
        <f ca="1">IFERROR(__xludf.DUMMYFUNCTION("""COMPUTED_VALUE"""),"Fille")</f>
        <v>Fille</v>
      </c>
      <c r="O202" s="1"/>
      <c r="P202" s="1" t="str">
        <f ca="1">IFERROR(__xludf.DUMMYFUNCTION("""COMPUTED_VALUE"""),"FRANCE")</f>
        <v>FRANCE</v>
      </c>
      <c r="Q202" s="1"/>
      <c r="R202" s="1" t="str">
        <f ca="1">IFERROR(__xludf.DUMMYFUNCTION("""COMPUTED_VALUE"""),"fatiha.elabib@lfjpsaly.org")</f>
        <v>fatiha.elabib@lfjpsaly.org</v>
      </c>
      <c r="S202" s="1" t="str">
        <f ca="1">IFERROR(__xludf.DUMMYFUNCTION("""COMPUTED_VALUE"""),"+33 6 28 72 57 40")</f>
        <v>+33 6 28 72 57 40</v>
      </c>
      <c r="T202" s="1" t="str">
        <f ca="1">IFERROR(__xludf.DUMMYFUNCTION("""COMPUTED_VALUE"""),"ELABIB Samira")</f>
        <v>ELABIB Samira</v>
      </c>
      <c r="U202" s="1"/>
      <c r="V202" s="1" t="str">
        <f ca="1">IFERROR(__xludf.DUMMYFUNCTION("""COMPUTED_VALUE"""),"abdellah.elabib@orange.fr")</f>
        <v>abdellah.elabib@orange.fr</v>
      </c>
      <c r="W202" s="1"/>
      <c r="X202" s="1" t="str">
        <f ca="1">IFERROR(__xludf.DUMMYFUNCTION("""COMPUTED_VALUE"""),"+221 71 038 31 85")</f>
        <v>+221 71 038 31 85</v>
      </c>
      <c r="Y202" s="1"/>
      <c r="Z202" s="1" t="str">
        <f ca="1">IFERROR(__xludf.DUMMYFUNCTION("""COMPUTED_VALUE"""),"+221 78 961 55 50")</f>
        <v>+221 78 961 55 50</v>
      </c>
      <c r="AA202" s="1"/>
      <c r="AB202" s="2">
        <f ca="1">IFERROR(__xludf.DUMMYFUNCTION("""COMPUTED_VALUE"""),29459)</f>
        <v>29459</v>
      </c>
      <c r="AC202" s="1"/>
      <c r="AD202" s="1" t="str">
        <f ca="1">IFERROR(__xludf.DUMMYFUNCTION("""COMPUTED_VALUE"""),"MERE")</f>
        <v>MERE</v>
      </c>
      <c r="AE202" s="1"/>
      <c r="AF202" s="1" t="str">
        <f ca="1">IFERROR(__xludf.DUMMYFUNCTION("""COMPUTED_VALUE"""),"ALGERIE")</f>
        <v>ALGERIE</v>
      </c>
      <c r="AG202" s="1"/>
      <c r="AH202" s="1"/>
      <c r="AI202" s="1"/>
      <c r="AJ202" s="1" t="str">
        <f ca="1">IFERROR(__xludf.DUMMYFUNCTION("""COMPUTED_VALUE"""),"U11903")</f>
        <v>U11903</v>
      </c>
      <c r="AK202" s="1" t="str">
        <f ca="1">IFERROR(__xludf.DUMMYFUNCTION("""COMPUTED_VALUE"""),"Veuf(ve)")</f>
        <v>Veuf(ve)</v>
      </c>
      <c r="AL202" s="1"/>
      <c r="AM202" s="1" t="str">
        <f ca="1">IFERROR(__xludf.DUMMYFUNCTION("""COMPUTED_VALUE"""),"U11903")</f>
        <v>U11903</v>
      </c>
    </row>
    <row r="203" spans="1:39" ht="13" x14ac:dyDescent="0.15">
      <c r="A203" s="1" t="str">
        <f ca="1">IFERROR(__xludf.DUMMYFUNCTION("""COMPUTED_VALUE"""),"ELISABETH Jahyna")</f>
        <v>ELISABETH Jahyna</v>
      </c>
      <c r="B203" s="1" t="str">
        <f ca="1">IFERROR(__xludf.DUMMYFUNCTION("""COMPUTED_VALUE"""),"ELISABETH")</f>
        <v>ELISABETH</v>
      </c>
      <c r="C203" s="1" t="str">
        <f ca="1">IFERROR(__xludf.DUMMYFUNCTION("""COMPUTED_VALUE"""),"Jahyna")</f>
        <v>Jahyna</v>
      </c>
      <c r="D203" s="1" t="str">
        <f ca="1">IFERROR(__xludf.DUMMYFUNCTION("""COMPUTED_VALUE"""),"1299E1")</f>
        <v>1299E1</v>
      </c>
      <c r="E203" s="2">
        <f ca="1">IFERROR(__xludf.DUMMYFUNCTION("""COMPUTED_VALUE"""),42192)</f>
        <v>42192</v>
      </c>
      <c r="F203" s="1" t="str">
        <f ca="1">IFERROR(__xludf.DUMMYFUNCTION("""COMPUTED_VALUE"""),"CM2B")</f>
        <v>CM2B</v>
      </c>
      <c r="G203" s="1" t="str">
        <f ca="1">IFERROR(__xludf.DUMMYFUNCTION("""COMPUTED_VALUE"""),"CM2")</f>
        <v>CM2</v>
      </c>
      <c r="H203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203" s="1"/>
      <c r="J203" s="1"/>
      <c r="K203" s="1"/>
      <c r="L203" s="1"/>
      <c r="M203" s="1"/>
      <c r="N203" s="1" t="str">
        <f ca="1">IFERROR(__xludf.DUMMYFUNCTION("""COMPUTED_VALUE"""),"Fille")</f>
        <v>Fille</v>
      </c>
      <c r="O203" s="1"/>
      <c r="P203" s="1" t="str">
        <f ca="1">IFERROR(__xludf.DUMMYFUNCTION("""COMPUTED_VALUE"""),"FRANCE")</f>
        <v>FRANCE</v>
      </c>
      <c r="Q203" s="1" t="str">
        <f ca="1">IFERROR(__xludf.DUMMYFUNCTION("""COMPUTED_VALUE"""),"SENEGAL")</f>
        <v>SENEGAL</v>
      </c>
      <c r="R203" s="1"/>
      <c r="S203" s="1" t="str">
        <f ca="1">IFERROR(__xludf.DUMMYFUNCTION("""COMPUTED_VALUE"""),"+221 77 860 86 90")</f>
        <v>+221 77 860 86 90</v>
      </c>
      <c r="T203" s="1" t="str">
        <f ca="1">IFERROR(__xludf.DUMMYFUNCTION("""COMPUTED_VALUE"""),"THIAM Yasmine")</f>
        <v>THIAM Yasmine</v>
      </c>
      <c r="U203" s="1" t="str">
        <f ca="1">IFERROR(__xludf.DUMMYFUNCTION("""COMPUTED_VALUE"""),"ELISABETH Jean- Baptiste")</f>
        <v>ELISABETH Jean- Baptiste</v>
      </c>
      <c r="V203" s="1" t="str">
        <f ca="1">IFERROR(__xludf.DUMMYFUNCTION("""COMPUTED_VALUE"""),"yasmine.thiam1985@gmail.com")</f>
        <v>yasmine.thiam1985@gmail.com</v>
      </c>
      <c r="W203" s="1" t="str">
        <f ca="1">IFERROR(__xludf.DUMMYFUNCTION("""COMPUTED_VALUE"""),"jb.elisabeth@hotmail.com")</f>
        <v>jb.elisabeth@hotmail.com</v>
      </c>
      <c r="X203" s="1" t="str">
        <f ca="1">IFERROR(__xludf.DUMMYFUNCTION("""COMPUTED_VALUE"""),"778608690")</f>
        <v>778608690</v>
      </c>
      <c r="Y203" s="1" t="str">
        <f ca="1">IFERROR(__xludf.DUMMYFUNCTION("""COMPUTED_VALUE"""),"778608701")</f>
        <v>778608701</v>
      </c>
      <c r="Z203" s="1"/>
      <c r="AA203" s="1"/>
      <c r="AB203" s="2">
        <f ca="1">IFERROR(__xludf.DUMMYFUNCTION("""COMPUTED_VALUE"""),31302)</f>
        <v>31302</v>
      </c>
      <c r="AC203" s="2">
        <f ca="1">IFERROR(__xludf.DUMMYFUNCTION("""COMPUTED_VALUE"""),29751)</f>
        <v>29751</v>
      </c>
      <c r="AD203" s="1" t="str">
        <f ca="1">IFERROR(__xludf.DUMMYFUNCTION("""COMPUTED_VALUE"""),"MERE")</f>
        <v>MERE</v>
      </c>
      <c r="AE203" s="1" t="str">
        <f ca="1">IFERROR(__xludf.DUMMYFUNCTION("""COMPUTED_VALUE"""),"PERE")</f>
        <v>PERE</v>
      </c>
      <c r="AF203" s="1" t="str">
        <f ca="1">IFERROR(__xludf.DUMMYFUNCTION("""COMPUTED_VALUE"""),"SENEGAL")</f>
        <v>SENEGAL</v>
      </c>
      <c r="AG203" s="1" t="str">
        <f ca="1">IFERROR(__xludf.DUMMYFUNCTION("""COMPUTED_VALUE"""),"FRANCE")</f>
        <v>FRANCE</v>
      </c>
      <c r="AH203" s="1" t="str">
        <f ca="1">IFERROR(__xludf.DUMMYFUNCTION("""COMPUTED_VALUE"""),"FRANCE")</f>
        <v>FRANCE</v>
      </c>
      <c r="AI203" s="1"/>
      <c r="AJ203" s="1" t="str">
        <f ca="1">IFERROR(__xludf.DUMMYFUNCTION("""COMPUTED_VALUE"""),"F1299")</f>
        <v>F1299</v>
      </c>
      <c r="AK203" s="1" t="str">
        <f ca="1">IFERROR(__xludf.DUMMYFUNCTION("""COMPUTED_VALUE"""),"Célibataire")</f>
        <v>Célibataire</v>
      </c>
      <c r="AL203" s="1" t="str">
        <f ca="1">IFERROR(__xludf.DUMMYFUNCTION("""COMPUTED_VALUE"""),"Célibataire")</f>
        <v>Célibataire</v>
      </c>
      <c r="AM203" s="1" t="str">
        <f ca="1">IFERROR(__xludf.DUMMYFUNCTION("""COMPUTED_VALUE"""),"F1299")</f>
        <v>F1299</v>
      </c>
    </row>
    <row r="204" spans="1:39" ht="13" x14ac:dyDescent="0.15">
      <c r="A204" s="1" t="str">
        <f ca="1">IFERROR(__xludf.DUMMYFUNCTION("""COMPUTED_VALUE"""),"ENNADIFI Hajar")</f>
        <v>ENNADIFI Hajar</v>
      </c>
      <c r="B204" s="1" t="str">
        <f ca="1">IFERROR(__xludf.DUMMYFUNCTION("""COMPUTED_VALUE"""),"ENNADIFI")</f>
        <v>ENNADIFI</v>
      </c>
      <c r="C204" s="1" t="str">
        <f ca="1">IFERROR(__xludf.DUMMYFUNCTION("""COMPUTED_VALUE"""),"Hajar")</f>
        <v>Hajar</v>
      </c>
      <c r="D204" s="1" t="str">
        <f ca="1">IFERROR(__xludf.DUMMYFUNCTION("""COMPUTED_VALUE"""),"1653E1")</f>
        <v>1653E1</v>
      </c>
      <c r="E204" s="2">
        <f ca="1">IFERROR(__xludf.DUMMYFUNCTION("""COMPUTED_VALUE"""),41049)</f>
        <v>41049</v>
      </c>
      <c r="F204" s="1" t="str">
        <f ca="1">IFERROR(__xludf.DUMMYFUNCTION("""COMPUTED_VALUE"""),"4EME1")</f>
        <v>4EME1</v>
      </c>
      <c r="G204" s="1" t="str">
        <f ca="1">IFERROR(__xludf.DUMMYFUNCTION("""COMPUTED_VALUE"""),"4ème")</f>
        <v>4ème</v>
      </c>
      <c r="H204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204" s="1" t="str">
        <f ca="1">IFERROR(__xludf.DUMMYFUNCTION("""COMPUTED_VALUE"""),"LVA Anglais")</f>
        <v>LVA Anglais</v>
      </c>
      <c r="J204" s="1" t="str">
        <f ca="1">IFERROR(__xludf.DUMMYFUNCTION("""COMPUTED_VALUE"""),"LVB Espagnol")</f>
        <v>LVB Espagnol</v>
      </c>
      <c r="K204" s="1"/>
      <c r="L204" s="1"/>
      <c r="M204" s="1"/>
      <c r="N204" s="1" t="str">
        <f ca="1">IFERROR(__xludf.DUMMYFUNCTION("""COMPUTED_VALUE"""),"Fille")</f>
        <v>Fille</v>
      </c>
      <c r="O204" s="1"/>
      <c r="P204" s="1" t="str">
        <f ca="1">IFERROR(__xludf.DUMMYFUNCTION("""COMPUTED_VALUE"""),"MAROC")</f>
        <v>MAROC</v>
      </c>
      <c r="Q204" s="1"/>
      <c r="R204" s="1" t="str">
        <f ca="1">IFERROR(__xludf.DUMMYFUNCTION("""COMPUTED_VALUE"""),"hajar.ennadifi@lfjpsaly.org")</f>
        <v>hajar.ennadifi@lfjpsaly.org</v>
      </c>
      <c r="S204" s="1"/>
      <c r="T204" s="1" t="str">
        <f ca="1">IFERROR(__xludf.DUMMYFUNCTION("""COMPUTED_VALUE"""),"ENNADIFI Abdessadik")</f>
        <v>ENNADIFI Abdessadik</v>
      </c>
      <c r="U204" s="1" t="str">
        <f ca="1">IFERROR(__xludf.DUMMYFUNCTION("""COMPUTED_VALUE"""),"ENNADIFI Noura")</f>
        <v>ENNADIFI Noura</v>
      </c>
      <c r="V204" s="1" t="str">
        <f ca="1">IFERROR(__xludf.DUMMYFUNCTION("""COMPUTED_VALUE"""),"abdessadik@hotmail.com")</f>
        <v>abdessadik@hotmail.com</v>
      </c>
      <c r="W204" s="1" t="str">
        <f ca="1">IFERROR(__xludf.DUMMYFUNCTION("""COMPUTED_VALUE"""),"abdessadik@hotmail.com")</f>
        <v>abdessadik@hotmail.com</v>
      </c>
      <c r="X204" s="1" t="str">
        <f ca="1">IFERROR(__xludf.DUMMYFUNCTION("""COMPUTED_VALUE"""),"+212 669-084297")</f>
        <v>+212 669-084297</v>
      </c>
      <c r="Y204" s="1" t="str">
        <f ca="1">IFERROR(__xludf.DUMMYFUNCTION("""COMPUTED_VALUE"""),"+212 673-778360")</f>
        <v>+212 673-778360</v>
      </c>
      <c r="Z204" s="1" t="str">
        <f ca="1">IFERROR(__xludf.DUMMYFUNCTION("""COMPUTED_VALUE"""),"+221 76 244 43 43")</f>
        <v>+221 76 244 43 43</v>
      </c>
      <c r="AA204" s="1"/>
      <c r="AB204" s="2">
        <f ca="1">IFERROR(__xludf.DUMMYFUNCTION("""COMPUTED_VALUE"""),27718)</f>
        <v>27718</v>
      </c>
      <c r="AC204" s="2">
        <f ca="1">IFERROR(__xludf.DUMMYFUNCTION("""COMPUTED_VALUE"""),33217)</f>
        <v>33217</v>
      </c>
      <c r="AD204" s="1" t="str">
        <f ca="1">IFERROR(__xludf.DUMMYFUNCTION("""COMPUTED_VALUE"""),"PERE")</f>
        <v>PERE</v>
      </c>
      <c r="AE204" s="1" t="str">
        <f ca="1">IFERROR(__xludf.DUMMYFUNCTION("""COMPUTED_VALUE"""),"MERE")</f>
        <v>MERE</v>
      </c>
      <c r="AF204" s="1" t="str">
        <f ca="1">IFERROR(__xludf.DUMMYFUNCTION("""COMPUTED_VALUE"""),"MAROC")</f>
        <v>MAROC</v>
      </c>
      <c r="AG204" s="1" t="str">
        <f ca="1">IFERROR(__xludf.DUMMYFUNCTION("""COMPUTED_VALUE"""),"MAROC")</f>
        <v>MAROC</v>
      </c>
      <c r="AH204" s="1"/>
      <c r="AI204" s="1"/>
      <c r="AJ204" s="1" t="str">
        <f ca="1">IFERROR(__xludf.DUMMYFUNCTION("""COMPUTED_VALUE"""),"F1653")</f>
        <v>F1653</v>
      </c>
      <c r="AK204" s="1" t="str">
        <f ca="1">IFERROR(__xludf.DUMMYFUNCTION("""COMPUTED_VALUE"""),"Marié(e)")</f>
        <v>Marié(e)</v>
      </c>
      <c r="AL204" s="1" t="str">
        <f ca="1">IFERROR(__xludf.DUMMYFUNCTION("""COMPUTED_VALUE"""),"Marié(e)")</f>
        <v>Marié(e)</v>
      </c>
      <c r="AM204" s="1" t="str">
        <f ca="1">IFERROR(__xludf.DUMMYFUNCTION("""COMPUTED_VALUE"""),"F1653")</f>
        <v>F1653</v>
      </c>
    </row>
    <row r="205" spans="1:39" ht="13" x14ac:dyDescent="0.15">
      <c r="A205" s="1" t="str">
        <f ca="1">IFERROR(__xludf.DUMMYFUNCTION("""COMPUTED_VALUE"""),"ENNADIFI Mohamed")</f>
        <v>ENNADIFI Mohamed</v>
      </c>
      <c r="B205" s="1" t="str">
        <f ca="1">IFERROR(__xludf.DUMMYFUNCTION("""COMPUTED_VALUE"""),"ENNADIFI")</f>
        <v>ENNADIFI</v>
      </c>
      <c r="C205" s="1" t="str">
        <f ca="1">IFERROR(__xludf.DUMMYFUNCTION("""COMPUTED_VALUE"""),"Mohamed")</f>
        <v>Mohamed</v>
      </c>
      <c r="D205" s="1" t="str">
        <f ca="1">IFERROR(__xludf.DUMMYFUNCTION("""COMPUTED_VALUE"""),"1653E2")</f>
        <v>1653E2</v>
      </c>
      <c r="E205" s="2">
        <f ca="1">IFERROR(__xludf.DUMMYFUNCTION("""COMPUTED_VALUE"""),40000)</f>
        <v>40000</v>
      </c>
      <c r="F205" s="1" t="str">
        <f ca="1">IFERROR(__xludf.DUMMYFUNCTION("""COMPUTED_VALUE"""),"1ERE2")</f>
        <v>1ERE2</v>
      </c>
      <c r="G205" s="1" t="str">
        <f ca="1">IFERROR(__xludf.DUMMYFUNCTION("""COMPUTED_VALUE"""),"1ère")</f>
        <v>1ère</v>
      </c>
      <c r="H205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205" s="1" t="str">
        <f ca="1">IFERROR(__xludf.DUMMYFUNCTION("""COMPUTED_VALUE"""),"LVA Anglais")</f>
        <v>LVA Anglais</v>
      </c>
      <c r="J205" s="1" t="str">
        <f ca="1">IFERROR(__xludf.DUMMYFUNCTION("""COMPUTED_VALUE"""),"Autre (CNED - langue à préciser)")</f>
        <v>Autre (CNED - langue à préciser)</v>
      </c>
      <c r="K205" s="1"/>
      <c r="L205" s="1"/>
      <c r="M205" s="1" t="str">
        <f ca="1">IFERROR(__xludf.DUMMYFUNCTION("""COMPUTED_VALUE"""),"SPE MATHS, SPE SES, SPE SPC")</f>
        <v>SPE MATHS, SPE SES, SPE SPC</v>
      </c>
      <c r="N205" s="1" t="str">
        <f ca="1">IFERROR(__xludf.DUMMYFUNCTION("""COMPUTED_VALUE"""),"Garçon")</f>
        <v>Garçon</v>
      </c>
      <c r="O205" s="1"/>
      <c r="P205" s="1" t="str">
        <f ca="1">IFERROR(__xludf.DUMMYFUNCTION("""COMPUTED_VALUE"""),"MAROC")</f>
        <v>MAROC</v>
      </c>
      <c r="Q205" s="1"/>
      <c r="R205" s="1" t="str">
        <f ca="1">IFERROR(__xludf.DUMMYFUNCTION("""COMPUTED_VALUE"""),"mohamed.ennadifi@lfjpsaly.org")</f>
        <v>mohamed.ennadifi@lfjpsaly.org</v>
      </c>
      <c r="S205" s="1" t="str">
        <f ca="1">IFERROR(__xludf.DUMMYFUNCTION("""COMPUTED_VALUE"""),"+221")</f>
        <v>+221</v>
      </c>
      <c r="T205" s="1" t="str">
        <f ca="1">IFERROR(__xludf.DUMMYFUNCTION("""COMPUTED_VALUE"""),"ENNADIFI Abdessadik")</f>
        <v>ENNADIFI Abdessadik</v>
      </c>
      <c r="U205" s="1" t="str">
        <f ca="1">IFERROR(__xludf.DUMMYFUNCTION("""COMPUTED_VALUE"""),"ENNADIFI Noura")</f>
        <v>ENNADIFI Noura</v>
      </c>
      <c r="V205" s="1" t="str">
        <f ca="1">IFERROR(__xludf.DUMMYFUNCTION("""COMPUTED_VALUE"""),"abdessadik@hotmail.com")</f>
        <v>abdessadik@hotmail.com</v>
      </c>
      <c r="W205" s="1" t="str">
        <f ca="1">IFERROR(__xludf.DUMMYFUNCTION("""COMPUTED_VALUE"""),"abdessadik@hotmail.com")</f>
        <v>abdessadik@hotmail.com</v>
      </c>
      <c r="X205" s="1" t="str">
        <f ca="1">IFERROR(__xludf.DUMMYFUNCTION("""COMPUTED_VALUE"""),"+212 669-084297")</f>
        <v>+212 669-084297</v>
      </c>
      <c r="Y205" s="1" t="str">
        <f ca="1">IFERROR(__xludf.DUMMYFUNCTION("""COMPUTED_VALUE"""),"+212 673-778360")</f>
        <v>+212 673-778360</v>
      </c>
      <c r="Z205" s="1" t="str">
        <f ca="1">IFERROR(__xludf.DUMMYFUNCTION("""COMPUTED_VALUE"""),"+221 76 244 43 43")</f>
        <v>+221 76 244 43 43</v>
      </c>
      <c r="AA205" s="1"/>
      <c r="AB205" s="2">
        <f ca="1">IFERROR(__xludf.DUMMYFUNCTION("""COMPUTED_VALUE"""),27718)</f>
        <v>27718</v>
      </c>
      <c r="AC205" s="2">
        <f ca="1">IFERROR(__xludf.DUMMYFUNCTION("""COMPUTED_VALUE"""),33217)</f>
        <v>33217</v>
      </c>
      <c r="AD205" s="1" t="str">
        <f ca="1">IFERROR(__xludf.DUMMYFUNCTION("""COMPUTED_VALUE"""),"PERE")</f>
        <v>PERE</v>
      </c>
      <c r="AE205" s="1" t="str">
        <f ca="1">IFERROR(__xludf.DUMMYFUNCTION("""COMPUTED_VALUE"""),"MERE")</f>
        <v>MERE</v>
      </c>
      <c r="AF205" s="1" t="str">
        <f ca="1">IFERROR(__xludf.DUMMYFUNCTION("""COMPUTED_VALUE"""),"MAROC")</f>
        <v>MAROC</v>
      </c>
      <c r="AG205" s="1" t="str">
        <f ca="1">IFERROR(__xludf.DUMMYFUNCTION("""COMPUTED_VALUE"""),"MAROC")</f>
        <v>MAROC</v>
      </c>
      <c r="AH205" s="1"/>
      <c r="AI205" s="1"/>
      <c r="AJ205" s="1" t="str">
        <f ca="1">IFERROR(__xludf.DUMMYFUNCTION("""COMPUTED_VALUE"""),"F1653")</f>
        <v>F1653</v>
      </c>
      <c r="AK205" s="1" t="str">
        <f ca="1">IFERROR(__xludf.DUMMYFUNCTION("""COMPUTED_VALUE"""),"Marié(e)")</f>
        <v>Marié(e)</v>
      </c>
      <c r="AL205" s="1" t="str">
        <f ca="1">IFERROR(__xludf.DUMMYFUNCTION("""COMPUTED_VALUE"""),"Marié(e)")</f>
        <v>Marié(e)</v>
      </c>
      <c r="AM205" s="1" t="str">
        <f ca="1">IFERROR(__xludf.DUMMYFUNCTION("""COMPUTED_VALUE"""),"F1653")</f>
        <v>F1653</v>
      </c>
    </row>
    <row r="206" spans="1:39" ht="13" x14ac:dyDescent="0.15">
      <c r="A206" s="1" t="str">
        <f ca="1">IFERROR(__xludf.DUMMYFUNCTION("""COMPUTED_VALUE"""),"ENNADIFI Youssef")</f>
        <v>ENNADIFI Youssef</v>
      </c>
      <c r="B206" s="1" t="str">
        <f ca="1">IFERROR(__xludf.DUMMYFUNCTION("""COMPUTED_VALUE"""),"ENNADIFI")</f>
        <v>ENNADIFI</v>
      </c>
      <c r="C206" s="1" t="str">
        <f ca="1">IFERROR(__xludf.DUMMYFUNCTION("""COMPUTED_VALUE"""),"Youssef")</f>
        <v>Youssef</v>
      </c>
      <c r="D206" s="1" t="str">
        <f ca="1">IFERROR(__xludf.DUMMYFUNCTION("""COMPUTED_VALUE"""),"1653E3")</f>
        <v>1653E3</v>
      </c>
      <c r="E206" s="2">
        <f ca="1">IFERROR(__xludf.DUMMYFUNCTION("""COMPUTED_VALUE"""),44509)</f>
        <v>44509</v>
      </c>
      <c r="F206" s="1" t="str">
        <f ca="1">IFERROR(__xludf.DUMMYFUNCTION("""COMPUTED_VALUE"""),"Mat 3")</f>
        <v>Mat 3</v>
      </c>
      <c r="G206" s="1" t="str">
        <f ca="1">IFERROR(__xludf.DUMMYFUNCTION("""COMPUTED_VALUE"""),"MS")</f>
        <v>MS</v>
      </c>
      <c r="H206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206" s="1"/>
      <c r="J206" s="1"/>
      <c r="K206" s="1"/>
      <c r="L206" s="1"/>
      <c r="M206" s="1"/>
      <c r="N206" s="1" t="str">
        <f ca="1">IFERROR(__xludf.DUMMYFUNCTION("""COMPUTED_VALUE"""),"Garçon")</f>
        <v>Garçon</v>
      </c>
      <c r="O206" s="1"/>
      <c r="P206" s="1" t="str">
        <f ca="1">IFERROR(__xludf.DUMMYFUNCTION("""COMPUTED_VALUE"""),"MAROC")</f>
        <v>MAROC</v>
      </c>
      <c r="Q206" s="1"/>
      <c r="R206" s="1"/>
      <c r="S206" s="1"/>
      <c r="T206" s="1" t="str">
        <f ca="1">IFERROR(__xludf.DUMMYFUNCTION("""COMPUTED_VALUE"""),"ENNADIFI Abdessadik")</f>
        <v>ENNADIFI Abdessadik</v>
      </c>
      <c r="U206" s="1" t="str">
        <f ca="1">IFERROR(__xludf.DUMMYFUNCTION("""COMPUTED_VALUE"""),"ENNADIFI Noura")</f>
        <v>ENNADIFI Noura</v>
      </c>
      <c r="V206" s="1" t="str">
        <f ca="1">IFERROR(__xludf.DUMMYFUNCTION("""COMPUTED_VALUE"""),"abdessadik@hotmail.com")</f>
        <v>abdessadik@hotmail.com</v>
      </c>
      <c r="W206" s="1" t="str">
        <f ca="1">IFERROR(__xludf.DUMMYFUNCTION("""COMPUTED_VALUE"""),"abdessadik@hotmail.com")</f>
        <v>abdessadik@hotmail.com</v>
      </c>
      <c r="X206" s="1" t="str">
        <f ca="1">IFERROR(__xludf.DUMMYFUNCTION("""COMPUTED_VALUE"""),"+212 669-084297")</f>
        <v>+212 669-084297</v>
      </c>
      <c r="Y206" s="1" t="str">
        <f ca="1">IFERROR(__xludf.DUMMYFUNCTION("""COMPUTED_VALUE"""),"+212 673-778360")</f>
        <v>+212 673-778360</v>
      </c>
      <c r="Z206" s="1" t="str">
        <f ca="1">IFERROR(__xludf.DUMMYFUNCTION("""COMPUTED_VALUE"""),"+221 76 244 43 43")</f>
        <v>+221 76 244 43 43</v>
      </c>
      <c r="AA206" s="1"/>
      <c r="AB206" s="2">
        <f ca="1">IFERROR(__xludf.DUMMYFUNCTION("""COMPUTED_VALUE"""),27718)</f>
        <v>27718</v>
      </c>
      <c r="AC206" s="2">
        <f ca="1">IFERROR(__xludf.DUMMYFUNCTION("""COMPUTED_VALUE"""),33217)</f>
        <v>33217</v>
      </c>
      <c r="AD206" s="1" t="str">
        <f ca="1">IFERROR(__xludf.DUMMYFUNCTION("""COMPUTED_VALUE"""),"PERE")</f>
        <v>PERE</v>
      </c>
      <c r="AE206" s="1" t="str">
        <f ca="1">IFERROR(__xludf.DUMMYFUNCTION("""COMPUTED_VALUE"""),"MERE")</f>
        <v>MERE</v>
      </c>
      <c r="AF206" s="1" t="str">
        <f ca="1">IFERROR(__xludf.DUMMYFUNCTION("""COMPUTED_VALUE"""),"MAROC")</f>
        <v>MAROC</v>
      </c>
      <c r="AG206" s="1" t="str">
        <f ca="1">IFERROR(__xludf.DUMMYFUNCTION("""COMPUTED_VALUE"""),"MAROC")</f>
        <v>MAROC</v>
      </c>
      <c r="AH206" s="1"/>
      <c r="AI206" s="1"/>
      <c r="AJ206" s="1" t="str">
        <f ca="1">IFERROR(__xludf.DUMMYFUNCTION("""COMPUTED_VALUE"""),"F1653")</f>
        <v>F1653</v>
      </c>
      <c r="AK206" s="1" t="str">
        <f ca="1">IFERROR(__xludf.DUMMYFUNCTION("""COMPUTED_VALUE"""),"Marié(e)")</f>
        <v>Marié(e)</v>
      </c>
      <c r="AL206" s="1" t="str">
        <f ca="1">IFERROR(__xludf.DUMMYFUNCTION("""COMPUTED_VALUE"""),"Marié(e)")</f>
        <v>Marié(e)</v>
      </c>
      <c r="AM206" s="1" t="str">
        <f ca="1">IFERROR(__xludf.DUMMYFUNCTION("""COMPUTED_VALUE"""),"F1653")</f>
        <v>F1653</v>
      </c>
    </row>
    <row r="207" spans="1:39" ht="13" x14ac:dyDescent="0.15">
      <c r="A207" s="1" t="str">
        <f ca="1">IFERROR(__xludf.DUMMYFUNCTION("""COMPUTED_VALUE"""),"FAKHOURY Iwan")</f>
        <v>FAKHOURY Iwan</v>
      </c>
      <c r="B207" s="1" t="str">
        <f ca="1">IFERROR(__xludf.DUMMYFUNCTION("""COMPUTED_VALUE"""),"FAKHOURY")</f>
        <v>FAKHOURY</v>
      </c>
      <c r="C207" s="1" t="str">
        <f ca="1">IFERROR(__xludf.DUMMYFUNCTION("""COMPUTED_VALUE"""),"Iwan")</f>
        <v>Iwan</v>
      </c>
      <c r="D207" s="1" t="str">
        <f ca="1">IFERROR(__xludf.DUMMYFUNCTION("""COMPUTED_VALUE"""),"1301E1")</f>
        <v>1301E1</v>
      </c>
      <c r="E207" s="2">
        <f ca="1">IFERROR(__xludf.DUMMYFUNCTION("""COMPUTED_VALUE"""),42879)</f>
        <v>42879</v>
      </c>
      <c r="F207" s="1" t="str">
        <f ca="1">IFERROR(__xludf.DUMMYFUNCTION("""COMPUTED_VALUE"""),"CP-CE2")</f>
        <v>CP-CE2</v>
      </c>
      <c r="G207" s="1" t="str">
        <f ca="1">IFERROR(__xludf.DUMMYFUNCTION("""COMPUTED_VALUE"""),"CE2")</f>
        <v>CE2</v>
      </c>
      <c r="H207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207" s="1"/>
      <c r="J207" s="1"/>
      <c r="K207" s="1"/>
      <c r="L207" s="1"/>
      <c r="M207" s="1"/>
      <c r="N207" s="1" t="str">
        <f ca="1">IFERROR(__xludf.DUMMYFUNCTION("""COMPUTED_VALUE"""),"Garçon")</f>
        <v>Garçon</v>
      </c>
      <c r="O207" s="1"/>
      <c r="P207" s="1" t="str">
        <f ca="1">IFERROR(__xludf.DUMMYFUNCTION("""COMPUTED_VALUE"""),"FRANCE")</f>
        <v>FRANCE</v>
      </c>
      <c r="Q207" s="1" t="str">
        <f ca="1">IFERROR(__xludf.DUMMYFUNCTION("""COMPUTED_VALUE"""),"SENEGAL")</f>
        <v>SENEGAL</v>
      </c>
      <c r="R207" s="1"/>
      <c r="S207" s="1" t="str">
        <f ca="1">IFERROR(__xludf.DUMMYFUNCTION("""COMPUTED_VALUE"""),"+221")</f>
        <v>+221</v>
      </c>
      <c r="T207" s="1" t="str">
        <f ca="1">IFERROR(__xludf.DUMMYFUNCTION("""COMPUTED_VALUE"""),"FAKHOURY Sarah")</f>
        <v>FAKHOURY Sarah</v>
      </c>
      <c r="U207" s="1" t="str">
        <f ca="1">IFERROR(__xludf.DUMMYFUNCTION("""COMPUTED_VALUE"""),"FAKHOURY Hussein")</f>
        <v>FAKHOURY Hussein</v>
      </c>
      <c r="V207" s="1" t="str">
        <f ca="1">IFERROR(__xludf.DUMMYFUNCTION("""COMPUTED_VALUE"""),"syazback@hotmail.fr")</f>
        <v>syazback@hotmail.fr</v>
      </c>
      <c r="W207" s="1" t="str">
        <f ca="1">IFERROR(__xludf.DUMMYFUNCTION("""COMPUTED_VALUE"""),"husseinfakhoury@hotmail.fr")</f>
        <v>husseinfakhoury@hotmail.fr</v>
      </c>
      <c r="X207" s="1" t="str">
        <f ca="1">IFERROR(__xludf.DUMMYFUNCTION("""COMPUTED_VALUE"""),"+221 77 820 44 18")</f>
        <v>+221 77 820 44 18</v>
      </c>
      <c r="Y207" s="1" t="str">
        <f ca="1">IFERROR(__xludf.DUMMYFUNCTION("""COMPUTED_VALUE"""),"+221 77 602 06 89")</f>
        <v>+221 77 602 06 89</v>
      </c>
      <c r="Z207" s="1" t="str">
        <f ca="1">IFERROR(__xludf.DUMMYFUNCTION("""COMPUTED_VALUE"""),"+221")</f>
        <v>+221</v>
      </c>
      <c r="AA207" s="1" t="str">
        <f ca="1">IFERROR(__xludf.DUMMYFUNCTION("""COMPUTED_VALUE"""),"+221")</f>
        <v>+221</v>
      </c>
      <c r="AB207" s="2">
        <f ca="1">IFERROR(__xludf.DUMMYFUNCTION("""COMPUTED_VALUE"""),31005)</f>
        <v>31005</v>
      </c>
      <c r="AC207" s="2">
        <f ca="1">IFERROR(__xludf.DUMMYFUNCTION("""COMPUTED_VALUE"""),31593)</f>
        <v>31593</v>
      </c>
      <c r="AD207" s="1" t="str">
        <f ca="1">IFERROR(__xludf.DUMMYFUNCTION("""COMPUTED_VALUE"""),"MERE")</f>
        <v>MERE</v>
      </c>
      <c r="AE207" s="1" t="str">
        <f ca="1">IFERROR(__xludf.DUMMYFUNCTION("""COMPUTED_VALUE"""),"PERE")</f>
        <v>PERE</v>
      </c>
      <c r="AF207" s="1" t="str">
        <f ca="1">IFERROR(__xludf.DUMMYFUNCTION("""COMPUTED_VALUE"""),"FRANCE")</f>
        <v>FRANCE</v>
      </c>
      <c r="AG207" s="1" t="str">
        <f ca="1">IFERROR(__xludf.DUMMYFUNCTION("""COMPUTED_VALUE"""),"FRANCE")</f>
        <v>FRANCE</v>
      </c>
      <c r="AH207" s="1" t="str">
        <f ca="1">IFERROR(__xludf.DUMMYFUNCTION("""COMPUTED_VALUE"""),"SENEGAL")</f>
        <v>SENEGAL</v>
      </c>
      <c r="AI207" s="1" t="str">
        <f ca="1">IFERROR(__xludf.DUMMYFUNCTION("""COMPUTED_VALUE"""),"SENEGAL")</f>
        <v>SENEGAL</v>
      </c>
      <c r="AJ207" s="1" t="str">
        <f ca="1">IFERROR(__xludf.DUMMYFUNCTION("""COMPUTED_VALUE"""),"F1301")</f>
        <v>F1301</v>
      </c>
      <c r="AK207" s="1" t="str">
        <f ca="1">IFERROR(__xludf.DUMMYFUNCTION("""COMPUTED_VALUE"""),"Marié(e)")</f>
        <v>Marié(e)</v>
      </c>
      <c r="AL207" s="1" t="str">
        <f ca="1">IFERROR(__xludf.DUMMYFUNCTION("""COMPUTED_VALUE"""),"Marié(e)")</f>
        <v>Marié(e)</v>
      </c>
      <c r="AM207" s="1" t="str">
        <f ca="1">IFERROR(__xludf.DUMMYFUNCTION("""COMPUTED_VALUE"""),"F1301")</f>
        <v>F1301</v>
      </c>
    </row>
    <row r="208" spans="1:39" ht="13" x14ac:dyDescent="0.15">
      <c r="A208" s="1" t="str">
        <f ca="1">IFERROR(__xludf.DUMMYFUNCTION("""COMPUTED_VALUE"""),"FAKHOURY Nael")</f>
        <v>FAKHOURY Nael</v>
      </c>
      <c r="B208" s="1" t="str">
        <f ca="1">IFERROR(__xludf.DUMMYFUNCTION("""COMPUTED_VALUE"""),"FAKHOURY")</f>
        <v>FAKHOURY</v>
      </c>
      <c r="C208" s="1" t="str">
        <f ca="1">IFERROR(__xludf.DUMMYFUNCTION("""COMPUTED_VALUE"""),"Nael")</f>
        <v>Nael</v>
      </c>
      <c r="D208" s="1" t="str">
        <f ca="1">IFERROR(__xludf.DUMMYFUNCTION("""COMPUTED_VALUE"""),"1301E2")</f>
        <v>1301E2</v>
      </c>
      <c r="E208" s="2">
        <f ca="1">IFERROR(__xludf.DUMMYFUNCTION("""COMPUTED_VALUE"""),42069)</f>
        <v>42069</v>
      </c>
      <c r="F208" s="1" t="str">
        <f ca="1">IFERROR(__xludf.DUMMYFUNCTION("""COMPUTED_VALUE"""),"CM2B")</f>
        <v>CM2B</v>
      </c>
      <c r="G208" s="1" t="str">
        <f ca="1">IFERROR(__xludf.DUMMYFUNCTION("""COMPUTED_VALUE"""),"CM2")</f>
        <v>CM2</v>
      </c>
      <c r="H208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208" s="1"/>
      <c r="J208" s="1"/>
      <c r="K208" s="1"/>
      <c r="L208" s="1"/>
      <c r="M208" s="1"/>
      <c r="N208" s="1" t="str">
        <f ca="1">IFERROR(__xludf.DUMMYFUNCTION("""COMPUTED_VALUE"""),"Garçon")</f>
        <v>Garçon</v>
      </c>
      <c r="O208" s="1"/>
      <c r="P208" s="1" t="str">
        <f ca="1">IFERROR(__xludf.DUMMYFUNCTION("""COMPUTED_VALUE"""),"FRANCE")</f>
        <v>FRANCE</v>
      </c>
      <c r="Q208" s="1" t="str">
        <f ca="1">IFERROR(__xludf.DUMMYFUNCTION("""COMPUTED_VALUE"""),"SENEGAL")</f>
        <v>SENEGAL</v>
      </c>
      <c r="R208" s="1"/>
      <c r="S208" s="1"/>
      <c r="T208" s="1" t="str">
        <f ca="1">IFERROR(__xludf.DUMMYFUNCTION("""COMPUTED_VALUE"""),"FAKHOURY Sarah")</f>
        <v>FAKHOURY Sarah</v>
      </c>
      <c r="U208" s="1" t="str">
        <f ca="1">IFERROR(__xludf.DUMMYFUNCTION("""COMPUTED_VALUE"""),"FAKHOURY Hussein")</f>
        <v>FAKHOURY Hussein</v>
      </c>
      <c r="V208" s="1" t="str">
        <f ca="1">IFERROR(__xludf.DUMMYFUNCTION("""COMPUTED_VALUE"""),"syazback@hotmail.fr")</f>
        <v>syazback@hotmail.fr</v>
      </c>
      <c r="W208" s="1" t="str">
        <f ca="1">IFERROR(__xludf.DUMMYFUNCTION("""COMPUTED_VALUE"""),"husseinfakhoury@hotmail.fr")</f>
        <v>husseinfakhoury@hotmail.fr</v>
      </c>
      <c r="X208" s="1" t="str">
        <f ca="1">IFERROR(__xludf.DUMMYFUNCTION("""COMPUTED_VALUE"""),"+221 77 820 44 18")</f>
        <v>+221 77 820 44 18</v>
      </c>
      <c r="Y208" s="1" t="str">
        <f ca="1">IFERROR(__xludf.DUMMYFUNCTION("""COMPUTED_VALUE"""),"+221 77 602 06 89")</f>
        <v>+221 77 602 06 89</v>
      </c>
      <c r="Z208" s="1" t="str">
        <f ca="1">IFERROR(__xludf.DUMMYFUNCTION("""COMPUTED_VALUE"""),"+221")</f>
        <v>+221</v>
      </c>
      <c r="AA208" s="1" t="str">
        <f ca="1">IFERROR(__xludf.DUMMYFUNCTION("""COMPUTED_VALUE"""),"+221")</f>
        <v>+221</v>
      </c>
      <c r="AB208" s="2">
        <f ca="1">IFERROR(__xludf.DUMMYFUNCTION("""COMPUTED_VALUE"""),31005)</f>
        <v>31005</v>
      </c>
      <c r="AC208" s="2">
        <f ca="1">IFERROR(__xludf.DUMMYFUNCTION("""COMPUTED_VALUE"""),31593)</f>
        <v>31593</v>
      </c>
      <c r="AD208" s="1" t="str">
        <f ca="1">IFERROR(__xludf.DUMMYFUNCTION("""COMPUTED_VALUE"""),"MERE")</f>
        <v>MERE</v>
      </c>
      <c r="AE208" s="1" t="str">
        <f ca="1">IFERROR(__xludf.DUMMYFUNCTION("""COMPUTED_VALUE"""),"PERE")</f>
        <v>PERE</v>
      </c>
      <c r="AF208" s="1" t="str">
        <f ca="1">IFERROR(__xludf.DUMMYFUNCTION("""COMPUTED_VALUE"""),"FRANCE")</f>
        <v>FRANCE</v>
      </c>
      <c r="AG208" s="1" t="str">
        <f ca="1">IFERROR(__xludf.DUMMYFUNCTION("""COMPUTED_VALUE"""),"FRANCE")</f>
        <v>FRANCE</v>
      </c>
      <c r="AH208" s="1" t="str">
        <f ca="1">IFERROR(__xludf.DUMMYFUNCTION("""COMPUTED_VALUE"""),"SENEGAL")</f>
        <v>SENEGAL</v>
      </c>
      <c r="AI208" s="1" t="str">
        <f ca="1">IFERROR(__xludf.DUMMYFUNCTION("""COMPUTED_VALUE"""),"SENEGAL")</f>
        <v>SENEGAL</v>
      </c>
      <c r="AJ208" s="1" t="str">
        <f ca="1">IFERROR(__xludf.DUMMYFUNCTION("""COMPUTED_VALUE"""),"F1301")</f>
        <v>F1301</v>
      </c>
      <c r="AK208" s="1" t="str">
        <f ca="1">IFERROR(__xludf.DUMMYFUNCTION("""COMPUTED_VALUE"""),"Marié(e)")</f>
        <v>Marié(e)</v>
      </c>
      <c r="AL208" s="1" t="str">
        <f ca="1">IFERROR(__xludf.DUMMYFUNCTION("""COMPUTED_VALUE"""),"Marié(e)")</f>
        <v>Marié(e)</v>
      </c>
      <c r="AM208" s="1" t="str">
        <f ca="1">IFERROR(__xludf.DUMMYFUNCTION("""COMPUTED_VALUE"""),"F1301")</f>
        <v>F1301</v>
      </c>
    </row>
    <row r="209" spans="1:39" ht="13" x14ac:dyDescent="0.15">
      <c r="A209" s="1" t="str">
        <f ca="1">IFERROR(__xludf.DUMMYFUNCTION("""COMPUTED_VALUE"""),"FALL Abdou Malick")</f>
        <v>FALL Abdou Malick</v>
      </c>
      <c r="B209" s="1" t="str">
        <f ca="1">IFERROR(__xludf.DUMMYFUNCTION("""COMPUTED_VALUE"""),"FALL")</f>
        <v>FALL</v>
      </c>
      <c r="C209" s="1" t="str">
        <f ca="1">IFERROR(__xludf.DUMMYFUNCTION("""COMPUTED_VALUE"""),"Abdou Malick")</f>
        <v>Abdou Malick</v>
      </c>
      <c r="D209" s="1" t="str">
        <f ca="1">IFERROR(__xludf.DUMMYFUNCTION("""COMPUTED_VALUE"""),"1303E2")</f>
        <v>1303E2</v>
      </c>
      <c r="E209" s="2">
        <f ca="1">IFERROR(__xludf.DUMMYFUNCTION("""COMPUTED_VALUE"""),41540)</f>
        <v>41540</v>
      </c>
      <c r="F209" s="1" t="str">
        <f ca="1">IFERROR(__xludf.DUMMYFUNCTION("""COMPUTED_VALUE"""),"5EME1")</f>
        <v>5EME1</v>
      </c>
      <c r="G209" s="1" t="str">
        <f ca="1">IFERROR(__xludf.DUMMYFUNCTION("""COMPUTED_VALUE"""),"5ème")</f>
        <v>5ème</v>
      </c>
      <c r="H209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209" s="1" t="str">
        <f ca="1">IFERROR(__xludf.DUMMYFUNCTION("""COMPUTED_VALUE"""),"LVA Anglais")</f>
        <v>LVA Anglais</v>
      </c>
      <c r="J209" s="1" t="str">
        <f ca="1">IFERROR(__xludf.DUMMYFUNCTION("""COMPUTED_VALUE"""),"LVB Espagnol")</f>
        <v>LVB Espagnol</v>
      </c>
      <c r="K209" s="1"/>
      <c r="L209" s="1"/>
      <c r="M209" s="1"/>
      <c r="N209" s="1" t="str">
        <f ca="1">IFERROR(__xludf.DUMMYFUNCTION("""COMPUTED_VALUE"""),"Garçon")</f>
        <v>Garçon</v>
      </c>
      <c r="O209" s="1"/>
      <c r="P209" s="1" t="str">
        <f ca="1">IFERROR(__xludf.DUMMYFUNCTION("""COMPUTED_VALUE"""),"FRANCE")</f>
        <v>FRANCE</v>
      </c>
      <c r="Q209" s="1" t="str">
        <f ca="1">IFERROR(__xludf.DUMMYFUNCTION("""COMPUTED_VALUE"""),"SENEGAL")</f>
        <v>SENEGAL</v>
      </c>
      <c r="R209" s="1" t="str">
        <f ca="1">IFERROR(__xludf.DUMMYFUNCTION("""COMPUTED_VALUE"""),"abdou.fall@lfjpsaly.org")</f>
        <v>abdou.fall@lfjpsaly.org</v>
      </c>
      <c r="S209" s="1" t="str">
        <f ca="1">IFERROR(__xludf.DUMMYFUNCTION("""COMPUTED_VALUE"""),"+221 76 187 46 18")</f>
        <v>+221 76 187 46 18</v>
      </c>
      <c r="T209" s="1" t="str">
        <f ca="1">IFERROR(__xludf.DUMMYFUNCTION("""COMPUTED_VALUE"""),"FALL Malick")</f>
        <v>FALL Malick</v>
      </c>
      <c r="U209" s="1" t="str">
        <f ca="1">IFERROR(__xludf.DUMMYFUNCTION("""COMPUTED_VALUE"""),"FALL Ndeye")</f>
        <v>FALL Ndeye</v>
      </c>
      <c r="V209" s="1" t="str">
        <f ca="1">IFERROR(__xludf.DUMMYFUNCTION("""COMPUTED_VALUE"""),"malickfall.fall@gmail.com")</f>
        <v>malickfall.fall@gmail.com</v>
      </c>
      <c r="W209" s="1" t="str">
        <f ca="1">IFERROR(__xludf.DUMMYFUNCTION("""COMPUTED_VALUE"""),"nthiounefall@gmail.com")</f>
        <v>nthiounefall@gmail.com</v>
      </c>
      <c r="X209" s="1" t="str">
        <f ca="1">IFERROR(__xludf.DUMMYFUNCTION("""COMPUTED_VALUE"""),"+221 76 931 92 44")</f>
        <v>+221 76 931 92 44</v>
      </c>
      <c r="Y209" s="1" t="str">
        <f ca="1">IFERROR(__xludf.DUMMYFUNCTION("""COMPUTED_VALUE"""),"+221 77 874 72 98")</f>
        <v>+221 77 874 72 98</v>
      </c>
      <c r="Z209" s="1" t="str">
        <f ca="1">IFERROR(__xludf.DUMMYFUNCTION("""COMPUTED_VALUE"""),"+243 819 920 989")</f>
        <v>+243 819 920 989</v>
      </c>
      <c r="AA209" s="1" t="str">
        <f ca="1">IFERROR(__xludf.DUMMYFUNCTION("""COMPUTED_VALUE"""),"+221 77 874 72 98")</f>
        <v>+221 77 874 72 98</v>
      </c>
      <c r="AB209" s="2">
        <f ca="1">IFERROR(__xludf.DUMMYFUNCTION("""COMPUTED_VALUE"""),27893)</f>
        <v>27893</v>
      </c>
      <c r="AC209" s="2">
        <f ca="1">IFERROR(__xludf.DUMMYFUNCTION("""COMPUTED_VALUE"""),28550)</f>
        <v>28550</v>
      </c>
      <c r="AD209" s="1" t="str">
        <f ca="1">IFERROR(__xludf.DUMMYFUNCTION("""COMPUTED_VALUE"""),"PERE")</f>
        <v>PERE</v>
      </c>
      <c r="AE209" s="1" t="str">
        <f ca="1">IFERROR(__xludf.DUMMYFUNCTION("""COMPUTED_VALUE"""),"MERE")</f>
        <v>MERE</v>
      </c>
      <c r="AF209" s="1" t="str">
        <f ca="1">IFERROR(__xludf.DUMMYFUNCTION("""COMPUTED_VALUE"""),"FRANCE")</f>
        <v>FRANCE</v>
      </c>
      <c r="AG209" s="1" t="str">
        <f ca="1">IFERROR(__xludf.DUMMYFUNCTION("""COMPUTED_VALUE"""),"FRANCE")</f>
        <v>FRANCE</v>
      </c>
      <c r="AH209" s="1" t="str">
        <f ca="1">IFERROR(__xludf.DUMMYFUNCTION("""COMPUTED_VALUE"""),"SENEGAL")</f>
        <v>SENEGAL</v>
      </c>
      <c r="AI209" s="1" t="str">
        <f ca="1">IFERROR(__xludf.DUMMYFUNCTION("""COMPUTED_VALUE"""),"SENEGAL")</f>
        <v>SENEGAL</v>
      </c>
      <c r="AJ209" s="1" t="str">
        <f ca="1">IFERROR(__xludf.DUMMYFUNCTION("""COMPUTED_VALUE"""),"F1303")</f>
        <v>F1303</v>
      </c>
      <c r="AK209" s="1" t="str">
        <f ca="1">IFERROR(__xludf.DUMMYFUNCTION("""COMPUTED_VALUE"""),"Marié(e)")</f>
        <v>Marié(e)</v>
      </c>
      <c r="AL209" s="1" t="str">
        <f ca="1">IFERROR(__xludf.DUMMYFUNCTION("""COMPUTED_VALUE"""),"Marié(e)")</f>
        <v>Marié(e)</v>
      </c>
      <c r="AM209" s="1" t="str">
        <f ca="1">IFERROR(__xludf.DUMMYFUNCTION("""COMPUTED_VALUE"""),"F1303")</f>
        <v>F1303</v>
      </c>
    </row>
    <row r="210" spans="1:39" ht="13" x14ac:dyDescent="0.15">
      <c r="A210" s="1" t="str">
        <f ca="1">IFERROR(__xludf.DUMMYFUNCTION("""COMPUTED_VALUE"""),"FALL Adji Magatte")</f>
        <v>FALL Adji Magatte</v>
      </c>
      <c r="B210" s="1" t="str">
        <f ca="1">IFERROR(__xludf.DUMMYFUNCTION("""COMPUTED_VALUE"""),"FALL")</f>
        <v>FALL</v>
      </c>
      <c r="C210" s="1" t="str">
        <f ca="1">IFERROR(__xludf.DUMMYFUNCTION("""COMPUTED_VALUE"""),"Adji Magatte")</f>
        <v>Adji Magatte</v>
      </c>
      <c r="D210" s="1" t="str">
        <f ca="1">IFERROR(__xludf.DUMMYFUNCTION("""COMPUTED_VALUE"""),"1303E3")</f>
        <v>1303E3</v>
      </c>
      <c r="E210" s="2">
        <f ca="1">IFERROR(__xludf.DUMMYFUNCTION("""COMPUTED_VALUE"""),40893)</f>
        <v>40893</v>
      </c>
      <c r="F210" s="1" t="str">
        <f ca="1">IFERROR(__xludf.DUMMYFUNCTION("""COMPUTED_VALUE"""),"3EME2")</f>
        <v>3EME2</v>
      </c>
      <c r="G210" s="1" t="str">
        <f ca="1">IFERROR(__xludf.DUMMYFUNCTION("""COMPUTED_VALUE"""),"3ème")</f>
        <v>3ème</v>
      </c>
      <c r="H210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210" s="1" t="str">
        <f ca="1">IFERROR(__xludf.DUMMYFUNCTION("""COMPUTED_VALUE"""),"LVA Anglais")</f>
        <v>LVA Anglais</v>
      </c>
      <c r="J210" s="1" t="str">
        <f ca="1">IFERROR(__xludf.DUMMYFUNCTION("""COMPUTED_VALUE"""),"LVB Espagnol")</f>
        <v>LVB Espagnol</v>
      </c>
      <c r="K210" s="1"/>
      <c r="L210" s="1"/>
      <c r="M210" s="1"/>
      <c r="N210" s="1" t="str">
        <f ca="1">IFERROR(__xludf.DUMMYFUNCTION("""COMPUTED_VALUE"""),"Fille")</f>
        <v>Fille</v>
      </c>
      <c r="O210" s="1"/>
      <c r="P210" s="1" t="str">
        <f ca="1">IFERROR(__xludf.DUMMYFUNCTION("""COMPUTED_VALUE"""),"FRANCE")</f>
        <v>FRANCE</v>
      </c>
      <c r="Q210" s="1" t="str">
        <f ca="1">IFERROR(__xludf.DUMMYFUNCTION("""COMPUTED_VALUE"""),"SENEGAL")</f>
        <v>SENEGAL</v>
      </c>
      <c r="R210" s="1" t="str">
        <f ca="1">IFERROR(__xludf.DUMMYFUNCTION("""COMPUTED_VALUE"""),"adjimagatte.fall@lfjpsaly.org")</f>
        <v>adjimagatte.fall@lfjpsaly.org</v>
      </c>
      <c r="S210" s="1" t="str">
        <f ca="1">IFERROR(__xludf.DUMMYFUNCTION("""COMPUTED_VALUE"""),"+221 76 538 23 93")</f>
        <v>+221 76 538 23 93</v>
      </c>
      <c r="T210" s="1" t="str">
        <f ca="1">IFERROR(__xludf.DUMMYFUNCTION("""COMPUTED_VALUE"""),"FALL Malick")</f>
        <v>FALL Malick</v>
      </c>
      <c r="U210" s="1" t="str">
        <f ca="1">IFERROR(__xludf.DUMMYFUNCTION("""COMPUTED_VALUE"""),"FALL Ndeye")</f>
        <v>FALL Ndeye</v>
      </c>
      <c r="V210" s="1" t="str">
        <f ca="1">IFERROR(__xludf.DUMMYFUNCTION("""COMPUTED_VALUE"""),"malickfall.fall@gmail.com")</f>
        <v>malickfall.fall@gmail.com</v>
      </c>
      <c r="W210" s="1" t="str">
        <f ca="1">IFERROR(__xludf.DUMMYFUNCTION("""COMPUTED_VALUE"""),"nthiounefall@gmail.com")</f>
        <v>nthiounefall@gmail.com</v>
      </c>
      <c r="X210" s="1" t="str">
        <f ca="1">IFERROR(__xludf.DUMMYFUNCTION("""COMPUTED_VALUE"""),"+221 76 931 92 44")</f>
        <v>+221 76 931 92 44</v>
      </c>
      <c r="Y210" s="1" t="str">
        <f ca="1">IFERROR(__xludf.DUMMYFUNCTION("""COMPUTED_VALUE"""),"+221 77 874 72 98")</f>
        <v>+221 77 874 72 98</v>
      </c>
      <c r="Z210" s="1" t="str">
        <f ca="1">IFERROR(__xludf.DUMMYFUNCTION("""COMPUTED_VALUE"""),"+243 819 920 989")</f>
        <v>+243 819 920 989</v>
      </c>
      <c r="AA210" s="1" t="str">
        <f ca="1">IFERROR(__xludf.DUMMYFUNCTION("""COMPUTED_VALUE"""),"+221 77 874 72 98")</f>
        <v>+221 77 874 72 98</v>
      </c>
      <c r="AB210" s="2">
        <f ca="1">IFERROR(__xludf.DUMMYFUNCTION("""COMPUTED_VALUE"""),27893)</f>
        <v>27893</v>
      </c>
      <c r="AC210" s="2">
        <f ca="1">IFERROR(__xludf.DUMMYFUNCTION("""COMPUTED_VALUE"""),28550)</f>
        <v>28550</v>
      </c>
      <c r="AD210" s="1" t="str">
        <f ca="1">IFERROR(__xludf.DUMMYFUNCTION("""COMPUTED_VALUE"""),"PERE")</f>
        <v>PERE</v>
      </c>
      <c r="AE210" s="1" t="str">
        <f ca="1">IFERROR(__xludf.DUMMYFUNCTION("""COMPUTED_VALUE"""),"MERE")</f>
        <v>MERE</v>
      </c>
      <c r="AF210" s="1" t="str">
        <f ca="1">IFERROR(__xludf.DUMMYFUNCTION("""COMPUTED_VALUE"""),"FRANCE")</f>
        <v>FRANCE</v>
      </c>
      <c r="AG210" s="1" t="str">
        <f ca="1">IFERROR(__xludf.DUMMYFUNCTION("""COMPUTED_VALUE"""),"FRANCE")</f>
        <v>FRANCE</v>
      </c>
      <c r="AH210" s="1" t="str">
        <f ca="1">IFERROR(__xludf.DUMMYFUNCTION("""COMPUTED_VALUE"""),"SENEGAL")</f>
        <v>SENEGAL</v>
      </c>
      <c r="AI210" s="1" t="str">
        <f ca="1">IFERROR(__xludf.DUMMYFUNCTION("""COMPUTED_VALUE"""),"SENEGAL")</f>
        <v>SENEGAL</v>
      </c>
      <c r="AJ210" s="1" t="str">
        <f ca="1">IFERROR(__xludf.DUMMYFUNCTION("""COMPUTED_VALUE"""),"F1303")</f>
        <v>F1303</v>
      </c>
      <c r="AK210" s="1" t="str">
        <f ca="1">IFERROR(__xludf.DUMMYFUNCTION("""COMPUTED_VALUE"""),"Marié(e)")</f>
        <v>Marié(e)</v>
      </c>
      <c r="AL210" s="1" t="str">
        <f ca="1">IFERROR(__xludf.DUMMYFUNCTION("""COMPUTED_VALUE"""),"Marié(e)")</f>
        <v>Marié(e)</v>
      </c>
      <c r="AM210" s="1" t="str">
        <f ca="1">IFERROR(__xludf.DUMMYFUNCTION("""COMPUTED_VALUE"""),"F1303")</f>
        <v>F1303</v>
      </c>
    </row>
    <row r="211" spans="1:39" ht="13" x14ac:dyDescent="0.15">
      <c r="A211" s="1" t="str">
        <f ca="1">IFERROR(__xludf.DUMMYFUNCTION("""COMPUTED_VALUE"""),"FALL Cheikh Saliou Mbacké")</f>
        <v>FALL Cheikh Saliou Mbacké</v>
      </c>
      <c r="B211" s="1" t="str">
        <f ca="1">IFERROR(__xludf.DUMMYFUNCTION("""COMPUTED_VALUE"""),"FALL")</f>
        <v>FALL</v>
      </c>
      <c r="C211" s="1" t="str">
        <f ca="1">IFERROR(__xludf.DUMMYFUNCTION("""COMPUTED_VALUE"""),"Cheikh Saliou Mbacké")</f>
        <v>Cheikh Saliou Mbacké</v>
      </c>
      <c r="D211" s="1" t="str">
        <f ca="1">IFERROR(__xludf.DUMMYFUNCTION("""COMPUTED_VALUE"""),"1304E1")</f>
        <v>1304E1</v>
      </c>
      <c r="E211" s="2">
        <f ca="1">IFERROR(__xludf.DUMMYFUNCTION("""COMPUTED_VALUE"""),39879)</f>
        <v>39879</v>
      </c>
      <c r="F211" s="1" t="str">
        <f ca="1">IFERROR(__xludf.DUMMYFUNCTION("""COMPUTED_VALUE"""),"1ERE1")</f>
        <v>1ERE1</v>
      </c>
      <c r="G211" s="1" t="str">
        <f ca="1">IFERROR(__xludf.DUMMYFUNCTION("""COMPUTED_VALUE"""),"1ère")</f>
        <v>1ère</v>
      </c>
      <c r="H211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211" s="1" t="str">
        <f ca="1">IFERROR(__xludf.DUMMYFUNCTION("""COMPUTED_VALUE"""),"LVA Anglais")</f>
        <v>LVA Anglais</v>
      </c>
      <c r="J211" s="1" t="str">
        <f ca="1">IFERROR(__xludf.DUMMYFUNCTION("""COMPUTED_VALUE"""),"LVB Espagnol")</f>
        <v>LVB Espagnol</v>
      </c>
      <c r="K211" s="1"/>
      <c r="L211" s="1"/>
      <c r="M211" s="1" t="str">
        <f ca="1">IFERROR(__xludf.DUMMYFUNCTION("""COMPUTED_VALUE"""),"SPE SES, SPE SPC, SPE MATHS")</f>
        <v>SPE SES, SPE SPC, SPE MATHS</v>
      </c>
      <c r="N211" s="1" t="str">
        <f ca="1">IFERROR(__xludf.DUMMYFUNCTION("""COMPUTED_VALUE"""),"Garçon")</f>
        <v>Garçon</v>
      </c>
      <c r="O211" s="1"/>
      <c r="P211" s="1" t="str">
        <f ca="1">IFERROR(__xludf.DUMMYFUNCTION("""COMPUTED_VALUE"""),"FRANCE")</f>
        <v>FRANCE</v>
      </c>
      <c r="Q211" s="1" t="str">
        <f ca="1">IFERROR(__xludf.DUMMYFUNCTION("""COMPUTED_VALUE"""),"SENEGAL")</f>
        <v>SENEGAL</v>
      </c>
      <c r="R211" s="1" t="str">
        <f ca="1">IFERROR(__xludf.DUMMYFUNCTION("""COMPUTED_VALUE"""),"cheikh.fall@lfjpsaly.org")</f>
        <v>cheikh.fall@lfjpsaly.org</v>
      </c>
      <c r="S211" s="1" t="str">
        <f ca="1">IFERROR(__xludf.DUMMYFUNCTION("""COMPUTED_VALUE"""),"+221 78 605 99 34")</f>
        <v>+221 78 605 99 34</v>
      </c>
      <c r="T211" s="1" t="str">
        <f ca="1">IFERROR(__xludf.DUMMYFUNCTION("""COMPUTED_VALUE"""),"FALL Sokhna")</f>
        <v>FALL Sokhna</v>
      </c>
      <c r="U211" s="1" t="str">
        <f ca="1">IFERROR(__xludf.DUMMYFUNCTION("""COMPUTED_VALUE"""),"FALL Ndiaga Diop")</f>
        <v>FALL Ndiaga Diop</v>
      </c>
      <c r="V211" s="1" t="str">
        <f ca="1">IFERROR(__xludf.DUMMYFUNCTION("""COMPUTED_VALUE"""),"sokhnayaguefall@gmail.com")</f>
        <v>sokhnayaguefall@gmail.com</v>
      </c>
      <c r="W211" s="1" t="str">
        <f ca="1">IFERROR(__xludf.DUMMYFUNCTION("""COMPUTED_VALUE"""),"niagadfall@gmail.com")</f>
        <v>niagadfall@gmail.com</v>
      </c>
      <c r="X211" s="1" t="str">
        <f ca="1">IFERROR(__xludf.DUMMYFUNCTION("""COMPUTED_VALUE"""),"+221 78 605 99 34")</f>
        <v>+221 78 605 99 34</v>
      </c>
      <c r="Y211" s="1" t="str">
        <f ca="1">IFERROR(__xludf.DUMMYFUNCTION("""COMPUTED_VALUE"""),"+221 77 652 73 06")</f>
        <v>+221 77 652 73 06</v>
      </c>
      <c r="Z211" s="1"/>
      <c r="AA211" s="1"/>
      <c r="AB211" s="2">
        <f ca="1">IFERROR(__xludf.DUMMYFUNCTION("""COMPUTED_VALUE"""),46063)</f>
        <v>46063</v>
      </c>
      <c r="AC211" s="2">
        <f ca="1">IFERROR(__xludf.DUMMYFUNCTION("""COMPUTED_VALUE"""),19725)</f>
        <v>19725</v>
      </c>
      <c r="AD211" s="1" t="str">
        <f ca="1">IFERROR(__xludf.DUMMYFUNCTION("""COMPUTED_VALUE"""),"MERE")</f>
        <v>MERE</v>
      </c>
      <c r="AE211" s="1" t="str">
        <f ca="1">IFERROR(__xludf.DUMMYFUNCTION("""COMPUTED_VALUE"""),"PERE")</f>
        <v>PERE</v>
      </c>
      <c r="AF211" s="1" t="str">
        <f ca="1">IFERROR(__xludf.DUMMYFUNCTION("""COMPUTED_VALUE"""),"SENEGAL")</f>
        <v>SENEGAL</v>
      </c>
      <c r="AG211" s="1" t="str">
        <f ca="1">IFERROR(__xludf.DUMMYFUNCTION("""COMPUTED_VALUE"""),"FRANCE")</f>
        <v>FRANCE</v>
      </c>
      <c r="AH211" s="1"/>
      <c r="AI211" s="1" t="str">
        <f ca="1">IFERROR(__xludf.DUMMYFUNCTION("""COMPUTED_VALUE"""),"SENEGAL")</f>
        <v>SENEGAL</v>
      </c>
      <c r="AJ211" s="1" t="str">
        <f ca="1">IFERROR(__xludf.DUMMYFUNCTION("""COMPUTED_VALUE"""),"F1304")</f>
        <v>F1304</v>
      </c>
      <c r="AK211" s="1" t="str">
        <f ca="1">IFERROR(__xludf.DUMMYFUNCTION("""COMPUTED_VALUE"""),"Marié(e)")</f>
        <v>Marié(e)</v>
      </c>
      <c r="AL211" s="1" t="str">
        <f ca="1">IFERROR(__xludf.DUMMYFUNCTION("""COMPUTED_VALUE"""),"Marié(e)")</f>
        <v>Marié(e)</v>
      </c>
      <c r="AM211" s="1" t="str">
        <f ca="1">IFERROR(__xludf.DUMMYFUNCTION("""COMPUTED_VALUE"""),"F1304")</f>
        <v>F1304</v>
      </c>
    </row>
    <row r="212" spans="1:39" ht="13" x14ac:dyDescent="0.15">
      <c r="A212" s="1" t="str">
        <f ca="1">IFERROR(__xludf.DUMMYFUNCTION("""COMPUTED_VALUE"""),"FALL Djellya Yacine")</f>
        <v>FALL Djellya Yacine</v>
      </c>
      <c r="B212" s="1" t="str">
        <f ca="1">IFERROR(__xludf.DUMMYFUNCTION("""COMPUTED_VALUE"""),"FALL")</f>
        <v>FALL</v>
      </c>
      <c r="C212" s="1" t="str">
        <f ca="1">IFERROR(__xludf.DUMMYFUNCTION("""COMPUTED_VALUE"""),"Djellya Yacine")</f>
        <v>Djellya Yacine</v>
      </c>
      <c r="D212" s="1" t="str">
        <f ca="1">IFERROR(__xludf.DUMMYFUNCTION("""COMPUTED_VALUE"""),"1305E1")</f>
        <v>1305E1</v>
      </c>
      <c r="E212" s="2">
        <f ca="1">IFERROR(__xludf.DUMMYFUNCTION("""COMPUTED_VALUE"""),39469)</f>
        <v>39469</v>
      </c>
      <c r="F212" s="1" t="str">
        <f ca="1">IFERROR(__xludf.DUMMYFUNCTION("""COMPUTED_VALUE"""),"TERMINALE1")</f>
        <v>TERMINALE1</v>
      </c>
      <c r="G212" s="1" t="str">
        <f ca="1">IFERROR(__xludf.DUMMYFUNCTION("""COMPUTED_VALUE"""),"Terminale")</f>
        <v>Terminale</v>
      </c>
      <c r="H212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212" s="1" t="str">
        <f ca="1">IFERROR(__xludf.DUMMYFUNCTION("""COMPUTED_VALUE"""),"LVA Anglais")</f>
        <v>LVA Anglais</v>
      </c>
      <c r="J212" s="1"/>
      <c r="K212" s="1"/>
      <c r="L212" s="1"/>
      <c r="M212" s="1" t="str">
        <f ca="1">IFERROR(__xludf.DUMMYFUNCTION("""COMPUTED_VALUE"""),"SPE MATHS, SPE SVT")</f>
        <v>SPE MATHS, SPE SVT</v>
      </c>
      <c r="N212" s="1" t="str">
        <f ca="1">IFERROR(__xludf.DUMMYFUNCTION("""COMPUTED_VALUE"""),"Fille")</f>
        <v>Fille</v>
      </c>
      <c r="O212" s="1"/>
      <c r="P212" s="1" t="str">
        <f ca="1">IFERROR(__xludf.DUMMYFUNCTION("""COMPUTED_VALUE"""),"FRANCE")</f>
        <v>FRANCE</v>
      </c>
      <c r="Q212" s="1"/>
      <c r="R212" s="1" t="str">
        <f ca="1">IFERROR(__xludf.DUMMYFUNCTION("""COMPUTED_VALUE"""),"djellya.fall@lfjpsaly.org")</f>
        <v>djellya.fall@lfjpsaly.org</v>
      </c>
      <c r="S212" s="1"/>
      <c r="T212" s="1" t="str">
        <f ca="1">IFERROR(__xludf.DUMMYFUNCTION("""COMPUTED_VALUE"""),"LY Hafsatou")</f>
        <v>LY Hafsatou</v>
      </c>
      <c r="U212" s="1"/>
      <c r="V212" s="1" t="str">
        <f ca="1">IFERROR(__xludf.DUMMYFUNCTION("""COMPUTED_VALUE"""),"hafsatouly@orange.fr")</f>
        <v>hafsatouly@orange.fr</v>
      </c>
      <c r="W212" s="1"/>
      <c r="X212" s="1" t="str">
        <f ca="1">IFERROR(__xludf.DUMMYFUNCTION("""COMPUTED_VALUE"""),"+221 77 355 59 59")</f>
        <v>+221 77 355 59 59</v>
      </c>
      <c r="Y212" s="1"/>
      <c r="Z212" s="1"/>
      <c r="AA212" s="1"/>
      <c r="AB212" s="2">
        <f ca="1">IFERROR(__xludf.DUMMYFUNCTION("""COMPUTED_VALUE"""),24088)</f>
        <v>24088</v>
      </c>
      <c r="AC212" s="1"/>
      <c r="AD212" s="1" t="str">
        <f ca="1">IFERROR(__xludf.DUMMYFUNCTION("""COMPUTED_VALUE"""),"MERE")</f>
        <v>MERE</v>
      </c>
      <c r="AE212" s="1"/>
      <c r="AF212" s="1" t="str">
        <f ca="1">IFERROR(__xludf.DUMMYFUNCTION("""COMPUTED_VALUE"""),"FRANCE")</f>
        <v>FRANCE</v>
      </c>
      <c r="AG212" s="1"/>
      <c r="AH212" s="1"/>
      <c r="AI212" s="1"/>
      <c r="AJ212" s="1" t="str">
        <f ca="1">IFERROR(__xludf.DUMMYFUNCTION("""COMPUTED_VALUE"""),"F1305")</f>
        <v>F1305</v>
      </c>
      <c r="AK212" s="1" t="str">
        <f ca="1">IFERROR(__xludf.DUMMYFUNCTION("""COMPUTED_VALUE"""),"Divorcée")</f>
        <v>Divorcée</v>
      </c>
      <c r="AL212" s="1"/>
      <c r="AM212" s="1" t="str">
        <f ca="1">IFERROR(__xludf.DUMMYFUNCTION("""COMPUTED_VALUE"""),"F1305")</f>
        <v>F1305</v>
      </c>
    </row>
    <row r="213" spans="1:39" ht="13" x14ac:dyDescent="0.15">
      <c r="A213" s="1" t="str">
        <f ca="1">IFERROR(__xludf.DUMMYFUNCTION("""COMPUTED_VALUE"""),"FALL Mame Asta Walo")</f>
        <v>FALL Mame Asta Walo</v>
      </c>
      <c r="B213" s="1" t="str">
        <f ca="1">IFERROR(__xludf.DUMMYFUNCTION("""COMPUTED_VALUE"""),"FALL")</f>
        <v>FALL</v>
      </c>
      <c r="C213" s="1" t="str">
        <f ca="1">IFERROR(__xludf.DUMMYFUNCTION("""COMPUTED_VALUE"""),"Mame Asta Walo")</f>
        <v>Mame Asta Walo</v>
      </c>
      <c r="D213" s="1" t="str">
        <f ca="1">IFERROR(__xludf.DUMMYFUNCTION("""COMPUTED_VALUE"""),"1304E2")</f>
        <v>1304E2</v>
      </c>
      <c r="E213" s="2">
        <f ca="1">IFERROR(__xludf.DUMMYFUNCTION("""COMPUTED_VALUE"""),40290)</f>
        <v>40290</v>
      </c>
      <c r="F213" s="1" t="str">
        <f ca="1">IFERROR(__xludf.DUMMYFUNCTION("""COMPUTED_VALUE"""),"4EME1")</f>
        <v>4EME1</v>
      </c>
      <c r="G213" s="1" t="str">
        <f ca="1">IFERROR(__xludf.DUMMYFUNCTION("""COMPUTED_VALUE"""),"4ème")</f>
        <v>4ème</v>
      </c>
      <c r="H213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213" s="1" t="str">
        <f ca="1">IFERROR(__xludf.DUMMYFUNCTION("""COMPUTED_VALUE"""),"LVA Anglais")</f>
        <v>LVA Anglais</v>
      </c>
      <c r="J213" s="1" t="str">
        <f ca="1">IFERROR(__xludf.DUMMYFUNCTION("""COMPUTED_VALUE"""),"LVB Espagnol")</f>
        <v>LVB Espagnol</v>
      </c>
      <c r="K213" s="1"/>
      <c r="L213" s="1"/>
      <c r="M213" s="1"/>
      <c r="N213" s="1" t="str">
        <f ca="1">IFERROR(__xludf.DUMMYFUNCTION("""COMPUTED_VALUE"""),"Fille")</f>
        <v>Fille</v>
      </c>
      <c r="O213" s="1"/>
      <c r="P213" s="1" t="str">
        <f ca="1">IFERROR(__xludf.DUMMYFUNCTION("""COMPUTED_VALUE"""),"FRANCE")</f>
        <v>FRANCE</v>
      </c>
      <c r="Q213" s="1" t="str">
        <f ca="1">IFERROR(__xludf.DUMMYFUNCTION("""COMPUTED_VALUE"""),"SENEGAL")</f>
        <v>SENEGAL</v>
      </c>
      <c r="R213" s="1" t="str">
        <f ca="1">IFERROR(__xludf.DUMMYFUNCTION("""COMPUTED_VALUE"""),"mame.fall@lfjpsaly.org")</f>
        <v>mame.fall@lfjpsaly.org</v>
      </c>
      <c r="S213" s="1" t="str">
        <f ca="1">IFERROR(__xludf.DUMMYFUNCTION("""COMPUTED_VALUE"""),"+221 78 605 99 34")</f>
        <v>+221 78 605 99 34</v>
      </c>
      <c r="T213" s="1" t="str">
        <f ca="1">IFERROR(__xludf.DUMMYFUNCTION("""COMPUTED_VALUE"""),"FALL Sokhna")</f>
        <v>FALL Sokhna</v>
      </c>
      <c r="U213" s="1" t="str">
        <f ca="1">IFERROR(__xludf.DUMMYFUNCTION("""COMPUTED_VALUE"""),"FALL Ndiaga Diop")</f>
        <v>FALL Ndiaga Diop</v>
      </c>
      <c r="V213" s="1" t="str">
        <f ca="1">IFERROR(__xludf.DUMMYFUNCTION("""COMPUTED_VALUE"""),"sokhnayaguefall@gmail.com")</f>
        <v>sokhnayaguefall@gmail.com</v>
      </c>
      <c r="W213" s="1" t="str">
        <f ca="1">IFERROR(__xludf.DUMMYFUNCTION("""COMPUTED_VALUE"""),"niagadfall@gmail.com")</f>
        <v>niagadfall@gmail.com</v>
      </c>
      <c r="X213" s="1" t="str">
        <f ca="1">IFERROR(__xludf.DUMMYFUNCTION("""COMPUTED_VALUE"""),"+221 78 605 99 34")</f>
        <v>+221 78 605 99 34</v>
      </c>
      <c r="Y213" s="1" t="str">
        <f ca="1">IFERROR(__xludf.DUMMYFUNCTION("""COMPUTED_VALUE"""),"+221 77 652 73 06")</f>
        <v>+221 77 652 73 06</v>
      </c>
      <c r="Z213" s="1"/>
      <c r="AA213" s="1"/>
      <c r="AB213" s="2">
        <f ca="1">IFERROR(__xludf.DUMMYFUNCTION("""COMPUTED_VALUE"""),46063)</f>
        <v>46063</v>
      </c>
      <c r="AC213" s="2">
        <f ca="1">IFERROR(__xludf.DUMMYFUNCTION("""COMPUTED_VALUE"""),19725)</f>
        <v>19725</v>
      </c>
      <c r="AD213" s="1" t="str">
        <f ca="1">IFERROR(__xludf.DUMMYFUNCTION("""COMPUTED_VALUE"""),"MERE")</f>
        <v>MERE</v>
      </c>
      <c r="AE213" s="1" t="str">
        <f ca="1">IFERROR(__xludf.DUMMYFUNCTION("""COMPUTED_VALUE"""),"PERE")</f>
        <v>PERE</v>
      </c>
      <c r="AF213" s="1" t="str">
        <f ca="1">IFERROR(__xludf.DUMMYFUNCTION("""COMPUTED_VALUE"""),"SENEGAL")</f>
        <v>SENEGAL</v>
      </c>
      <c r="AG213" s="1" t="str">
        <f ca="1">IFERROR(__xludf.DUMMYFUNCTION("""COMPUTED_VALUE"""),"FRANCE")</f>
        <v>FRANCE</v>
      </c>
      <c r="AH213" s="1"/>
      <c r="AI213" s="1" t="str">
        <f ca="1">IFERROR(__xludf.DUMMYFUNCTION("""COMPUTED_VALUE"""),"SENEGAL")</f>
        <v>SENEGAL</v>
      </c>
      <c r="AJ213" s="1" t="str">
        <f ca="1">IFERROR(__xludf.DUMMYFUNCTION("""COMPUTED_VALUE"""),"F1304")</f>
        <v>F1304</v>
      </c>
      <c r="AK213" s="1" t="str">
        <f ca="1">IFERROR(__xludf.DUMMYFUNCTION("""COMPUTED_VALUE"""),"Marié(e)")</f>
        <v>Marié(e)</v>
      </c>
      <c r="AL213" s="1" t="str">
        <f ca="1">IFERROR(__xludf.DUMMYFUNCTION("""COMPUTED_VALUE"""),"Marié(e)")</f>
        <v>Marié(e)</v>
      </c>
      <c r="AM213" s="1" t="str">
        <f ca="1">IFERROR(__xludf.DUMMYFUNCTION("""COMPUTED_VALUE"""),"F1304")</f>
        <v>F1304</v>
      </c>
    </row>
    <row r="214" spans="1:39" ht="13" x14ac:dyDescent="0.15">
      <c r="A214" s="1" t="str">
        <f ca="1">IFERROR(__xludf.DUMMYFUNCTION("""COMPUTED_VALUE"""),"FALL Maty Birane")</f>
        <v>FALL Maty Birane</v>
      </c>
      <c r="B214" s="1" t="str">
        <f ca="1">IFERROR(__xludf.DUMMYFUNCTION("""COMPUTED_VALUE"""),"FALL")</f>
        <v>FALL</v>
      </c>
      <c r="C214" s="1" t="str">
        <f ca="1">IFERROR(__xludf.DUMMYFUNCTION("""COMPUTED_VALUE"""),"Maty Birane")</f>
        <v>Maty Birane</v>
      </c>
      <c r="D214" s="1" t="str">
        <f ca="1">IFERROR(__xludf.DUMMYFUNCTION("""COMPUTED_VALUE"""),"1304E3")</f>
        <v>1304E3</v>
      </c>
      <c r="E214" s="2">
        <f ca="1">IFERROR(__xludf.DUMMYFUNCTION("""COMPUTED_VALUE"""),41265)</f>
        <v>41265</v>
      </c>
      <c r="F214" s="1" t="str">
        <f ca="1">IFERROR(__xludf.DUMMYFUNCTION("""COMPUTED_VALUE"""),"5EME1")</f>
        <v>5EME1</v>
      </c>
      <c r="G214" s="1" t="str">
        <f ca="1">IFERROR(__xludf.DUMMYFUNCTION("""COMPUTED_VALUE"""),"5ème")</f>
        <v>5ème</v>
      </c>
      <c r="H214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214" s="1" t="str">
        <f ca="1">IFERROR(__xludf.DUMMYFUNCTION("""COMPUTED_VALUE"""),"LVA Anglais")</f>
        <v>LVA Anglais</v>
      </c>
      <c r="J214" s="1" t="str">
        <f ca="1">IFERROR(__xludf.DUMMYFUNCTION("""COMPUTED_VALUE"""),"LVB Espagnol")</f>
        <v>LVB Espagnol</v>
      </c>
      <c r="K214" s="1"/>
      <c r="L214" s="1"/>
      <c r="M214" s="1"/>
      <c r="N214" s="1" t="str">
        <f ca="1">IFERROR(__xludf.DUMMYFUNCTION("""COMPUTED_VALUE"""),"Garçon")</f>
        <v>Garçon</v>
      </c>
      <c r="O214" s="1"/>
      <c r="P214" s="1" t="str">
        <f ca="1">IFERROR(__xludf.DUMMYFUNCTION("""COMPUTED_VALUE"""),"FRANCE")</f>
        <v>FRANCE</v>
      </c>
      <c r="Q214" s="1" t="str">
        <f ca="1">IFERROR(__xludf.DUMMYFUNCTION("""COMPUTED_VALUE"""),"SENEGAL")</f>
        <v>SENEGAL</v>
      </c>
      <c r="R214" s="1" t="str">
        <f ca="1">IFERROR(__xludf.DUMMYFUNCTION("""COMPUTED_VALUE"""),"maty.fall@lfjpsaly.org")</f>
        <v>maty.fall@lfjpsaly.org</v>
      </c>
      <c r="S214" s="1" t="str">
        <f ca="1">IFERROR(__xludf.DUMMYFUNCTION("""COMPUTED_VALUE"""),"+221 78 605 99 34")</f>
        <v>+221 78 605 99 34</v>
      </c>
      <c r="T214" s="1" t="str">
        <f ca="1">IFERROR(__xludf.DUMMYFUNCTION("""COMPUTED_VALUE"""),"FALL Sokhna")</f>
        <v>FALL Sokhna</v>
      </c>
      <c r="U214" s="1" t="str">
        <f ca="1">IFERROR(__xludf.DUMMYFUNCTION("""COMPUTED_VALUE"""),"FALL Ndiaga Diop")</f>
        <v>FALL Ndiaga Diop</v>
      </c>
      <c r="V214" s="1" t="str">
        <f ca="1">IFERROR(__xludf.DUMMYFUNCTION("""COMPUTED_VALUE"""),"sokhnayaguefall@gmail.com")</f>
        <v>sokhnayaguefall@gmail.com</v>
      </c>
      <c r="W214" s="1" t="str">
        <f ca="1">IFERROR(__xludf.DUMMYFUNCTION("""COMPUTED_VALUE"""),"niagadfall@gmail.com")</f>
        <v>niagadfall@gmail.com</v>
      </c>
      <c r="X214" s="1" t="str">
        <f ca="1">IFERROR(__xludf.DUMMYFUNCTION("""COMPUTED_VALUE"""),"+221 78 605 99 34")</f>
        <v>+221 78 605 99 34</v>
      </c>
      <c r="Y214" s="1" t="str">
        <f ca="1">IFERROR(__xludf.DUMMYFUNCTION("""COMPUTED_VALUE"""),"+221 77 652 73 06")</f>
        <v>+221 77 652 73 06</v>
      </c>
      <c r="Z214" s="1"/>
      <c r="AA214" s="1"/>
      <c r="AB214" s="2">
        <f ca="1">IFERROR(__xludf.DUMMYFUNCTION("""COMPUTED_VALUE"""),46063)</f>
        <v>46063</v>
      </c>
      <c r="AC214" s="2">
        <f ca="1">IFERROR(__xludf.DUMMYFUNCTION("""COMPUTED_VALUE"""),19725)</f>
        <v>19725</v>
      </c>
      <c r="AD214" s="1" t="str">
        <f ca="1">IFERROR(__xludf.DUMMYFUNCTION("""COMPUTED_VALUE"""),"MERE")</f>
        <v>MERE</v>
      </c>
      <c r="AE214" s="1" t="str">
        <f ca="1">IFERROR(__xludf.DUMMYFUNCTION("""COMPUTED_VALUE"""),"PERE")</f>
        <v>PERE</v>
      </c>
      <c r="AF214" s="1" t="str">
        <f ca="1">IFERROR(__xludf.DUMMYFUNCTION("""COMPUTED_VALUE"""),"SENEGAL")</f>
        <v>SENEGAL</v>
      </c>
      <c r="AG214" s="1" t="str">
        <f ca="1">IFERROR(__xludf.DUMMYFUNCTION("""COMPUTED_VALUE"""),"FRANCE")</f>
        <v>FRANCE</v>
      </c>
      <c r="AH214" s="1"/>
      <c r="AI214" s="1" t="str">
        <f ca="1">IFERROR(__xludf.DUMMYFUNCTION("""COMPUTED_VALUE"""),"SENEGAL")</f>
        <v>SENEGAL</v>
      </c>
      <c r="AJ214" s="1" t="str">
        <f ca="1">IFERROR(__xludf.DUMMYFUNCTION("""COMPUTED_VALUE"""),"F1304")</f>
        <v>F1304</v>
      </c>
      <c r="AK214" s="1" t="str">
        <f ca="1">IFERROR(__xludf.DUMMYFUNCTION("""COMPUTED_VALUE"""),"Marié(e)")</f>
        <v>Marié(e)</v>
      </c>
      <c r="AL214" s="1" t="str">
        <f ca="1">IFERROR(__xludf.DUMMYFUNCTION("""COMPUTED_VALUE"""),"Marié(e)")</f>
        <v>Marié(e)</v>
      </c>
      <c r="AM214" s="1" t="str">
        <f ca="1">IFERROR(__xludf.DUMMYFUNCTION("""COMPUTED_VALUE"""),"F1304")</f>
        <v>F1304</v>
      </c>
    </row>
    <row r="215" spans="1:39" ht="13" x14ac:dyDescent="0.15">
      <c r="A215" s="1" t="str">
        <f ca="1">IFERROR(__xludf.DUMMYFUNCTION("""COMPUTED_VALUE"""),"FALL Mouhamad Alhassane")</f>
        <v>FALL Mouhamad Alhassane</v>
      </c>
      <c r="B215" s="1" t="str">
        <f ca="1">IFERROR(__xludf.DUMMYFUNCTION("""COMPUTED_VALUE"""),"FALL")</f>
        <v>FALL</v>
      </c>
      <c r="C215" s="1" t="str">
        <f ca="1">IFERROR(__xludf.DUMMYFUNCTION("""COMPUTED_VALUE"""),"Mouhamad Alhassane")</f>
        <v>Mouhamad Alhassane</v>
      </c>
      <c r="D215" s="1" t="str">
        <f ca="1">IFERROR(__xludf.DUMMYFUNCTION("""COMPUTED_VALUE"""),"1303E1")</f>
        <v>1303E1</v>
      </c>
      <c r="E215" s="2">
        <f ca="1">IFERROR(__xludf.DUMMYFUNCTION("""COMPUTED_VALUE"""),43565)</f>
        <v>43565</v>
      </c>
      <c r="F215" s="1" t="str">
        <f ca="1">IFERROR(__xludf.DUMMYFUNCTION("""COMPUTED_VALUE"""),"CP-CE2")</f>
        <v>CP-CE2</v>
      </c>
      <c r="G215" s="1" t="str">
        <f ca="1">IFERROR(__xludf.DUMMYFUNCTION("""COMPUTED_VALUE"""),"CP")</f>
        <v>CP</v>
      </c>
      <c r="H215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215" s="1"/>
      <c r="J215" s="1"/>
      <c r="K215" s="1"/>
      <c r="L215" s="1"/>
      <c r="M215" s="1"/>
      <c r="N215" s="1" t="str">
        <f ca="1">IFERROR(__xludf.DUMMYFUNCTION("""COMPUTED_VALUE"""),"Garçon")</f>
        <v>Garçon</v>
      </c>
      <c r="O215" s="1"/>
      <c r="P215" s="1" t="str">
        <f ca="1">IFERROR(__xludf.DUMMYFUNCTION("""COMPUTED_VALUE"""),"FRANCE")</f>
        <v>FRANCE</v>
      </c>
      <c r="Q215" s="1" t="str">
        <f ca="1">IFERROR(__xludf.DUMMYFUNCTION("""COMPUTED_VALUE"""),"SENEGAL")</f>
        <v>SENEGAL</v>
      </c>
      <c r="R215" s="1"/>
      <c r="S215" s="1"/>
      <c r="T215" s="1" t="str">
        <f ca="1">IFERROR(__xludf.DUMMYFUNCTION("""COMPUTED_VALUE"""),"FALL Malick")</f>
        <v>FALL Malick</v>
      </c>
      <c r="U215" s="1" t="str">
        <f ca="1">IFERROR(__xludf.DUMMYFUNCTION("""COMPUTED_VALUE"""),"FALL Ndeye")</f>
        <v>FALL Ndeye</v>
      </c>
      <c r="V215" s="1" t="str">
        <f ca="1">IFERROR(__xludf.DUMMYFUNCTION("""COMPUTED_VALUE"""),"malickfall.fall@gmail.com")</f>
        <v>malickfall.fall@gmail.com</v>
      </c>
      <c r="W215" s="1" t="str">
        <f ca="1">IFERROR(__xludf.DUMMYFUNCTION("""COMPUTED_VALUE"""),"nthiounefall@gmail.com")</f>
        <v>nthiounefall@gmail.com</v>
      </c>
      <c r="X215" s="1" t="str">
        <f ca="1">IFERROR(__xludf.DUMMYFUNCTION("""COMPUTED_VALUE"""),"+221 76 931 92 44")</f>
        <v>+221 76 931 92 44</v>
      </c>
      <c r="Y215" s="1" t="str">
        <f ca="1">IFERROR(__xludf.DUMMYFUNCTION("""COMPUTED_VALUE"""),"+221 77 874 72 98")</f>
        <v>+221 77 874 72 98</v>
      </c>
      <c r="Z215" s="1" t="str">
        <f ca="1">IFERROR(__xludf.DUMMYFUNCTION("""COMPUTED_VALUE"""),"+243 819 920 989")</f>
        <v>+243 819 920 989</v>
      </c>
      <c r="AA215" s="1" t="str">
        <f ca="1">IFERROR(__xludf.DUMMYFUNCTION("""COMPUTED_VALUE"""),"+221 77 874 72 98")</f>
        <v>+221 77 874 72 98</v>
      </c>
      <c r="AB215" s="2">
        <f ca="1">IFERROR(__xludf.DUMMYFUNCTION("""COMPUTED_VALUE"""),27893)</f>
        <v>27893</v>
      </c>
      <c r="AC215" s="2">
        <f ca="1">IFERROR(__xludf.DUMMYFUNCTION("""COMPUTED_VALUE"""),28550)</f>
        <v>28550</v>
      </c>
      <c r="AD215" s="1" t="str">
        <f ca="1">IFERROR(__xludf.DUMMYFUNCTION("""COMPUTED_VALUE"""),"PERE")</f>
        <v>PERE</v>
      </c>
      <c r="AE215" s="1" t="str">
        <f ca="1">IFERROR(__xludf.DUMMYFUNCTION("""COMPUTED_VALUE"""),"MERE")</f>
        <v>MERE</v>
      </c>
      <c r="AF215" s="1" t="str">
        <f ca="1">IFERROR(__xludf.DUMMYFUNCTION("""COMPUTED_VALUE"""),"FRANCE")</f>
        <v>FRANCE</v>
      </c>
      <c r="AG215" s="1" t="str">
        <f ca="1">IFERROR(__xludf.DUMMYFUNCTION("""COMPUTED_VALUE"""),"FRANCE")</f>
        <v>FRANCE</v>
      </c>
      <c r="AH215" s="1" t="str">
        <f ca="1">IFERROR(__xludf.DUMMYFUNCTION("""COMPUTED_VALUE"""),"SENEGAL")</f>
        <v>SENEGAL</v>
      </c>
      <c r="AI215" s="1" t="str">
        <f ca="1">IFERROR(__xludf.DUMMYFUNCTION("""COMPUTED_VALUE"""),"SENEGAL")</f>
        <v>SENEGAL</v>
      </c>
      <c r="AJ215" s="1" t="str">
        <f ca="1">IFERROR(__xludf.DUMMYFUNCTION("""COMPUTED_VALUE"""),"F1303")</f>
        <v>F1303</v>
      </c>
      <c r="AK215" s="1" t="str">
        <f ca="1">IFERROR(__xludf.DUMMYFUNCTION("""COMPUTED_VALUE"""),"Marié(e)")</f>
        <v>Marié(e)</v>
      </c>
      <c r="AL215" s="1" t="str">
        <f ca="1">IFERROR(__xludf.DUMMYFUNCTION("""COMPUTED_VALUE"""),"Marié(e)")</f>
        <v>Marié(e)</v>
      </c>
      <c r="AM215" s="1" t="str">
        <f ca="1">IFERROR(__xludf.DUMMYFUNCTION("""COMPUTED_VALUE"""),"F1303")</f>
        <v>F1303</v>
      </c>
    </row>
    <row r="216" spans="1:39" ht="13" x14ac:dyDescent="0.15">
      <c r="A216" s="1" t="str">
        <f ca="1">IFERROR(__xludf.DUMMYFUNCTION("""COMPUTED_VALUE"""),"FALL Souleymane")</f>
        <v>FALL Souleymane</v>
      </c>
      <c r="B216" s="1" t="str">
        <f ca="1">IFERROR(__xludf.DUMMYFUNCTION("""COMPUTED_VALUE"""),"FALL")</f>
        <v>FALL</v>
      </c>
      <c r="C216" s="1" t="str">
        <f ca="1">IFERROR(__xludf.DUMMYFUNCTION("""COMPUTED_VALUE"""),"Souleymane")</f>
        <v>Souleymane</v>
      </c>
      <c r="D216" s="1" t="str">
        <f ca="1">IFERROR(__xludf.DUMMYFUNCTION("""COMPUTED_VALUE"""),"1308E1")</f>
        <v>1308E1</v>
      </c>
      <c r="E216" s="2">
        <f ca="1">IFERROR(__xludf.DUMMYFUNCTION("""COMPUTED_VALUE"""),39366)</f>
        <v>39366</v>
      </c>
      <c r="F216" s="1" t="str">
        <f ca="1">IFERROR(__xludf.DUMMYFUNCTION("""COMPUTED_VALUE"""),"1ERE1")</f>
        <v>1ERE1</v>
      </c>
      <c r="G216" s="1" t="str">
        <f ca="1">IFERROR(__xludf.DUMMYFUNCTION("""COMPUTED_VALUE"""),"1ère")</f>
        <v>1ère</v>
      </c>
      <c r="H216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216" s="1" t="str">
        <f ca="1">IFERROR(__xludf.DUMMYFUNCTION("""COMPUTED_VALUE"""),"LVA Anglais")</f>
        <v>LVA Anglais</v>
      </c>
      <c r="J216" s="1" t="str">
        <f ca="1">IFERROR(__xludf.DUMMYFUNCTION("""COMPUTED_VALUE"""),"LVB Espagnol")</f>
        <v>LVB Espagnol</v>
      </c>
      <c r="K216" s="1"/>
      <c r="L216" s="1"/>
      <c r="M216" s="1" t="str">
        <f ca="1">IFERROR(__xludf.DUMMYFUNCTION("""COMPUTED_VALUE"""),"SPE HGGSP, SPE LLCE AMC, SPE SES")</f>
        <v>SPE HGGSP, SPE LLCE AMC, SPE SES</v>
      </c>
      <c r="N216" s="1" t="str">
        <f ca="1">IFERROR(__xludf.DUMMYFUNCTION("""COMPUTED_VALUE"""),"Garçon")</f>
        <v>Garçon</v>
      </c>
      <c r="O216" s="1"/>
      <c r="P216" s="1" t="str">
        <f ca="1">IFERROR(__xludf.DUMMYFUNCTION("""COMPUTED_VALUE"""),"FRANCE")</f>
        <v>FRANCE</v>
      </c>
      <c r="Q216" s="1"/>
      <c r="R216" s="1" t="str">
        <f ca="1">IFERROR(__xludf.DUMMYFUNCTION("""COMPUTED_VALUE"""),"souleymane.fall@lfjpsaly.org")</f>
        <v>souleymane.fall@lfjpsaly.org</v>
      </c>
      <c r="S216" s="1" t="str">
        <f ca="1">IFERROR(__xludf.DUMMYFUNCTION("""COMPUTED_VALUE"""),"+221 76 818 19 30")</f>
        <v>+221 76 818 19 30</v>
      </c>
      <c r="T216" s="1" t="str">
        <f ca="1">IFERROR(__xludf.DUMMYFUNCTION("""COMPUTED_VALUE"""),"SANÉ Thierno El Hadi Moctar")</f>
        <v>SANÉ Thierno El Hadi Moctar</v>
      </c>
      <c r="U216" s="1"/>
      <c r="V216" s="1" t="str">
        <f ca="1">IFERROR(__xludf.DUMMYFUNCTION("""COMPUTED_VALUE"""),"soulaymanedixhuit@gmail.com")</f>
        <v>soulaymanedixhuit@gmail.com</v>
      </c>
      <c r="W216" s="1"/>
      <c r="X216" s="1" t="str">
        <f ca="1">IFERROR(__xludf.DUMMYFUNCTION("""COMPUTED_VALUE"""),"+221 78 922 44 72")</f>
        <v>+221 78 922 44 72</v>
      </c>
      <c r="Y216" s="1"/>
      <c r="Z216" s="1" t="str">
        <f ca="1">IFERROR(__xludf.DUMMYFUNCTION("""COMPUTED_VALUE"""),"+221")</f>
        <v>+221</v>
      </c>
      <c r="AA216" s="1"/>
      <c r="AB216" s="2">
        <f ca="1">IFERROR(__xludf.DUMMYFUNCTION("""COMPUTED_VALUE"""),29722)</f>
        <v>29722</v>
      </c>
      <c r="AC216" s="1"/>
      <c r="AD216" s="1" t="str">
        <f ca="1">IFERROR(__xludf.DUMMYFUNCTION("""COMPUTED_VALUE"""),"TUTEUR")</f>
        <v>TUTEUR</v>
      </c>
      <c r="AE216" s="1"/>
      <c r="AF216" s="1" t="str">
        <f ca="1">IFERROR(__xludf.DUMMYFUNCTION("""COMPUTED_VALUE"""),"SENEGAL")</f>
        <v>SENEGAL</v>
      </c>
      <c r="AG216" s="1"/>
      <c r="AH216" s="1"/>
      <c r="AI216" s="1"/>
      <c r="AJ216" s="1" t="str">
        <f ca="1">IFERROR(__xludf.DUMMYFUNCTION("""COMPUTED_VALUE"""),"F1308")</f>
        <v>F1308</v>
      </c>
      <c r="AK216" s="1" t="str">
        <f ca="1">IFERROR(__xludf.DUMMYFUNCTION("""COMPUTED_VALUE"""),"Divorcée")</f>
        <v>Divorcée</v>
      </c>
      <c r="AL216" s="1"/>
      <c r="AM216" s="1" t="str">
        <f ca="1">IFERROR(__xludf.DUMMYFUNCTION("""COMPUTED_VALUE"""),"F1308")</f>
        <v>F1308</v>
      </c>
    </row>
    <row r="217" spans="1:39" ht="13" x14ac:dyDescent="0.15">
      <c r="A217" s="1" t="str">
        <f ca="1">IFERROR(__xludf.DUMMYFUNCTION("""COMPUTED_VALUE"""),"FALL CLAMENS Omar  Louis")</f>
        <v>FALL CLAMENS Omar  Louis</v>
      </c>
      <c r="B217" s="1" t="str">
        <f ca="1">IFERROR(__xludf.DUMMYFUNCTION("""COMPUTED_VALUE"""),"FALL CLAMENS")</f>
        <v>FALL CLAMENS</v>
      </c>
      <c r="C217" s="1" t="str">
        <f ca="1">IFERROR(__xludf.DUMMYFUNCTION("""COMPUTED_VALUE"""),"Omar  Louis")</f>
        <v>Omar  Louis</v>
      </c>
      <c r="D217" s="1" t="str">
        <f ca="1">IFERROR(__xludf.DUMMYFUNCTION("""COMPUTED_VALUE"""),"1302E1")</f>
        <v>1302E1</v>
      </c>
      <c r="E217" s="2">
        <f ca="1">IFERROR(__xludf.DUMMYFUNCTION("""COMPUTED_VALUE"""),39114)</f>
        <v>39114</v>
      </c>
      <c r="F217" s="1" t="str">
        <f ca="1">IFERROR(__xludf.DUMMYFUNCTION("""COMPUTED_VALUE"""),"TERMINALE2")</f>
        <v>TERMINALE2</v>
      </c>
      <c r="G217" s="1" t="str">
        <f ca="1">IFERROR(__xludf.DUMMYFUNCTION("""COMPUTED_VALUE"""),"Terminale")</f>
        <v>Terminale</v>
      </c>
      <c r="H217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217" s="1" t="str">
        <f ca="1">IFERROR(__xludf.DUMMYFUNCTION("""COMPUTED_VALUE"""),"LVA Anglais")</f>
        <v>LVA Anglais</v>
      </c>
      <c r="J217" s="1" t="str">
        <f ca="1">IFERROR(__xludf.DUMMYFUNCTION("""COMPUTED_VALUE"""),"LVB Espagnol")</f>
        <v>LVB Espagnol</v>
      </c>
      <c r="K217" s="1"/>
      <c r="L217" s="1"/>
      <c r="M217" s="1" t="str">
        <f ca="1">IFERROR(__xludf.DUMMYFUNCTION("""COMPUTED_VALUE"""),"SPE HGGSP, SPE SES")</f>
        <v>SPE HGGSP, SPE SES</v>
      </c>
      <c r="N217" s="1" t="str">
        <f ca="1">IFERROR(__xludf.DUMMYFUNCTION("""COMPUTED_VALUE"""),"Garçon")</f>
        <v>Garçon</v>
      </c>
      <c r="O217" s="1"/>
      <c r="P217" s="1" t="str">
        <f ca="1">IFERROR(__xludf.DUMMYFUNCTION("""COMPUTED_VALUE"""),"FRANCE")</f>
        <v>FRANCE</v>
      </c>
      <c r="Q217" s="1" t="str">
        <f ca="1">IFERROR(__xludf.DUMMYFUNCTION("""COMPUTED_VALUE"""),"SENEGAL")</f>
        <v>SENEGAL</v>
      </c>
      <c r="R217" s="1" t="str">
        <f ca="1">IFERROR(__xludf.DUMMYFUNCTION("""COMPUTED_VALUE"""),"omar.fallclamens@lfjpsaly.org")</f>
        <v>omar.fallclamens@lfjpsaly.org</v>
      </c>
      <c r="S217" s="1"/>
      <c r="T217" s="1" t="str">
        <f ca="1">IFERROR(__xludf.DUMMYFUNCTION("""COMPUTED_VALUE"""),"CLAMENS-BURGER Chantal")</f>
        <v>CLAMENS-BURGER Chantal</v>
      </c>
      <c r="U217" s="1"/>
      <c r="V217" s="1" t="str">
        <f ca="1">IFERROR(__xludf.DUMMYFUNCTION("""COMPUTED_VALUE"""),"chantal.burger@yahoo.fr")</f>
        <v>chantal.burger@yahoo.fr</v>
      </c>
      <c r="W217" s="1"/>
      <c r="X217" s="1" t="str">
        <f ca="1">IFERROR(__xludf.DUMMYFUNCTION("""COMPUTED_VALUE"""),"+221 77 453 20 72")</f>
        <v>+221 77 453 20 72</v>
      </c>
      <c r="Y217" s="1"/>
      <c r="Z217" s="1"/>
      <c r="AA217" s="1"/>
      <c r="AB217" s="2">
        <f ca="1">IFERROR(__xludf.DUMMYFUNCTION("""COMPUTED_VALUE"""),18075)</f>
        <v>18075</v>
      </c>
      <c r="AC217" s="1"/>
      <c r="AD217" s="1" t="str">
        <f ca="1">IFERROR(__xludf.DUMMYFUNCTION("""COMPUTED_VALUE"""),"MERE")</f>
        <v>MERE</v>
      </c>
      <c r="AE217" s="1"/>
      <c r="AF217" s="1" t="str">
        <f ca="1">IFERROR(__xludf.DUMMYFUNCTION("""COMPUTED_VALUE"""),"FRANCE")</f>
        <v>FRANCE</v>
      </c>
      <c r="AG217" s="1"/>
      <c r="AH217" s="1"/>
      <c r="AI217" s="1"/>
      <c r="AJ217" s="1" t="str">
        <f ca="1">IFERROR(__xludf.DUMMYFUNCTION("""COMPUTED_VALUE"""),"F1302")</f>
        <v>F1302</v>
      </c>
      <c r="AK217" s="1" t="str">
        <f ca="1">IFERROR(__xludf.DUMMYFUNCTION("""COMPUTED_VALUE"""),"Veuf(ve)")</f>
        <v>Veuf(ve)</v>
      </c>
      <c r="AL217" s="1"/>
      <c r="AM217" s="1" t="str">
        <f ca="1">IFERROR(__xludf.DUMMYFUNCTION("""COMPUTED_VALUE"""),"F1302")</f>
        <v>F1302</v>
      </c>
    </row>
    <row r="218" spans="1:39" ht="13" x14ac:dyDescent="0.15">
      <c r="A218" s="1" t="str">
        <f ca="1">IFERROR(__xludf.DUMMYFUNCTION("""COMPUTED_VALUE"""),"FARCAS Steven Sega")</f>
        <v>FARCAS Steven Sega</v>
      </c>
      <c r="B218" s="1" t="str">
        <f ca="1">IFERROR(__xludf.DUMMYFUNCTION("""COMPUTED_VALUE"""),"FARCAS")</f>
        <v>FARCAS</v>
      </c>
      <c r="C218" s="1" t="str">
        <f ca="1">IFERROR(__xludf.DUMMYFUNCTION("""COMPUTED_VALUE"""),"Steven Sega")</f>
        <v>Steven Sega</v>
      </c>
      <c r="D218" s="1" t="str">
        <f ca="1">IFERROR(__xludf.DUMMYFUNCTION("""COMPUTED_VALUE"""),"1575E2")</f>
        <v>1575E2</v>
      </c>
      <c r="E218" s="2">
        <f ca="1">IFERROR(__xludf.DUMMYFUNCTION("""COMPUTED_VALUE"""),41018)</f>
        <v>41018</v>
      </c>
      <c r="F218" s="1" t="str">
        <f ca="1">IFERROR(__xludf.DUMMYFUNCTION("""COMPUTED_VALUE"""),"4EME2")</f>
        <v>4EME2</v>
      </c>
      <c r="G218" s="1" t="str">
        <f ca="1">IFERROR(__xludf.DUMMYFUNCTION("""COMPUTED_VALUE"""),"4ème")</f>
        <v>4ème</v>
      </c>
      <c r="H218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218" s="1" t="str">
        <f ca="1">IFERROR(__xludf.DUMMYFUNCTION("""COMPUTED_VALUE"""),"LVA Anglais")</f>
        <v>LVA Anglais</v>
      </c>
      <c r="J218" s="1" t="str">
        <f ca="1">IFERROR(__xludf.DUMMYFUNCTION("""COMPUTED_VALUE"""),"LVB Espagnol")</f>
        <v>LVB Espagnol</v>
      </c>
      <c r="K218" s="1"/>
      <c r="L218" s="1"/>
      <c r="M218" s="1"/>
      <c r="N218" s="1" t="str">
        <f ca="1">IFERROR(__xludf.DUMMYFUNCTION("""COMPUTED_VALUE"""),"Garçon")</f>
        <v>Garçon</v>
      </c>
      <c r="O218" s="1"/>
      <c r="P218" s="1" t="str">
        <f ca="1">IFERROR(__xludf.DUMMYFUNCTION("""COMPUTED_VALUE"""),"SUISSE")</f>
        <v>SUISSE</v>
      </c>
      <c r="Q218" s="1"/>
      <c r="R218" s="1" t="str">
        <f ca="1">IFERROR(__xludf.DUMMYFUNCTION("""COMPUTED_VALUE"""),"steven.farcas@lfjpsaly.org")</f>
        <v>steven.farcas@lfjpsaly.org</v>
      </c>
      <c r="S218" s="1"/>
      <c r="T218" s="1" t="str">
        <f ca="1">IFERROR(__xludf.DUMMYFUNCTION("""COMPUTED_VALUE"""),"STRIVE Valérie Raphoz")</f>
        <v>STRIVE Valérie Raphoz</v>
      </c>
      <c r="U218" s="1" t="str">
        <f ca="1">IFERROR(__xludf.DUMMYFUNCTION("""COMPUTED_VALUE"""),"SOUMAHORO Djenebou")</f>
        <v>SOUMAHORO Djenebou</v>
      </c>
      <c r="V218" s="1" t="str">
        <f ca="1">IFERROR(__xludf.DUMMYFUNCTION("""COMPUTED_VALUE"""),"vraphoz@strivefootballgroup.com")</f>
        <v>vraphoz@strivefootballgroup.com</v>
      </c>
      <c r="W218" s="1" t="str">
        <f ca="1">IFERROR(__xludf.DUMMYFUNCTION("""COMPUTED_VALUE"""),"soumahorozeinab2@gmail.com")</f>
        <v>soumahorozeinab2@gmail.com</v>
      </c>
      <c r="X218" s="1" t="str">
        <f ca="1">IFERROR(__xludf.DUMMYFUNCTION("""COMPUTED_VALUE"""),"+33 6 50 85 20 71")</f>
        <v>+33 6 50 85 20 71</v>
      </c>
      <c r="Y218" s="1" t="str">
        <f ca="1">IFERROR(__xludf.DUMMYFUNCTION("""COMPUTED_VALUE"""),"+221 78 733 82 89")</f>
        <v>+221 78 733 82 89</v>
      </c>
      <c r="Z218" s="1" t="str">
        <f ca="1">IFERROR(__xludf.DUMMYFUNCTION("""COMPUTED_VALUE"""),"+221")</f>
        <v>+221</v>
      </c>
      <c r="AA218" s="1" t="str">
        <f ca="1">IFERROR(__xludf.DUMMYFUNCTION("""COMPUTED_VALUE"""),"+221")</f>
        <v>+221</v>
      </c>
      <c r="AB218" s="2">
        <f ca="1">IFERROR(__xludf.DUMMYFUNCTION("""COMPUTED_VALUE"""),44754)</f>
        <v>44754</v>
      </c>
      <c r="AC218" s="2">
        <f ca="1">IFERROR(__xludf.DUMMYFUNCTION("""COMPUTED_VALUE"""),35883)</f>
        <v>35883</v>
      </c>
      <c r="AD218" s="1" t="str">
        <f ca="1">IFERROR(__xludf.DUMMYFUNCTION("""COMPUTED_VALUE"""),"AUTRE LIEN")</f>
        <v>AUTRE LIEN</v>
      </c>
      <c r="AE218" s="1" t="str">
        <f ca="1">IFERROR(__xludf.DUMMYFUNCTION("""COMPUTED_VALUE"""),"TUTEUR")</f>
        <v>TUTEUR</v>
      </c>
      <c r="AF218" s="1" t="str">
        <f ca="1">IFERROR(__xludf.DUMMYFUNCTION("""COMPUTED_VALUE"""),"FRANCE")</f>
        <v>FRANCE</v>
      </c>
      <c r="AG218" s="1" t="str">
        <f ca="1">IFERROR(__xludf.DUMMYFUNCTION("""COMPUTED_VALUE"""),"COTE D'IVOIRE")</f>
        <v>COTE D'IVOIRE</v>
      </c>
      <c r="AH218" s="1" t="str">
        <f ca="1">IFERROR(__xludf.DUMMYFUNCTION("""COMPUTED_VALUE"""),"FRANCE")</f>
        <v>FRANCE</v>
      </c>
      <c r="AI218" s="1"/>
      <c r="AJ218" s="1" t="str">
        <f ca="1">IFERROR(__xludf.DUMMYFUNCTION("""COMPUTED_VALUE"""),"F1575")</f>
        <v>F1575</v>
      </c>
      <c r="AK218" s="1" t="str">
        <f ca="1">IFERROR(__xludf.DUMMYFUNCTION("""COMPUTED_VALUE"""),"Marié(e)")</f>
        <v>Marié(e)</v>
      </c>
      <c r="AL218" s="1" t="str">
        <f ca="1">IFERROR(__xludf.DUMMYFUNCTION("""COMPUTED_VALUE"""),"Marié(e)")</f>
        <v>Marié(e)</v>
      </c>
      <c r="AM218" s="1" t="str">
        <f ca="1">IFERROR(__xludf.DUMMYFUNCTION("""COMPUTED_VALUE"""),"F1575")</f>
        <v>F1575</v>
      </c>
    </row>
    <row r="219" spans="1:39" ht="13" x14ac:dyDescent="0.15">
      <c r="A219" s="1" t="str">
        <f ca="1">IFERROR(__xludf.DUMMYFUNCTION("""COMPUTED_VALUE"""),"FAYE Ibrahima Malick")</f>
        <v>FAYE Ibrahima Malick</v>
      </c>
      <c r="B219" s="1" t="str">
        <f ca="1">IFERROR(__xludf.DUMMYFUNCTION("""COMPUTED_VALUE"""),"FAYE")</f>
        <v>FAYE</v>
      </c>
      <c r="C219" s="1" t="str">
        <f ca="1">IFERROR(__xludf.DUMMYFUNCTION("""COMPUTED_VALUE"""),"Ibrahima Malick")</f>
        <v>Ibrahima Malick</v>
      </c>
      <c r="D219" s="1" t="str">
        <f ca="1">IFERROR(__xludf.DUMMYFUNCTION("""COMPUTED_VALUE"""),"11906S2808")</f>
        <v>11906S2808</v>
      </c>
      <c r="E219" s="2">
        <f ca="1">IFERROR(__xludf.DUMMYFUNCTION("""COMPUTED_VALUE"""),41158)</f>
        <v>41158</v>
      </c>
      <c r="F219" s="1" t="str">
        <f ca="1">IFERROR(__xludf.DUMMYFUNCTION("""COMPUTED_VALUE"""),"5EME1")</f>
        <v>5EME1</v>
      </c>
      <c r="G219" s="1" t="str">
        <f ca="1">IFERROR(__xludf.DUMMYFUNCTION("""COMPUTED_VALUE"""),"5ème")</f>
        <v>5ème</v>
      </c>
      <c r="H219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219" s="1"/>
      <c r="J219" s="1"/>
      <c r="K219" s="1"/>
      <c r="L219" s="1"/>
      <c r="M219" s="1"/>
      <c r="N219" s="1" t="str">
        <f ca="1">IFERROR(__xludf.DUMMYFUNCTION("""COMPUTED_VALUE"""),"Garçon")</f>
        <v>Garçon</v>
      </c>
      <c r="O219" s="1"/>
      <c r="P219" s="1" t="str">
        <f ca="1">IFERROR(__xludf.DUMMYFUNCTION("""COMPUTED_VALUE"""),"SENEGAL")</f>
        <v>SENEGAL</v>
      </c>
      <c r="Q219" s="1"/>
      <c r="R219" s="1" t="str">
        <f ca="1">IFERROR(__xludf.DUMMYFUNCTION("""COMPUTED_VALUE"""),"ibrahima.faye@lfjpsaly.org")</f>
        <v>ibrahima.faye@lfjpsaly.org</v>
      </c>
      <c r="S219" s="1" t="str">
        <f ca="1">IFERROR(__xludf.DUMMYFUNCTION("""COMPUTED_VALUE"""),"+221 77 638 64 18")</f>
        <v>+221 77 638 64 18</v>
      </c>
      <c r="T219" s="1" t="str">
        <f ca="1">IFERROR(__xludf.DUMMYFUNCTION("""COMPUTED_VALUE"""),"FAYE Amath")</f>
        <v>FAYE Amath</v>
      </c>
      <c r="U219" s="1" t="str">
        <f ca="1">IFERROR(__xludf.DUMMYFUNCTION("""COMPUTED_VALUE"""),"SOW Fatimata")</f>
        <v>SOW Fatimata</v>
      </c>
      <c r="V219" s="1" t="str">
        <f ca="1">IFERROR(__xludf.DUMMYFUNCTION("""COMPUTED_VALUE"""),"amath_faye@yahoo.fr")</f>
        <v>amath_faye@yahoo.fr</v>
      </c>
      <c r="W219" s="1" t="str">
        <f ca="1">IFERROR(__xludf.DUMMYFUNCTION("""COMPUTED_VALUE"""),"fatitafaye@yahoo.com")</f>
        <v>fatitafaye@yahoo.com</v>
      </c>
      <c r="X219" s="1" t="str">
        <f ca="1">IFERROR(__xludf.DUMMYFUNCTION("""COMPUTED_VALUE"""),"+221 77 638 64 18")</f>
        <v>+221 77 638 64 18</v>
      </c>
      <c r="Y219" s="1" t="str">
        <f ca="1">IFERROR(__xludf.DUMMYFUNCTION("""COMPUTED_VALUE"""),"+221 77 105 67 67")</f>
        <v>+221 77 105 67 67</v>
      </c>
      <c r="Z219" s="1" t="str">
        <f ca="1">IFERROR(__xludf.DUMMYFUNCTION("""COMPUTED_VALUE"""),"+32 475 66 83 17")</f>
        <v>+32 475 66 83 17</v>
      </c>
      <c r="AA219" s="1" t="str">
        <f ca="1">IFERROR(__xludf.DUMMYFUNCTION("""COMPUTED_VALUE"""),"+32 465 11 42 30")</f>
        <v>+32 465 11 42 30</v>
      </c>
      <c r="AB219" s="2">
        <f ca="1">IFERROR(__xludf.DUMMYFUNCTION("""COMPUTED_VALUE"""),23720)</f>
        <v>23720</v>
      </c>
      <c r="AC219" s="2">
        <f ca="1">IFERROR(__xludf.DUMMYFUNCTION("""COMPUTED_VALUE"""),27664)</f>
        <v>27664</v>
      </c>
      <c r="AD219" s="1" t="str">
        <f ca="1">IFERROR(__xludf.DUMMYFUNCTION("""COMPUTED_VALUE"""),"PERE")</f>
        <v>PERE</v>
      </c>
      <c r="AE219" s="1" t="str">
        <f ca="1">IFERROR(__xludf.DUMMYFUNCTION("""COMPUTED_VALUE"""),"MERE")</f>
        <v>MERE</v>
      </c>
      <c r="AF219" s="1" t="str">
        <f ca="1">IFERROR(__xludf.DUMMYFUNCTION("""COMPUTED_VALUE"""),"SENEGAL")</f>
        <v>SENEGAL</v>
      </c>
      <c r="AG219" s="1" t="str">
        <f ca="1">IFERROR(__xludf.DUMMYFUNCTION("""COMPUTED_VALUE"""),"SENEGAL")</f>
        <v>SENEGAL</v>
      </c>
      <c r="AH219" s="1"/>
      <c r="AI219" s="1"/>
      <c r="AJ219" s="1" t="str">
        <f ca="1">IFERROR(__xludf.DUMMYFUNCTION("""COMPUTED_VALUE"""),"U11906")</f>
        <v>U11906</v>
      </c>
      <c r="AK219" s="1" t="str">
        <f ca="1">IFERROR(__xludf.DUMMYFUNCTION("""COMPUTED_VALUE"""),"Marié(e)")</f>
        <v>Marié(e)</v>
      </c>
      <c r="AL219" s="1" t="str">
        <f ca="1">IFERROR(__xludf.DUMMYFUNCTION("""COMPUTED_VALUE"""),"Marié(e)")</f>
        <v>Marié(e)</v>
      </c>
      <c r="AM219" s="1" t="str">
        <f ca="1">IFERROR(__xludf.DUMMYFUNCTION("""COMPUTED_VALUE"""),"U11906")</f>
        <v>U11906</v>
      </c>
    </row>
    <row r="220" spans="1:39" ht="13" x14ac:dyDescent="0.15">
      <c r="A220" s="1" t="str">
        <f ca="1">IFERROR(__xludf.DUMMYFUNCTION("""COMPUTED_VALUE"""),"FAYE Imane")</f>
        <v>FAYE Imane</v>
      </c>
      <c r="B220" s="1" t="str">
        <f ca="1">IFERROR(__xludf.DUMMYFUNCTION("""COMPUTED_VALUE"""),"FAYE")</f>
        <v>FAYE</v>
      </c>
      <c r="C220" s="1" t="str">
        <f ca="1">IFERROR(__xludf.DUMMYFUNCTION("""COMPUTED_VALUE"""),"Imane")</f>
        <v>Imane</v>
      </c>
      <c r="D220" s="1" t="str">
        <f ca="1">IFERROR(__xludf.DUMMYFUNCTION("""COMPUTED_VALUE"""),"11748S2455")</f>
        <v>11748S2455</v>
      </c>
      <c r="E220" s="2">
        <f ca="1">IFERROR(__xludf.DUMMYFUNCTION("""COMPUTED_VALUE"""),39541)</f>
        <v>39541</v>
      </c>
      <c r="F220" s="1" t="str">
        <f ca="1">IFERROR(__xludf.DUMMYFUNCTION("""COMPUTED_VALUE"""),"1ERE2")</f>
        <v>1ERE2</v>
      </c>
      <c r="G220" s="1" t="str">
        <f ca="1">IFERROR(__xludf.DUMMYFUNCTION("""COMPUTED_VALUE"""),"1ère")</f>
        <v>1ère</v>
      </c>
      <c r="H220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220" s="1" t="str">
        <f ca="1">IFERROR(__xludf.DUMMYFUNCTION("""COMPUTED_VALUE"""),"LVA Anglais")</f>
        <v>LVA Anglais</v>
      </c>
      <c r="J220" s="1" t="str">
        <f ca="1">IFERROR(__xludf.DUMMYFUNCTION("""COMPUTED_VALUE"""),"LVB Espagnol")</f>
        <v>LVB Espagnol</v>
      </c>
      <c r="K220" s="1"/>
      <c r="L220" s="1"/>
      <c r="M220" s="1" t="str">
        <f ca="1">IFERROR(__xludf.DUMMYFUNCTION("""COMPUTED_VALUE"""),"SPE MATHS, SPE SPC, SPE SVT")</f>
        <v>SPE MATHS, SPE SPC, SPE SVT</v>
      </c>
      <c r="N220" s="1" t="str">
        <f ca="1">IFERROR(__xludf.DUMMYFUNCTION("""COMPUTED_VALUE"""),"Fille")</f>
        <v>Fille</v>
      </c>
      <c r="O220" s="1"/>
      <c r="P220" s="1" t="str">
        <f ca="1">IFERROR(__xludf.DUMMYFUNCTION("""COMPUTED_VALUE"""),"FRANCE")</f>
        <v>FRANCE</v>
      </c>
      <c r="Q220" s="1" t="str">
        <f ca="1">IFERROR(__xludf.DUMMYFUNCTION("""COMPUTED_VALUE"""),"SUISSE")</f>
        <v>SUISSE</v>
      </c>
      <c r="R220" s="1" t="str">
        <f ca="1">IFERROR(__xludf.DUMMYFUNCTION("""COMPUTED_VALUE"""),"imane.faye@lfjpsaly.org")</f>
        <v>imane.faye@lfjpsaly.org</v>
      </c>
      <c r="S220" s="1" t="str">
        <f ca="1">IFERROR(__xludf.DUMMYFUNCTION("""COMPUTED_VALUE"""),"+221 77 228 08 68")</f>
        <v>+221 77 228 08 68</v>
      </c>
      <c r="T220" s="1" t="str">
        <f ca="1">IFERROR(__xludf.DUMMYFUNCTION("""COMPUTED_VALUE"""),"FAYE Abdourahmane")</f>
        <v>FAYE Abdourahmane</v>
      </c>
      <c r="U220" s="1"/>
      <c r="V220" s="1" t="str">
        <f ca="1">IFERROR(__xludf.DUMMYFUNCTION("""COMPUTED_VALUE"""),"rahmanefaye@hotmail.com")</f>
        <v>rahmanefaye@hotmail.com</v>
      </c>
      <c r="W220" s="1"/>
      <c r="X220" s="1" t="str">
        <f ca="1">IFERROR(__xludf.DUMMYFUNCTION("""COMPUTED_VALUE"""),"+221 77 228 08 68")</f>
        <v>+221 77 228 08 68</v>
      </c>
      <c r="Y220" s="1"/>
      <c r="Z220" s="1" t="str">
        <f ca="1">IFERROR(__xludf.DUMMYFUNCTION("""COMPUTED_VALUE"""),"+221 77 228 08 68")</f>
        <v>+221 77 228 08 68</v>
      </c>
      <c r="AA220" s="1"/>
      <c r="AB220" s="2">
        <f ca="1">IFERROR(__xludf.DUMMYFUNCTION("""COMPUTED_VALUE"""),25185)</f>
        <v>25185</v>
      </c>
      <c r="AC220" s="1"/>
      <c r="AD220" s="1" t="str">
        <f ca="1">IFERROR(__xludf.DUMMYFUNCTION("""COMPUTED_VALUE"""),"PERE")</f>
        <v>PERE</v>
      </c>
      <c r="AE220" s="1"/>
      <c r="AF220" s="1" t="str">
        <f ca="1">IFERROR(__xludf.DUMMYFUNCTION("""COMPUTED_VALUE"""),"FRANCE")</f>
        <v>FRANCE</v>
      </c>
      <c r="AG220" s="1"/>
      <c r="AH220" s="1" t="str">
        <f ca="1">IFERROR(__xludf.DUMMYFUNCTION("""COMPUTED_VALUE"""),"SENEGAL")</f>
        <v>SENEGAL</v>
      </c>
      <c r="AI220" s="1"/>
      <c r="AJ220" s="1" t="str">
        <f ca="1">IFERROR(__xludf.DUMMYFUNCTION("""COMPUTED_VALUE"""),"U11748")</f>
        <v>U11748</v>
      </c>
      <c r="AK220" s="1" t="str">
        <f ca="1">IFERROR(__xludf.DUMMYFUNCTION("""COMPUTED_VALUE"""),"Divorcée")</f>
        <v>Divorcée</v>
      </c>
      <c r="AL220" s="1"/>
      <c r="AM220" s="1" t="str">
        <f ca="1">IFERROR(__xludf.DUMMYFUNCTION("""COMPUTED_VALUE"""),"U11748")</f>
        <v>U11748</v>
      </c>
    </row>
    <row r="221" spans="1:39" ht="13" x14ac:dyDescent="0.15">
      <c r="A221" s="1" t="str">
        <f ca="1">IFERROR(__xludf.DUMMYFUNCTION("""COMPUTED_VALUE"""),"FAYE Leana  Marie  Trabuc")</f>
        <v>FAYE Leana  Marie  Trabuc</v>
      </c>
      <c r="B221" s="1" t="str">
        <f ca="1">IFERROR(__xludf.DUMMYFUNCTION("""COMPUTED_VALUE"""),"FAYE")</f>
        <v>FAYE</v>
      </c>
      <c r="C221" s="1" t="str">
        <f ca="1">IFERROR(__xludf.DUMMYFUNCTION("""COMPUTED_VALUE"""),"Leana  Marie  Trabuc")</f>
        <v>Leana  Marie  Trabuc</v>
      </c>
      <c r="D221" s="1" t="str">
        <f ca="1">IFERROR(__xludf.DUMMYFUNCTION("""COMPUTED_VALUE"""),"1312E1")</f>
        <v>1312E1</v>
      </c>
      <c r="E221" s="2">
        <f ca="1">IFERROR(__xludf.DUMMYFUNCTION("""COMPUTED_VALUE"""),42920)</f>
        <v>42920</v>
      </c>
      <c r="F221" s="1" t="str">
        <f ca="1">IFERROR(__xludf.DUMMYFUNCTION("""COMPUTED_VALUE"""),"CE2")</f>
        <v>CE2</v>
      </c>
      <c r="G221" s="1" t="str">
        <f ca="1">IFERROR(__xludf.DUMMYFUNCTION("""COMPUTED_VALUE"""),"CE2")</f>
        <v>CE2</v>
      </c>
      <c r="H221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221" s="1"/>
      <c r="J221" s="1"/>
      <c r="K221" s="1"/>
      <c r="L221" s="1"/>
      <c r="M221" s="1"/>
      <c r="N221" s="1" t="str">
        <f ca="1">IFERROR(__xludf.DUMMYFUNCTION("""COMPUTED_VALUE"""),"Fille")</f>
        <v>Fille</v>
      </c>
      <c r="O221" s="1"/>
      <c r="P221" s="1" t="str">
        <f ca="1">IFERROR(__xludf.DUMMYFUNCTION("""COMPUTED_VALUE"""),"SENEGAL")</f>
        <v>SENEGAL</v>
      </c>
      <c r="Q221" s="1"/>
      <c r="R221" s="1"/>
      <c r="S221" s="1"/>
      <c r="T221" s="1" t="str">
        <f ca="1">IFERROR(__xludf.DUMMYFUNCTION("""COMPUTED_VALUE"""),"FAYE Ndeye Seynabou")</f>
        <v>FAYE Ndeye Seynabou</v>
      </c>
      <c r="U221" s="1" t="str">
        <f ca="1">IFERROR(__xludf.DUMMYFUNCTION("""COMPUTED_VALUE"""),"FAYE Ndeye Seynabou")</f>
        <v>FAYE Ndeye Seynabou</v>
      </c>
      <c r="V221" s="1" t="str">
        <f ca="1">IFERROR(__xludf.DUMMYFUNCTION("""COMPUTED_VALUE"""),"ndeyeseynaboufaye1990@gmail.com")</f>
        <v>ndeyeseynaboufaye1990@gmail.com</v>
      </c>
      <c r="W221" s="1" t="str">
        <f ca="1">IFERROR(__xludf.DUMMYFUNCTION("""COMPUTED_VALUE"""),"ndeyeseynaboufaye1990@gmail.com")</f>
        <v>ndeyeseynaboufaye1990@gmail.com</v>
      </c>
      <c r="X221" s="1" t="str">
        <f ca="1">IFERROR(__xludf.DUMMYFUNCTION("""COMPUTED_VALUE"""),"774938181")</f>
        <v>774938181</v>
      </c>
      <c r="Y221" s="1" t="str">
        <f ca="1">IFERROR(__xludf.DUMMYFUNCTION("""COMPUTED_VALUE"""),"774938181")</f>
        <v>774938181</v>
      </c>
      <c r="Z221" s="1"/>
      <c r="AA221" s="1"/>
      <c r="AB221" s="2">
        <f ca="1">IFERROR(__xludf.DUMMYFUNCTION("""COMPUTED_VALUE"""),33703)</f>
        <v>33703</v>
      </c>
      <c r="AC221" s="2">
        <f ca="1">IFERROR(__xludf.DUMMYFUNCTION("""COMPUTED_VALUE"""),33703)</f>
        <v>33703</v>
      </c>
      <c r="AD221" s="1" t="str">
        <f ca="1">IFERROR(__xludf.DUMMYFUNCTION("""COMPUTED_VALUE"""),"MERE")</f>
        <v>MERE</v>
      </c>
      <c r="AE221" s="1" t="str">
        <f ca="1">IFERROR(__xludf.DUMMYFUNCTION("""COMPUTED_VALUE"""),"MERE")</f>
        <v>MERE</v>
      </c>
      <c r="AF221" s="1" t="str">
        <f ca="1">IFERROR(__xludf.DUMMYFUNCTION("""COMPUTED_VALUE"""),"SENEGAL")</f>
        <v>SENEGAL</v>
      </c>
      <c r="AG221" s="1" t="str">
        <f ca="1">IFERROR(__xludf.DUMMYFUNCTION("""COMPUTED_VALUE"""),"SENEGAL")</f>
        <v>SENEGAL</v>
      </c>
      <c r="AH221" s="1"/>
      <c r="AI221" s="1"/>
      <c r="AJ221" s="1" t="str">
        <f ca="1">IFERROR(__xludf.DUMMYFUNCTION("""COMPUTED_VALUE"""),"F1312")</f>
        <v>F1312</v>
      </c>
      <c r="AK221" s="1" t="str">
        <f ca="1">IFERROR(__xludf.DUMMYFUNCTION("""COMPUTED_VALUE"""),"Célibataire")</f>
        <v>Célibataire</v>
      </c>
      <c r="AL221" s="1" t="str">
        <f ca="1">IFERROR(__xludf.DUMMYFUNCTION("""COMPUTED_VALUE"""),"Célibataire")</f>
        <v>Célibataire</v>
      </c>
      <c r="AM221" s="1" t="str">
        <f ca="1">IFERROR(__xludf.DUMMYFUNCTION("""COMPUTED_VALUE"""),"F1312")</f>
        <v>F1312</v>
      </c>
    </row>
    <row r="222" spans="1:39" ht="13" x14ac:dyDescent="0.15">
      <c r="A222" s="1" t="str">
        <f ca="1">IFERROR(__xludf.DUMMYFUNCTION("""COMPUTED_VALUE"""),"FERCOCQ Maya")</f>
        <v>FERCOCQ Maya</v>
      </c>
      <c r="B222" s="1" t="str">
        <f ca="1">IFERROR(__xludf.DUMMYFUNCTION("""COMPUTED_VALUE"""),"FERCOCQ")</f>
        <v>FERCOCQ</v>
      </c>
      <c r="C222" s="1" t="str">
        <f ca="1">IFERROR(__xludf.DUMMYFUNCTION("""COMPUTED_VALUE"""),"Maya")</f>
        <v>Maya</v>
      </c>
      <c r="D222" s="1" t="str">
        <f ca="1">IFERROR(__xludf.DUMMYFUNCTION("""COMPUTED_VALUE"""),"1314E1")</f>
        <v>1314E1</v>
      </c>
      <c r="E222" s="2">
        <f ca="1">IFERROR(__xludf.DUMMYFUNCTION("""COMPUTED_VALUE"""),41176)</f>
        <v>41176</v>
      </c>
      <c r="F222" s="1" t="str">
        <f ca="1">IFERROR(__xludf.DUMMYFUNCTION("""COMPUTED_VALUE"""),"4EME2")</f>
        <v>4EME2</v>
      </c>
      <c r="G222" s="1" t="str">
        <f ca="1">IFERROR(__xludf.DUMMYFUNCTION("""COMPUTED_VALUE"""),"4ème")</f>
        <v>4ème</v>
      </c>
      <c r="H222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222" s="1" t="str">
        <f ca="1">IFERROR(__xludf.DUMMYFUNCTION("""COMPUTED_VALUE"""),"LVA Anglais")</f>
        <v>LVA Anglais</v>
      </c>
      <c r="J222" s="1" t="str">
        <f ca="1">IFERROR(__xludf.DUMMYFUNCTION("""COMPUTED_VALUE"""),"LVB Espagnol")</f>
        <v>LVB Espagnol</v>
      </c>
      <c r="K222" s="1"/>
      <c r="L222" s="1"/>
      <c r="M222" s="1"/>
      <c r="N222" s="1" t="str">
        <f ca="1">IFERROR(__xludf.DUMMYFUNCTION("""COMPUTED_VALUE"""),"Fille")</f>
        <v>Fille</v>
      </c>
      <c r="O222" s="1"/>
      <c r="P222" s="1" t="str">
        <f ca="1">IFERROR(__xludf.DUMMYFUNCTION("""COMPUTED_VALUE"""),"FRANCE")</f>
        <v>FRANCE</v>
      </c>
      <c r="Q222" s="1" t="str">
        <f ca="1">IFERROR(__xludf.DUMMYFUNCTION("""COMPUTED_VALUE"""),"SENEGAL")</f>
        <v>SENEGAL</v>
      </c>
      <c r="R222" s="1" t="str">
        <f ca="1">IFERROR(__xludf.DUMMYFUNCTION("""COMPUTED_VALUE"""),"maya.fercocq@lfjpsaly.org")</f>
        <v>maya.fercocq@lfjpsaly.org</v>
      </c>
      <c r="S222" s="1" t="str">
        <f ca="1">IFERROR(__xludf.DUMMYFUNCTION("""COMPUTED_VALUE"""),"+221 77 644 95 67")</f>
        <v>+221 77 644 95 67</v>
      </c>
      <c r="T222" s="1" t="str">
        <f ca="1">IFERROR(__xludf.DUMMYFUNCTION("""COMPUTED_VALUE"""),"FERCOCQ Gael")</f>
        <v>FERCOCQ Gael</v>
      </c>
      <c r="U222" s="1" t="str">
        <f ca="1">IFERROR(__xludf.DUMMYFUNCTION("""COMPUTED_VALUE"""),"FERCOCQ Pauline")</f>
        <v>FERCOCQ Pauline</v>
      </c>
      <c r="V222" s="1" t="str">
        <f ca="1">IFERROR(__xludf.DUMMYFUNCTION("""COMPUTED_VALUE"""),"gael_fercocq@hotmail.com")</f>
        <v>gael_fercocq@hotmail.com</v>
      </c>
      <c r="W222" s="1" t="str">
        <f ca="1">IFERROR(__xludf.DUMMYFUNCTION("""COMPUTED_VALUE"""),"paulinedrame@hotmail.fr")</f>
        <v>paulinedrame@hotmail.fr</v>
      </c>
      <c r="X222" s="1" t="str">
        <f ca="1">IFERROR(__xludf.DUMMYFUNCTION("""COMPUTED_VALUE"""),"+221 77 644 95 67")</f>
        <v>+221 77 644 95 67</v>
      </c>
      <c r="Y222" s="1" t="str">
        <f ca="1">IFERROR(__xludf.DUMMYFUNCTION("""COMPUTED_VALUE"""),"+221 77 370 20 67")</f>
        <v>+221 77 370 20 67</v>
      </c>
      <c r="Z222" s="1" t="str">
        <f ca="1">IFERROR(__xludf.DUMMYFUNCTION("""COMPUTED_VALUE"""),"+221 77 644 95 67")</f>
        <v>+221 77 644 95 67</v>
      </c>
      <c r="AA222" s="1" t="str">
        <f ca="1">IFERROR(__xludf.DUMMYFUNCTION("""COMPUTED_VALUE"""),"+221 77 370 20 67")</f>
        <v>+221 77 370 20 67</v>
      </c>
      <c r="AB222" s="2">
        <f ca="1">IFERROR(__xludf.DUMMYFUNCTION("""COMPUTED_VALUE"""),27819)</f>
        <v>27819</v>
      </c>
      <c r="AC222" s="2">
        <f ca="1">IFERROR(__xludf.DUMMYFUNCTION("""COMPUTED_VALUE"""),29308)</f>
        <v>29308</v>
      </c>
      <c r="AD222" s="1" t="str">
        <f ca="1">IFERROR(__xludf.DUMMYFUNCTION("""COMPUTED_VALUE"""),"PERE")</f>
        <v>PERE</v>
      </c>
      <c r="AE222" s="1" t="str">
        <f ca="1">IFERROR(__xludf.DUMMYFUNCTION("""COMPUTED_VALUE"""),"MERE")</f>
        <v>MERE</v>
      </c>
      <c r="AF222" s="1" t="str">
        <f ca="1">IFERROR(__xludf.DUMMYFUNCTION("""COMPUTED_VALUE"""),"FRANCE")</f>
        <v>FRANCE</v>
      </c>
      <c r="AG222" s="1" t="str">
        <f ca="1">IFERROR(__xludf.DUMMYFUNCTION("""COMPUTED_VALUE"""),"SENEGAL")</f>
        <v>SENEGAL</v>
      </c>
      <c r="AH222" s="1"/>
      <c r="AI222" s="1" t="str">
        <f ca="1">IFERROR(__xludf.DUMMYFUNCTION("""COMPUTED_VALUE"""),"FRANCE")</f>
        <v>FRANCE</v>
      </c>
      <c r="AJ222" s="1" t="str">
        <f ca="1">IFERROR(__xludf.DUMMYFUNCTION("""COMPUTED_VALUE"""),"F1314")</f>
        <v>F1314</v>
      </c>
      <c r="AK222" s="1" t="str">
        <f ca="1">IFERROR(__xludf.DUMMYFUNCTION("""COMPUTED_VALUE"""),"Marié(e)")</f>
        <v>Marié(e)</v>
      </c>
      <c r="AL222" s="1" t="str">
        <f ca="1">IFERROR(__xludf.DUMMYFUNCTION("""COMPUTED_VALUE"""),"Marié(e)")</f>
        <v>Marié(e)</v>
      </c>
      <c r="AM222" s="1" t="str">
        <f ca="1">IFERROR(__xludf.DUMMYFUNCTION("""COMPUTED_VALUE"""),"F1314")</f>
        <v>F1314</v>
      </c>
    </row>
    <row r="223" spans="1:39" ht="13" x14ac:dyDescent="0.15">
      <c r="A223" s="1" t="str">
        <f ca="1">IFERROR(__xludf.DUMMYFUNCTION("""COMPUTED_VALUE"""),"FERCOCQ Sybille")</f>
        <v>FERCOCQ Sybille</v>
      </c>
      <c r="B223" s="1" t="str">
        <f ca="1">IFERROR(__xludf.DUMMYFUNCTION("""COMPUTED_VALUE"""),"FERCOCQ")</f>
        <v>FERCOCQ</v>
      </c>
      <c r="C223" s="1" t="str">
        <f ca="1">IFERROR(__xludf.DUMMYFUNCTION("""COMPUTED_VALUE"""),"Sybille")</f>
        <v>Sybille</v>
      </c>
      <c r="D223" s="1" t="str">
        <f ca="1">IFERROR(__xludf.DUMMYFUNCTION("""COMPUTED_VALUE"""),"1314E2")</f>
        <v>1314E2</v>
      </c>
      <c r="E223" s="2">
        <f ca="1">IFERROR(__xludf.DUMMYFUNCTION("""COMPUTED_VALUE"""),42096)</f>
        <v>42096</v>
      </c>
      <c r="F223" s="1" t="str">
        <f ca="1">IFERROR(__xludf.DUMMYFUNCTION("""COMPUTED_VALUE"""),"CM2B")</f>
        <v>CM2B</v>
      </c>
      <c r="G223" s="1" t="str">
        <f ca="1">IFERROR(__xludf.DUMMYFUNCTION("""COMPUTED_VALUE"""),"CM2")</f>
        <v>CM2</v>
      </c>
      <c r="H223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223" s="1"/>
      <c r="J223" s="1"/>
      <c r="K223" s="1"/>
      <c r="L223" s="1"/>
      <c r="M223" s="1"/>
      <c r="N223" s="1" t="str">
        <f ca="1">IFERROR(__xludf.DUMMYFUNCTION("""COMPUTED_VALUE"""),"Fille")</f>
        <v>Fille</v>
      </c>
      <c r="O223" s="1"/>
      <c r="P223" s="1" t="str">
        <f ca="1">IFERROR(__xludf.DUMMYFUNCTION("""COMPUTED_VALUE"""),"FRANCE")</f>
        <v>FRANCE</v>
      </c>
      <c r="Q223" s="1" t="str">
        <f ca="1">IFERROR(__xludf.DUMMYFUNCTION("""COMPUTED_VALUE"""),"SENEGAL")</f>
        <v>SENEGAL</v>
      </c>
      <c r="R223" s="1"/>
      <c r="S223" s="1"/>
      <c r="T223" s="1" t="str">
        <f ca="1">IFERROR(__xludf.DUMMYFUNCTION("""COMPUTED_VALUE"""),"FERCOCQ Gael")</f>
        <v>FERCOCQ Gael</v>
      </c>
      <c r="U223" s="1" t="str">
        <f ca="1">IFERROR(__xludf.DUMMYFUNCTION("""COMPUTED_VALUE"""),"FERCOCQ Pauline")</f>
        <v>FERCOCQ Pauline</v>
      </c>
      <c r="V223" s="1" t="str">
        <f ca="1">IFERROR(__xludf.DUMMYFUNCTION("""COMPUTED_VALUE"""),"gael_fercocq@hotmail.com")</f>
        <v>gael_fercocq@hotmail.com</v>
      </c>
      <c r="W223" s="1" t="str">
        <f ca="1">IFERROR(__xludf.DUMMYFUNCTION("""COMPUTED_VALUE"""),"paulinedrame@hotmail.fr")</f>
        <v>paulinedrame@hotmail.fr</v>
      </c>
      <c r="X223" s="1" t="str">
        <f ca="1">IFERROR(__xludf.DUMMYFUNCTION("""COMPUTED_VALUE"""),"+221 77 644 95 67")</f>
        <v>+221 77 644 95 67</v>
      </c>
      <c r="Y223" s="1" t="str">
        <f ca="1">IFERROR(__xludf.DUMMYFUNCTION("""COMPUTED_VALUE"""),"+221 77 370 20 67")</f>
        <v>+221 77 370 20 67</v>
      </c>
      <c r="Z223" s="1" t="str">
        <f ca="1">IFERROR(__xludf.DUMMYFUNCTION("""COMPUTED_VALUE"""),"+221 77 644 95 67")</f>
        <v>+221 77 644 95 67</v>
      </c>
      <c r="AA223" s="1" t="str">
        <f ca="1">IFERROR(__xludf.DUMMYFUNCTION("""COMPUTED_VALUE"""),"+221 77 370 20 67")</f>
        <v>+221 77 370 20 67</v>
      </c>
      <c r="AB223" s="2">
        <f ca="1">IFERROR(__xludf.DUMMYFUNCTION("""COMPUTED_VALUE"""),27819)</f>
        <v>27819</v>
      </c>
      <c r="AC223" s="2">
        <f ca="1">IFERROR(__xludf.DUMMYFUNCTION("""COMPUTED_VALUE"""),29308)</f>
        <v>29308</v>
      </c>
      <c r="AD223" s="1" t="str">
        <f ca="1">IFERROR(__xludf.DUMMYFUNCTION("""COMPUTED_VALUE"""),"PERE")</f>
        <v>PERE</v>
      </c>
      <c r="AE223" s="1" t="str">
        <f ca="1">IFERROR(__xludf.DUMMYFUNCTION("""COMPUTED_VALUE"""),"MERE")</f>
        <v>MERE</v>
      </c>
      <c r="AF223" s="1" t="str">
        <f ca="1">IFERROR(__xludf.DUMMYFUNCTION("""COMPUTED_VALUE"""),"FRANCE")</f>
        <v>FRANCE</v>
      </c>
      <c r="AG223" s="1" t="str">
        <f ca="1">IFERROR(__xludf.DUMMYFUNCTION("""COMPUTED_VALUE"""),"SENEGAL")</f>
        <v>SENEGAL</v>
      </c>
      <c r="AH223" s="1"/>
      <c r="AI223" s="1" t="str">
        <f ca="1">IFERROR(__xludf.DUMMYFUNCTION("""COMPUTED_VALUE"""),"FRANCE")</f>
        <v>FRANCE</v>
      </c>
      <c r="AJ223" s="1" t="str">
        <f ca="1">IFERROR(__xludf.DUMMYFUNCTION("""COMPUTED_VALUE"""),"F1314")</f>
        <v>F1314</v>
      </c>
      <c r="AK223" s="1" t="str">
        <f ca="1">IFERROR(__xludf.DUMMYFUNCTION("""COMPUTED_VALUE"""),"Marié(e)")</f>
        <v>Marié(e)</v>
      </c>
      <c r="AL223" s="1" t="str">
        <f ca="1">IFERROR(__xludf.DUMMYFUNCTION("""COMPUTED_VALUE"""),"Marié(e)")</f>
        <v>Marié(e)</v>
      </c>
      <c r="AM223" s="1" t="str">
        <f ca="1">IFERROR(__xludf.DUMMYFUNCTION("""COMPUTED_VALUE"""),"F1314")</f>
        <v>F1314</v>
      </c>
    </row>
    <row r="224" spans="1:39" ht="13" x14ac:dyDescent="0.15">
      <c r="A224" s="1" t="str">
        <f ca="1">IFERROR(__xludf.DUMMYFUNCTION("""COMPUTED_VALUE"""),"FERRY Léo")</f>
        <v>FERRY Léo</v>
      </c>
      <c r="B224" s="1" t="str">
        <f ca="1">IFERROR(__xludf.DUMMYFUNCTION("""COMPUTED_VALUE"""),"FERRY")</f>
        <v>FERRY</v>
      </c>
      <c r="C224" s="1" t="str">
        <f ca="1">IFERROR(__xludf.DUMMYFUNCTION("""COMPUTED_VALUE"""),"Léo")</f>
        <v>Léo</v>
      </c>
      <c r="D224" s="1" t="str">
        <f ca="1">IFERROR(__xludf.DUMMYFUNCTION("""COMPUTED_VALUE"""),"1315E1")</f>
        <v>1315E1</v>
      </c>
      <c r="E224" s="2">
        <f ca="1">IFERROR(__xludf.DUMMYFUNCTION("""COMPUTED_VALUE"""),42733)</f>
        <v>42733</v>
      </c>
      <c r="F224" s="1" t="str">
        <f ca="1">IFERROR(__xludf.DUMMYFUNCTION("""COMPUTED_VALUE"""),"CM1A")</f>
        <v>CM1A</v>
      </c>
      <c r="G224" s="1" t="str">
        <f ca="1">IFERROR(__xludf.DUMMYFUNCTION("""COMPUTED_VALUE"""),"CM1")</f>
        <v>CM1</v>
      </c>
      <c r="H224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224" s="1"/>
      <c r="J224" s="1"/>
      <c r="K224" s="1"/>
      <c r="L224" s="1"/>
      <c r="M224" s="1"/>
      <c r="N224" s="1" t="str">
        <f ca="1">IFERROR(__xludf.DUMMYFUNCTION("""COMPUTED_VALUE"""),"Garçon")</f>
        <v>Garçon</v>
      </c>
      <c r="O224" s="1"/>
      <c r="P224" s="1" t="str">
        <f ca="1">IFERROR(__xludf.DUMMYFUNCTION("""COMPUTED_VALUE"""),"FRANCE")</f>
        <v>FRANCE</v>
      </c>
      <c r="Q224" s="1" t="str">
        <f ca="1">IFERROR(__xludf.DUMMYFUNCTION("""COMPUTED_VALUE"""),"SENEGAL")</f>
        <v>SENEGAL</v>
      </c>
      <c r="R224" s="1"/>
      <c r="S224" s="1" t="str">
        <f ca="1">IFERROR(__xludf.DUMMYFUNCTION("""COMPUTED_VALUE"""),"+221")</f>
        <v>+221</v>
      </c>
      <c r="T224" s="1" t="str">
        <f ca="1">IFERROR(__xludf.DUMMYFUNCTION("""COMPUTED_VALUE"""),"FERRY Bruno")</f>
        <v>FERRY Bruno</v>
      </c>
      <c r="U224" s="1" t="str">
        <f ca="1">IFERROR(__xludf.DUMMYFUNCTION("""COMPUTED_VALUE"""),"FERRY Fama")</f>
        <v>FERRY Fama</v>
      </c>
      <c r="V224" s="1" t="str">
        <f ca="1">IFERROR(__xludf.DUMMYFUNCTION("""COMPUTED_VALUE"""),"office365bruno@gmail.com")</f>
        <v>office365bruno@gmail.com</v>
      </c>
      <c r="W224" s="1" t="str">
        <f ca="1">IFERROR(__xludf.DUMMYFUNCTION("""COMPUTED_VALUE"""),"seyefama94@gmail.com")</f>
        <v>seyefama94@gmail.com</v>
      </c>
      <c r="X224" s="1" t="str">
        <f ca="1">IFERROR(__xludf.DUMMYFUNCTION("""COMPUTED_VALUE"""),"+33 6 21 16 72 46")</f>
        <v>+33 6 21 16 72 46</v>
      </c>
      <c r="Y224" s="1" t="str">
        <f ca="1">IFERROR(__xludf.DUMMYFUNCTION("""COMPUTED_VALUE"""),"+221 77 490 90 96")</f>
        <v>+221 77 490 90 96</v>
      </c>
      <c r="Z224" s="1" t="str">
        <f ca="1">IFERROR(__xludf.DUMMYFUNCTION("""COMPUTED_VALUE"""),"+33 6 21 16 72 46")</f>
        <v>+33 6 21 16 72 46</v>
      </c>
      <c r="AA224" s="1" t="str">
        <f ca="1">IFERROR(__xludf.DUMMYFUNCTION("""COMPUTED_VALUE"""),"+33 6 18 79 90 56")</f>
        <v>+33 6 18 79 90 56</v>
      </c>
      <c r="AB224" s="2">
        <f ca="1">IFERROR(__xludf.DUMMYFUNCTION("""COMPUTED_VALUE"""),24598)</f>
        <v>24598</v>
      </c>
      <c r="AC224" s="2">
        <f ca="1">IFERROR(__xludf.DUMMYFUNCTION("""COMPUTED_VALUE"""),35261)</f>
        <v>35261</v>
      </c>
      <c r="AD224" s="1" t="str">
        <f ca="1">IFERROR(__xludf.DUMMYFUNCTION("""COMPUTED_VALUE"""),"PERE")</f>
        <v>PERE</v>
      </c>
      <c r="AE224" s="1" t="str">
        <f ca="1">IFERROR(__xludf.DUMMYFUNCTION("""COMPUTED_VALUE"""),"MERE")</f>
        <v>MERE</v>
      </c>
      <c r="AF224" s="1" t="str">
        <f ca="1">IFERROR(__xludf.DUMMYFUNCTION("""COMPUTED_VALUE"""),"FRANCE")</f>
        <v>FRANCE</v>
      </c>
      <c r="AG224" s="1" t="str">
        <f ca="1">IFERROR(__xludf.DUMMYFUNCTION("""COMPUTED_VALUE"""),"SENEGAL")</f>
        <v>SENEGAL</v>
      </c>
      <c r="AH224" s="1"/>
      <c r="AI224" s="1"/>
      <c r="AJ224" s="1" t="str">
        <f ca="1">IFERROR(__xludf.DUMMYFUNCTION("""COMPUTED_VALUE"""),"F1315")</f>
        <v>F1315</v>
      </c>
      <c r="AK224" s="1" t="str">
        <f ca="1">IFERROR(__xludf.DUMMYFUNCTION("""COMPUTED_VALUE"""),"Marié(e)")</f>
        <v>Marié(e)</v>
      </c>
      <c r="AL224" s="1" t="str">
        <f ca="1">IFERROR(__xludf.DUMMYFUNCTION("""COMPUTED_VALUE"""),"Marié(e)")</f>
        <v>Marié(e)</v>
      </c>
      <c r="AM224" s="1" t="str">
        <f ca="1">IFERROR(__xludf.DUMMYFUNCTION("""COMPUTED_VALUE"""),"F1315")</f>
        <v>F1315</v>
      </c>
    </row>
    <row r="225" spans="1:39" ht="13" x14ac:dyDescent="0.15">
      <c r="A225" s="1" t="str">
        <f ca="1">IFERROR(__xludf.DUMMYFUNCTION("""COMPUTED_VALUE"""),"FEZE Alexandre")</f>
        <v>FEZE Alexandre</v>
      </c>
      <c r="B225" s="1" t="str">
        <f ca="1">IFERROR(__xludf.DUMMYFUNCTION("""COMPUTED_VALUE"""),"FEZE")</f>
        <v>FEZE</v>
      </c>
      <c r="C225" s="1" t="str">
        <f ca="1">IFERROR(__xludf.DUMMYFUNCTION("""COMPUTED_VALUE"""),"Alexandre")</f>
        <v>Alexandre</v>
      </c>
      <c r="D225" s="1" t="str">
        <f ca="1">IFERROR(__xludf.DUMMYFUNCTION("""COMPUTED_VALUE"""),"1655E1")</f>
        <v>1655E1</v>
      </c>
      <c r="E225" s="2">
        <f ca="1">IFERROR(__xludf.DUMMYFUNCTION("""COMPUTED_VALUE"""),39837)</f>
        <v>39837</v>
      </c>
      <c r="F225" s="1" t="str">
        <f ca="1">IFERROR(__xludf.DUMMYFUNCTION("""COMPUTED_VALUE"""),"2NDE1 COOP")</f>
        <v>2NDE1 COOP</v>
      </c>
      <c r="G225" s="1" t="str">
        <f ca="1">IFERROR(__xludf.DUMMYFUNCTION("""COMPUTED_VALUE"""),"2nde")</f>
        <v>2nde</v>
      </c>
      <c r="H225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225" s="1" t="str">
        <f ca="1">IFERROR(__xludf.DUMMYFUNCTION("""COMPUTED_VALUE"""),"LVA Anglais")</f>
        <v>LVA Anglais</v>
      </c>
      <c r="J225" s="1" t="str">
        <f ca="1">IFERROR(__xludf.DUMMYFUNCTION("""COMPUTED_VALUE"""),"LVB Espagnol")</f>
        <v>LVB Espagnol</v>
      </c>
      <c r="K225" s="1"/>
      <c r="L225" s="1"/>
      <c r="M225" s="1"/>
      <c r="N225" s="1" t="str">
        <f ca="1">IFERROR(__xludf.DUMMYFUNCTION("""COMPUTED_VALUE"""),"Garçon")</f>
        <v>Garçon</v>
      </c>
      <c r="O225" s="1"/>
      <c r="P225" s="1" t="str">
        <f ca="1">IFERROR(__xludf.DUMMYFUNCTION("""COMPUTED_VALUE"""),"CANADA")</f>
        <v>CANADA</v>
      </c>
      <c r="Q225" s="1"/>
      <c r="R225" s="1" t="str">
        <f ca="1">IFERROR(__xludf.DUMMYFUNCTION("""COMPUTED_VALUE"""),"alexandre.feze@lfjpsaly.org")</f>
        <v>alexandre.feze@lfjpsaly.org</v>
      </c>
      <c r="S225" s="1" t="str">
        <f ca="1">IFERROR(__xludf.DUMMYFUNCTION("""COMPUTED_VALUE"""),"+221")</f>
        <v>+221</v>
      </c>
      <c r="T225" s="1" t="str">
        <f ca="1">IFERROR(__xludf.DUMMYFUNCTION("""COMPUTED_VALUE"""),"NGUENG FEZE Ida")</f>
        <v>NGUENG FEZE Ida</v>
      </c>
      <c r="U225" s="1" t="str">
        <f ca="1">IFERROR(__xludf.DUMMYFUNCTION("""COMPUTED_VALUE"""),"RÉGNUS Jean-Marc")</f>
        <v>RÉGNUS Jean-Marc</v>
      </c>
      <c r="V225" s="1" t="str">
        <f ca="1">IFERROR(__xludf.DUMMYFUNCTION("""COMPUTED_VALUE"""),"inguengf@proton.me")</f>
        <v>inguengf@proton.me</v>
      </c>
      <c r="W225" s="1" t="str">
        <f ca="1">IFERROR(__xludf.DUMMYFUNCTION("""COMPUTED_VALUE"""),"regnus.jm@proton.me")</f>
        <v>regnus.jm@proton.me</v>
      </c>
      <c r="X225" s="1" t="str">
        <f ca="1">IFERROR(__xludf.DUMMYFUNCTION("""COMPUTED_VALUE"""),"+221 77 199 44 17")</f>
        <v>+221 77 199 44 17</v>
      </c>
      <c r="Y225" s="1" t="str">
        <f ca="1">IFERROR(__xludf.DUMMYFUNCTION("""COMPUTED_VALUE"""),"+221 77 849 63 88")</f>
        <v>+221 77 849 63 88</v>
      </c>
      <c r="Z225" s="1" t="str">
        <f ca="1">IFERROR(__xludf.DUMMYFUNCTION("""COMPUTED_VALUE"""),"+221")</f>
        <v>+221</v>
      </c>
      <c r="AA225" s="1" t="str">
        <f ca="1">IFERROR(__xludf.DUMMYFUNCTION("""COMPUTED_VALUE"""),"+221")</f>
        <v>+221</v>
      </c>
      <c r="AB225" s="2">
        <f ca="1">IFERROR(__xludf.DUMMYFUNCTION("""COMPUTED_VALUE"""),29476)</f>
        <v>29476</v>
      </c>
      <c r="AC225" s="2">
        <f ca="1">IFERROR(__xludf.DUMMYFUNCTION("""COMPUTED_VALUE"""),31807)</f>
        <v>31807</v>
      </c>
      <c r="AD225" s="1" t="str">
        <f ca="1">IFERROR(__xludf.DUMMYFUNCTION("""COMPUTED_VALUE"""),"MERE")</f>
        <v>MERE</v>
      </c>
      <c r="AE225" s="1" t="str">
        <f ca="1">IFERROR(__xludf.DUMMYFUNCTION("""COMPUTED_VALUE"""),"AUTRE FAM.")</f>
        <v>AUTRE FAM.</v>
      </c>
      <c r="AF225" s="1" t="str">
        <f ca="1">IFERROR(__xludf.DUMMYFUNCTION("""COMPUTED_VALUE"""),"CANADA")</f>
        <v>CANADA</v>
      </c>
      <c r="AG225" s="1" t="str">
        <f ca="1">IFERROR(__xludf.DUMMYFUNCTION("""COMPUTED_VALUE"""),"CANADA")</f>
        <v>CANADA</v>
      </c>
      <c r="AH225" s="1"/>
      <c r="AI225" s="1"/>
      <c r="AJ225" s="1" t="str">
        <f ca="1">IFERROR(__xludf.DUMMYFUNCTION("""COMPUTED_VALUE"""),"F1655")</f>
        <v>F1655</v>
      </c>
      <c r="AK225" s="1" t="str">
        <f ca="1">IFERROR(__xludf.DUMMYFUNCTION("""COMPUTED_VALUE"""),"Marié(e)")</f>
        <v>Marié(e)</v>
      </c>
      <c r="AL225" s="1" t="str">
        <f ca="1">IFERROR(__xludf.DUMMYFUNCTION("""COMPUTED_VALUE"""),"Marié(e)")</f>
        <v>Marié(e)</v>
      </c>
      <c r="AM225" s="1" t="str">
        <f ca="1">IFERROR(__xludf.DUMMYFUNCTION("""COMPUTED_VALUE"""),"F1655")</f>
        <v>F1655</v>
      </c>
    </row>
    <row r="226" spans="1:39" ht="13" x14ac:dyDescent="0.15">
      <c r="A226" s="1" t="str">
        <f ca="1">IFERROR(__xludf.DUMMYFUNCTION("""COMPUTED_VALUE"""),"FIGUEIRA DEMEERLAERE TESSIER Victoria")</f>
        <v>FIGUEIRA DEMEERLAERE TESSIER Victoria</v>
      </c>
      <c r="B226" s="1" t="str">
        <f ca="1">IFERROR(__xludf.DUMMYFUNCTION("""COMPUTED_VALUE"""),"FIGUEIRA DEMEERLAERE TESSIER")</f>
        <v>FIGUEIRA DEMEERLAERE TESSIER</v>
      </c>
      <c r="C226" s="1" t="str">
        <f ca="1">IFERROR(__xludf.DUMMYFUNCTION("""COMPUTED_VALUE"""),"Victoria")</f>
        <v>Victoria</v>
      </c>
      <c r="D226" s="1" t="str">
        <f ca="1">IFERROR(__xludf.DUMMYFUNCTION("""COMPUTED_VALUE"""),"1316E1")</f>
        <v>1316E1</v>
      </c>
      <c r="E226" s="2">
        <f ca="1">IFERROR(__xludf.DUMMYFUNCTION("""COMPUTED_VALUE"""),41386)</f>
        <v>41386</v>
      </c>
      <c r="F226" s="1" t="str">
        <f ca="1">IFERROR(__xludf.DUMMYFUNCTION("""COMPUTED_VALUE"""),"5EME2")</f>
        <v>5EME2</v>
      </c>
      <c r="G226" s="1" t="str">
        <f ca="1">IFERROR(__xludf.DUMMYFUNCTION("""COMPUTED_VALUE"""),"5ème")</f>
        <v>5ème</v>
      </c>
      <c r="H226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226" s="1" t="str">
        <f ca="1">IFERROR(__xludf.DUMMYFUNCTION("""COMPUTED_VALUE"""),"LVA Anglais")</f>
        <v>LVA Anglais</v>
      </c>
      <c r="J226" s="1" t="str">
        <f ca="1">IFERROR(__xludf.DUMMYFUNCTION("""COMPUTED_VALUE"""),"LVB Espagnol")</f>
        <v>LVB Espagnol</v>
      </c>
      <c r="K226" s="1"/>
      <c r="L226" s="1"/>
      <c r="M226" s="1"/>
      <c r="N226" s="1" t="str">
        <f ca="1">IFERROR(__xludf.DUMMYFUNCTION("""COMPUTED_VALUE"""),"Fille")</f>
        <v>Fille</v>
      </c>
      <c r="O226" s="1"/>
      <c r="P226" s="1" t="str">
        <f ca="1">IFERROR(__xludf.DUMMYFUNCTION("""COMPUTED_VALUE"""),"FRANCE")</f>
        <v>FRANCE</v>
      </c>
      <c r="Q226" s="1" t="str">
        <f ca="1">IFERROR(__xludf.DUMMYFUNCTION("""COMPUTED_VALUE"""),"BRESIL")</f>
        <v>BRESIL</v>
      </c>
      <c r="R226" s="1" t="str">
        <f ca="1">IFERROR(__xludf.DUMMYFUNCTION("""COMPUTED_VALUE"""),"victoria.figueira@lfjpsaly.org")</f>
        <v>victoria.figueira@lfjpsaly.org</v>
      </c>
      <c r="S226" s="1" t="str">
        <f ca="1">IFERROR(__xludf.DUMMYFUNCTION("""COMPUTED_VALUE"""),"+221 77 221 40 50")</f>
        <v>+221 77 221 40 50</v>
      </c>
      <c r="T226" s="1" t="str">
        <f ca="1">IFERROR(__xludf.DUMMYFUNCTION("""COMPUTED_VALUE"""),"DEMEERLAERE Caroline")</f>
        <v>DEMEERLAERE Caroline</v>
      </c>
      <c r="U226" s="1" t="str">
        <f ca="1">IFERROR(__xludf.DUMMYFUNCTION("""COMPUTED_VALUE"""),"DEMEERLAERE Geoffrey")</f>
        <v>DEMEERLAERE Geoffrey</v>
      </c>
      <c r="V226" s="1" t="str">
        <f ca="1">IFERROR(__xludf.DUMMYFUNCTION("""COMPUTED_VALUE"""),"carolperetti@gmail.com")</f>
        <v>carolperetti@gmail.com</v>
      </c>
      <c r="W226" s="1" t="str">
        <f ca="1">IFERROR(__xludf.DUMMYFUNCTION("""COMPUTED_VALUE"""),"geoffreydem@gmail.com")</f>
        <v>geoffreydem@gmail.com</v>
      </c>
      <c r="X226" s="1" t="str">
        <f ca="1">IFERROR(__xludf.DUMMYFUNCTION("""COMPUTED_VALUE"""),"+221 77 221 40 50")</f>
        <v>+221 77 221 40 50</v>
      </c>
      <c r="Y226" s="1" t="str">
        <f ca="1">IFERROR(__xludf.DUMMYFUNCTION("""COMPUTED_VALUE"""),"+221 77 221 48 30")</f>
        <v>+221 77 221 48 30</v>
      </c>
      <c r="Z226" s="1" t="str">
        <f ca="1">IFERROR(__xludf.DUMMYFUNCTION("""COMPUTED_VALUE"""),"+221")</f>
        <v>+221</v>
      </c>
      <c r="AA226" s="1"/>
      <c r="AB226" s="2">
        <f ca="1">IFERROR(__xludf.DUMMYFUNCTION("""COMPUTED_VALUE"""),31614)</f>
        <v>31614</v>
      </c>
      <c r="AC226" s="2">
        <f ca="1">IFERROR(__xludf.DUMMYFUNCTION("""COMPUTED_VALUE"""),32897)</f>
        <v>32897</v>
      </c>
      <c r="AD226" s="1" t="str">
        <f ca="1">IFERROR(__xludf.DUMMYFUNCTION("""COMPUTED_VALUE"""),"MERE")</f>
        <v>MERE</v>
      </c>
      <c r="AE226" s="1" t="str">
        <f ca="1">IFERROR(__xludf.DUMMYFUNCTION("""COMPUTED_VALUE"""),"PERE")</f>
        <v>PERE</v>
      </c>
      <c r="AF226" s="1" t="str">
        <f ca="1">IFERROR(__xludf.DUMMYFUNCTION("""COMPUTED_VALUE"""),"FRANCE")</f>
        <v>FRANCE</v>
      </c>
      <c r="AG226" s="1" t="str">
        <f ca="1">IFERROR(__xludf.DUMMYFUNCTION("""COMPUTED_VALUE"""),"FRANCE")</f>
        <v>FRANCE</v>
      </c>
      <c r="AH226" s="1" t="str">
        <f ca="1">IFERROR(__xludf.DUMMYFUNCTION("""COMPUTED_VALUE"""),"BRESIL")</f>
        <v>BRESIL</v>
      </c>
      <c r="AI226" s="1"/>
      <c r="AJ226" s="1" t="str">
        <f ca="1">IFERROR(__xludf.DUMMYFUNCTION("""COMPUTED_VALUE"""),"F1316")</f>
        <v>F1316</v>
      </c>
      <c r="AK226" s="1" t="str">
        <f ca="1">IFERROR(__xludf.DUMMYFUNCTION("""COMPUTED_VALUE"""),"Marié(e)")</f>
        <v>Marié(e)</v>
      </c>
      <c r="AL226" s="1" t="str">
        <f ca="1">IFERROR(__xludf.DUMMYFUNCTION("""COMPUTED_VALUE"""),"Marié(e)")</f>
        <v>Marié(e)</v>
      </c>
      <c r="AM226" s="1" t="str">
        <f ca="1">IFERROR(__xludf.DUMMYFUNCTION("""COMPUTED_VALUE"""),"F1316")</f>
        <v>F1316</v>
      </c>
    </row>
    <row r="227" spans="1:39" ht="13" x14ac:dyDescent="0.15">
      <c r="A227" s="1" t="str">
        <f ca="1">IFERROR(__xludf.DUMMYFUNCTION("""COMPUTED_VALUE"""),"FILISETTI Karim Vittorio")</f>
        <v>FILISETTI Karim Vittorio</v>
      </c>
      <c r="B227" s="1" t="str">
        <f ca="1">IFERROR(__xludf.DUMMYFUNCTION("""COMPUTED_VALUE"""),"FILISETTI")</f>
        <v>FILISETTI</v>
      </c>
      <c r="C227" s="1" t="str">
        <f ca="1">IFERROR(__xludf.DUMMYFUNCTION("""COMPUTED_VALUE"""),"Karim Vittorio")</f>
        <v>Karim Vittorio</v>
      </c>
      <c r="D227" s="1" t="str">
        <f ca="1">IFERROR(__xludf.DUMMYFUNCTION("""COMPUTED_VALUE"""),"1317E1")</f>
        <v>1317E1</v>
      </c>
      <c r="E227" s="2">
        <f ca="1">IFERROR(__xludf.DUMMYFUNCTION("""COMPUTED_VALUE"""),41946)</f>
        <v>41946</v>
      </c>
      <c r="F227" s="1" t="str">
        <f ca="1">IFERROR(__xludf.DUMMYFUNCTION("""COMPUTED_VALUE"""),"CM2A")</f>
        <v>CM2A</v>
      </c>
      <c r="G227" s="1" t="str">
        <f ca="1">IFERROR(__xludf.DUMMYFUNCTION("""COMPUTED_VALUE"""),"CM2")</f>
        <v>CM2</v>
      </c>
      <c r="H227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227" s="1"/>
      <c r="J227" s="1"/>
      <c r="K227" s="1"/>
      <c r="L227" s="1"/>
      <c r="M227" s="1"/>
      <c r="N227" s="1" t="str">
        <f ca="1">IFERROR(__xludf.DUMMYFUNCTION("""COMPUTED_VALUE"""),"Garçon")</f>
        <v>Garçon</v>
      </c>
      <c r="O227" s="1"/>
      <c r="P227" s="1" t="str">
        <f ca="1">IFERROR(__xludf.DUMMYFUNCTION("""COMPUTED_VALUE"""),"ITALIE")</f>
        <v>ITALIE</v>
      </c>
      <c r="Q227" s="1" t="str">
        <f ca="1">IFERROR(__xludf.DUMMYFUNCTION("""COMPUTED_VALUE"""),"SENEGAL")</f>
        <v>SENEGAL</v>
      </c>
      <c r="R227" s="1"/>
      <c r="S227" s="1" t="str">
        <f ca="1">IFERROR(__xludf.DUMMYFUNCTION("""COMPUTED_VALUE"""),"+221 77 644 31 27")</f>
        <v>+221 77 644 31 27</v>
      </c>
      <c r="T227" s="1" t="str">
        <f ca="1">IFERROR(__xludf.DUMMYFUNCTION("""COMPUTED_VALUE"""),"FILISETTI Flavio")</f>
        <v>FILISETTI Flavio</v>
      </c>
      <c r="U227" s="1" t="str">
        <f ca="1">IFERROR(__xludf.DUMMYFUNCTION("""COMPUTED_VALUE"""),"FILISETTI CAMARA Diama")</f>
        <v>FILISETTI CAMARA Diama</v>
      </c>
      <c r="V227" s="1" t="str">
        <f ca="1">IFERROR(__xludf.DUMMYFUNCTION("""COMPUTED_VALUE"""),"filisetti@alimasarl.com")</f>
        <v>filisetti@alimasarl.com</v>
      </c>
      <c r="W227" s="1" t="str">
        <f ca="1">IFERROR(__xludf.DUMMYFUNCTION("""COMPUTED_VALUE"""),"2mondi.diama@gmail.com")</f>
        <v>2mondi.diama@gmail.com</v>
      </c>
      <c r="X227" s="1" t="str">
        <f ca="1">IFERROR(__xludf.DUMMYFUNCTION("""COMPUTED_VALUE"""),"+221 77 194 88 21")</f>
        <v>+221 77 194 88 21</v>
      </c>
      <c r="Y227" s="1" t="str">
        <f ca="1">IFERROR(__xludf.DUMMYFUNCTION("""COMPUTED_VALUE"""),"77 644 31 27")</f>
        <v>77 644 31 27</v>
      </c>
      <c r="Z227" s="1" t="str">
        <f ca="1">IFERROR(__xludf.DUMMYFUNCTION("""COMPUTED_VALUE"""),"+221 77 644 31 27")</f>
        <v>+221 77 644 31 27</v>
      </c>
      <c r="AA227" s="1" t="str">
        <f ca="1">IFERROR(__xludf.DUMMYFUNCTION("""COMPUTED_VALUE"""),"+221 77 644 31 27")</f>
        <v>+221 77 644 31 27</v>
      </c>
      <c r="AB227" s="2">
        <f ca="1">IFERROR(__xludf.DUMMYFUNCTION("""COMPUTED_VALUE"""),22111)</f>
        <v>22111</v>
      </c>
      <c r="AC227" s="2">
        <f ca="1">IFERROR(__xludf.DUMMYFUNCTION("""COMPUTED_VALUE"""),26680)</f>
        <v>26680</v>
      </c>
      <c r="AD227" s="1" t="str">
        <f ca="1">IFERROR(__xludf.DUMMYFUNCTION("""COMPUTED_VALUE"""),"PERE")</f>
        <v>PERE</v>
      </c>
      <c r="AE227" s="1" t="str">
        <f ca="1">IFERROR(__xludf.DUMMYFUNCTION("""COMPUTED_VALUE"""),"MERE")</f>
        <v>MERE</v>
      </c>
      <c r="AF227" s="1" t="str">
        <f ca="1">IFERROR(__xludf.DUMMYFUNCTION("""COMPUTED_VALUE"""),"ITALIE")</f>
        <v>ITALIE</v>
      </c>
      <c r="AG227" s="1" t="str">
        <f ca="1">IFERROR(__xludf.DUMMYFUNCTION("""COMPUTED_VALUE"""),"SENEGAL")</f>
        <v>SENEGAL</v>
      </c>
      <c r="AH227" s="1" t="str">
        <f ca="1">IFERROR(__xludf.DUMMYFUNCTION("""COMPUTED_VALUE"""),"SENEGAL")</f>
        <v>SENEGAL</v>
      </c>
      <c r="AI227" s="1"/>
      <c r="AJ227" s="1" t="str">
        <f ca="1">IFERROR(__xludf.DUMMYFUNCTION("""COMPUTED_VALUE"""),"F1317")</f>
        <v>F1317</v>
      </c>
      <c r="AK227" s="1" t="str">
        <f ca="1">IFERROR(__xludf.DUMMYFUNCTION("""COMPUTED_VALUE"""),"Marié(e)")</f>
        <v>Marié(e)</v>
      </c>
      <c r="AL227" s="1" t="str">
        <f ca="1">IFERROR(__xludf.DUMMYFUNCTION("""COMPUTED_VALUE"""),"Marié(e)")</f>
        <v>Marié(e)</v>
      </c>
      <c r="AM227" s="1" t="str">
        <f ca="1">IFERROR(__xludf.DUMMYFUNCTION("""COMPUTED_VALUE"""),"F1317")</f>
        <v>F1317</v>
      </c>
    </row>
    <row r="228" spans="1:39" ht="13" x14ac:dyDescent="0.15">
      <c r="A228" s="1" t="str">
        <f ca="1">IFERROR(__xludf.DUMMYFUNCTION("""COMPUTED_VALUE"""),"FLOSSE FAL Denzel")</f>
        <v>FLOSSE FAL Denzel</v>
      </c>
      <c r="B228" s="1" t="str">
        <f ca="1">IFERROR(__xludf.DUMMYFUNCTION("""COMPUTED_VALUE"""),"FLOSSE FAL")</f>
        <v>FLOSSE FAL</v>
      </c>
      <c r="C228" s="1" t="str">
        <f ca="1">IFERROR(__xludf.DUMMYFUNCTION("""COMPUTED_VALUE"""),"Denzel")</f>
        <v>Denzel</v>
      </c>
      <c r="D228" s="1" t="str">
        <f ca="1">IFERROR(__xludf.DUMMYFUNCTION("""COMPUTED_VALUE"""),"1318E1")</f>
        <v>1318E1</v>
      </c>
      <c r="E228" s="2">
        <f ca="1">IFERROR(__xludf.DUMMYFUNCTION("""COMPUTED_VALUE"""),43284)</f>
        <v>43284</v>
      </c>
      <c r="F228" s="1" t="str">
        <f ca="1">IFERROR(__xludf.DUMMYFUNCTION("""COMPUTED_VALUE"""),"CE1A")</f>
        <v>CE1A</v>
      </c>
      <c r="G228" s="1" t="str">
        <f ca="1">IFERROR(__xludf.DUMMYFUNCTION("""COMPUTED_VALUE"""),"CE1")</f>
        <v>CE1</v>
      </c>
      <c r="H228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228" s="1"/>
      <c r="J228" s="1"/>
      <c r="K228" s="1"/>
      <c r="L228" s="1"/>
      <c r="M228" s="1"/>
      <c r="N228" s="1" t="str">
        <f ca="1">IFERROR(__xludf.DUMMYFUNCTION("""COMPUTED_VALUE"""),"Garçon")</f>
        <v>Garçon</v>
      </c>
      <c r="O228" s="1"/>
      <c r="P228" s="1" t="str">
        <f ca="1">IFERROR(__xludf.DUMMYFUNCTION("""COMPUTED_VALUE"""),"FRANCE")</f>
        <v>FRANCE</v>
      </c>
      <c r="Q228" s="1"/>
      <c r="R228" s="1"/>
      <c r="S228" s="1"/>
      <c r="T228" s="1" t="str">
        <f ca="1">IFERROR(__xludf.DUMMYFUNCTION("""COMPUTED_VALUE"""),"FLOSSE Julien")</f>
        <v>FLOSSE Julien</v>
      </c>
      <c r="U228" s="1" t="str">
        <f ca="1">IFERROR(__xludf.DUMMYFUNCTION("""COMPUTED_VALUE"""),"FAL Gaëlle")</f>
        <v>FAL Gaëlle</v>
      </c>
      <c r="V228" s="1" t="str">
        <f ca="1">IFERROR(__xludf.DUMMYFUNCTION("""COMPUTED_VALUE"""),"flossejulien@gmail.com")</f>
        <v>flossejulien@gmail.com</v>
      </c>
      <c r="W228" s="1" t="str">
        <f ca="1">IFERROR(__xludf.DUMMYFUNCTION("""COMPUTED_VALUE"""),"gaelleflossefal@gmail.com")</f>
        <v>gaelleflossefal@gmail.com</v>
      </c>
      <c r="X228" s="1" t="str">
        <f ca="1">IFERROR(__xludf.DUMMYFUNCTION("""COMPUTED_VALUE"""),"+221 78 183 65 42")</f>
        <v>+221 78 183 65 42</v>
      </c>
      <c r="Y228" s="1" t="str">
        <f ca="1">IFERROR(__xludf.DUMMYFUNCTION("""COMPUTED_VALUE"""),"+221 78 019 49 42")</f>
        <v>+221 78 019 49 42</v>
      </c>
      <c r="Z228" s="1" t="str">
        <f ca="1">IFERROR(__xludf.DUMMYFUNCTION("""COMPUTED_VALUE"""),"+221")</f>
        <v>+221</v>
      </c>
      <c r="AA228" s="1" t="str">
        <f ca="1">IFERROR(__xludf.DUMMYFUNCTION("""COMPUTED_VALUE"""),"+221 78 019 49 42")</f>
        <v>+221 78 019 49 42</v>
      </c>
      <c r="AB228" s="2">
        <f ca="1">IFERROR(__xludf.DUMMYFUNCTION("""COMPUTED_VALUE"""),28108)</f>
        <v>28108</v>
      </c>
      <c r="AC228" s="2">
        <f ca="1">IFERROR(__xludf.DUMMYFUNCTION("""COMPUTED_VALUE"""),30269)</f>
        <v>30269</v>
      </c>
      <c r="AD228" s="1" t="str">
        <f ca="1">IFERROR(__xludf.DUMMYFUNCTION("""COMPUTED_VALUE"""),"PERE")</f>
        <v>PERE</v>
      </c>
      <c r="AE228" s="1" t="str">
        <f ca="1">IFERROR(__xludf.DUMMYFUNCTION("""COMPUTED_VALUE"""),"MERE")</f>
        <v>MERE</v>
      </c>
      <c r="AF228" s="1" t="str">
        <f ca="1">IFERROR(__xludf.DUMMYFUNCTION("""COMPUTED_VALUE"""),"FRANCE")</f>
        <v>FRANCE</v>
      </c>
      <c r="AG228" s="1" t="str">
        <f ca="1">IFERROR(__xludf.DUMMYFUNCTION("""COMPUTED_VALUE"""),"FRANCE")</f>
        <v>FRANCE</v>
      </c>
      <c r="AH228" s="1"/>
      <c r="AI228" s="1" t="str">
        <f ca="1">IFERROR(__xludf.DUMMYFUNCTION("""COMPUTED_VALUE"""),"SENEGAL")</f>
        <v>SENEGAL</v>
      </c>
      <c r="AJ228" s="1" t="str">
        <f ca="1">IFERROR(__xludf.DUMMYFUNCTION("""COMPUTED_VALUE"""),"F1318")</f>
        <v>F1318</v>
      </c>
      <c r="AK228" s="1" t="str">
        <f ca="1">IFERROR(__xludf.DUMMYFUNCTION("""COMPUTED_VALUE"""),"Marié(e)")</f>
        <v>Marié(e)</v>
      </c>
      <c r="AL228" s="1" t="str">
        <f ca="1">IFERROR(__xludf.DUMMYFUNCTION("""COMPUTED_VALUE"""),"Marié(e)")</f>
        <v>Marié(e)</v>
      </c>
      <c r="AM228" s="1" t="str">
        <f ca="1">IFERROR(__xludf.DUMMYFUNCTION("""COMPUTED_VALUE"""),"F1318")</f>
        <v>F1318</v>
      </c>
    </row>
    <row r="229" spans="1:39" ht="13" x14ac:dyDescent="0.15">
      <c r="A229" s="1" t="str">
        <f ca="1">IFERROR(__xludf.DUMMYFUNCTION("""COMPUTED_VALUE"""),"FRANCHOIS Emma")</f>
        <v>FRANCHOIS Emma</v>
      </c>
      <c r="B229" s="1" t="str">
        <f ca="1">IFERROR(__xludf.DUMMYFUNCTION("""COMPUTED_VALUE"""),"FRANCHOIS")</f>
        <v>FRANCHOIS</v>
      </c>
      <c r="C229" s="1" t="str">
        <f ca="1">IFERROR(__xludf.DUMMYFUNCTION("""COMPUTED_VALUE"""),"Emma")</f>
        <v>Emma</v>
      </c>
      <c r="D229" s="1" t="str">
        <f ca="1">IFERROR(__xludf.DUMMYFUNCTION("""COMPUTED_VALUE"""),"1321E1")</f>
        <v>1321E1</v>
      </c>
      <c r="E229" s="2">
        <f ca="1">IFERROR(__xludf.DUMMYFUNCTION("""COMPUTED_VALUE"""),42858)</f>
        <v>42858</v>
      </c>
      <c r="F229" s="1" t="str">
        <f ca="1">IFERROR(__xludf.DUMMYFUNCTION("""COMPUTED_VALUE"""),"CE2")</f>
        <v>CE2</v>
      </c>
      <c r="G229" s="1" t="str">
        <f ca="1">IFERROR(__xludf.DUMMYFUNCTION("""COMPUTED_VALUE"""),"CE2")</f>
        <v>CE2</v>
      </c>
      <c r="H229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229" s="1"/>
      <c r="J229" s="1"/>
      <c r="K229" s="1"/>
      <c r="L229" s="1"/>
      <c r="M229" s="1"/>
      <c r="N229" s="1" t="str">
        <f ca="1">IFERROR(__xludf.DUMMYFUNCTION("""COMPUTED_VALUE"""),"Fille")</f>
        <v>Fille</v>
      </c>
      <c r="O229" s="1"/>
      <c r="P229" s="1" t="str">
        <f ca="1">IFERROR(__xludf.DUMMYFUNCTION("""COMPUTED_VALUE"""),"FRANCE")</f>
        <v>FRANCE</v>
      </c>
      <c r="Q229" s="1"/>
      <c r="R229" s="1"/>
      <c r="S229" s="1" t="str">
        <f ca="1">IFERROR(__xludf.DUMMYFUNCTION("""COMPUTED_VALUE"""),"+221")</f>
        <v>+221</v>
      </c>
      <c r="T229" s="1" t="str">
        <f ca="1">IFERROR(__xludf.DUMMYFUNCTION("""COMPUTED_VALUE"""),"FRANCHOIS Philippe")</f>
        <v>FRANCHOIS Philippe</v>
      </c>
      <c r="U229" s="1" t="str">
        <f ca="1">IFERROR(__xludf.DUMMYFUNCTION("""COMPUTED_VALUE"""),"SECK Ndeye Maty")</f>
        <v>SECK Ndeye Maty</v>
      </c>
      <c r="V229" s="1" t="str">
        <f ca="1">IFERROR(__xludf.DUMMYFUNCTION("""COMPUTED_VALUE"""),"ph.franchois@gmail.com")</f>
        <v>ph.franchois@gmail.com</v>
      </c>
      <c r="W229" s="1" t="str">
        <f ca="1">IFERROR(__xludf.DUMMYFUNCTION("""COMPUTED_VALUE"""),"matyseck544@gmail.com")</f>
        <v>matyseck544@gmail.com</v>
      </c>
      <c r="X229" s="1" t="str">
        <f ca="1">IFERROR(__xludf.DUMMYFUNCTION("""COMPUTED_VALUE"""),"+221 77 157 87 66")</f>
        <v>+221 77 157 87 66</v>
      </c>
      <c r="Y229" s="1" t="str">
        <f ca="1">IFERROR(__xludf.DUMMYFUNCTION("""COMPUTED_VALUE"""),"+221 77 337 46 04")</f>
        <v>+221 77 337 46 04</v>
      </c>
      <c r="Z229" s="1"/>
      <c r="AA229" s="1"/>
      <c r="AB229" s="2">
        <f ca="1">IFERROR(__xludf.DUMMYFUNCTION("""COMPUTED_VALUE"""),19221)</f>
        <v>19221</v>
      </c>
      <c r="AC229" s="2">
        <f ca="1">IFERROR(__xludf.DUMMYFUNCTION("""COMPUTED_VALUE"""),33289)</f>
        <v>33289</v>
      </c>
      <c r="AD229" s="1" t="str">
        <f ca="1">IFERROR(__xludf.DUMMYFUNCTION("""COMPUTED_VALUE"""),"PERE")</f>
        <v>PERE</v>
      </c>
      <c r="AE229" s="1" t="str">
        <f ca="1">IFERROR(__xludf.DUMMYFUNCTION("""COMPUTED_VALUE"""),"MERE")</f>
        <v>MERE</v>
      </c>
      <c r="AF229" s="1" t="str">
        <f ca="1">IFERROR(__xludf.DUMMYFUNCTION("""COMPUTED_VALUE"""),"FRANCE")</f>
        <v>FRANCE</v>
      </c>
      <c r="AG229" s="1" t="str">
        <f ca="1">IFERROR(__xludf.DUMMYFUNCTION("""COMPUTED_VALUE"""),"SENEGAL")</f>
        <v>SENEGAL</v>
      </c>
      <c r="AH229" s="1"/>
      <c r="AI229" s="1"/>
      <c r="AJ229" s="1" t="str">
        <f ca="1">IFERROR(__xludf.DUMMYFUNCTION("""COMPUTED_VALUE"""),"F1321")</f>
        <v>F1321</v>
      </c>
      <c r="AK229" s="1" t="str">
        <f ca="1">IFERROR(__xludf.DUMMYFUNCTION("""COMPUTED_VALUE"""),"Divorcée")</f>
        <v>Divorcée</v>
      </c>
      <c r="AL229" s="1" t="str">
        <f ca="1">IFERROR(__xludf.DUMMYFUNCTION("""COMPUTED_VALUE"""),"Célibataire")</f>
        <v>Célibataire</v>
      </c>
      <c r="AM229" s="1" t="str">
        <f ca="1">IFERROR(__xludf.DUMMYFUNCTION("""COMPUTED_VALUE"""),"F1321")</f>
        <v>F1321</v>
      </c>
    </row>
    <row r="230" spans="1:39" ht="13" x14ac:dyDescent="0.15">
      <c r="A230" s="1" t="str">
        <f ca="1">IFERROR(__xludf.DUMMYFUNCTION("""COMPUTED_VALUE"""),"FRATEUR Kacey")</f>
        <v>FRATEUR Kacey</v>
      </c>
      <c r="B230" s="1" t="str">
        <f ca="1">IFERROR(__xludf.DUMMYFUNCTION("""COMPUTED_VALUE"""),"FRATEUR")</f>
        <v>FRATEUR</v>
      </c>
      <c r="C230" s="1" t="str">
        <f ca="1">IFERROR(__xludf.DUMMYFUNCTION("""COMPUTED_VALUE"""),"Kacey")</f>
        <v>Kacey</v>
      </c>
      <c r="D230" s="1" t="str">
        <f ca="1">IFERROR(__xludf.DUMMYFUNCTION("""COMPUTED_VALUE"""),"1322E1")</f>
        <v>1322E1</v>
      </c>
      <c r="E230" s="2">
        <f ca="1">IFERROR(__xludf.DUMMYFUNCTION("""COMPUTED_VALUE"""),41694)</f>
        <v>41694</v>
      </c>
      <c r="F230" s="1" t="str">
        <f ca="1">IFERROR(__xludf.DUMMYFUNCTION("""COMPUTED_VALUE"""),"6EME2")</f>
        <v>6EME2</v>
      </c>
      <c r="G230" s="1" t="str">
        <f ca="1">IFERROR(__xludf.DUMMYFUNCTION("""COMPUTED_VALUE"""),"6ème")</f>
        <v>6ème</v>
      </c>
      <c r="H230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230" s="1" t="str">
        <f ca="1">IFERROR(__xludf.DUMMYFUNCTION("""COMPUTED_VALUE"""),"LVA Anglais")</f>
        <v>LVA Anglais</v>
      </c>
      <c r="J230" s="1" t="str">
        <f ca="1">IFERROR(__xludf.DUMMYFUNCTION("""COMPUTED_VALUE"""),"LVB Espagnol")</f>
        <v>LVB Espagnol</v>
      </c>
      <c r="K230" s="1"/>
      <c r="L230" s="1"/>
      <c r="M230" s="1"/>
      <c r="N230" s="1" t="str">
        <f ca="1">IFERROR(__xludf.DUMMYFUNCTION("""COMPUTED_VALUE"""),"Fille")</f>
        <v>Fille</v>
      </c>
      <c r="O230" s="1"/>
      <c r="P230" s="1" t="str">
        <f ca="1">IFERROR(__xludf.DUMMYFUNCTION("""COMPUTED_VALUE"""),"BELGIQUE")</f>
        <v>BELGIQUE</v>
      </c>
      <c r="Q230" s="1" t="str">
        <f ca="1">IFERROR(__xludf.DUMMYFUNCTION("""COMPUTED_VALUE"""),"PHILIPPINES")</f>
        <v>PHILIPPINES</v>
      </c>
      <c r="R230" s="1" t="str">
        <f ca="1">IFERROR(__xludf.DUMMYFUNCTION("""COMPUTED_VALUE"""),"kacey.frateur@lfjpsaly.org")</f>
        <v>kacey.frateur@lfjpsaly.org</v>
      </c>
      <c r="S230" s="1" t="str">
        <f ca="1">IFERROR(__xludf.DUMMYFUNCTION("""COMPUTED_VALUE"""),"+221 76 645 51 36")</f>
        <v>+221 76 645 51 36</v>
      </c>
      <c r="T230" s="1" t="str">
        <f ca="1">IFERROR(__xludf.DUMMYFUNCTION("""COMPUTED_VALUE"""),"FRATEUR Emerald")</f>
        <v>FRATEUR Emerald</v>
      </c>
      <c r="U230" s="1" t="str">
        <f ca="1">IFERROR(__xludf.DUMMYFUNCTION("""COMPUTED_VALUE"""),"FRATEUR Jacques")</f>
        <v>FRATEUR Jacques</v>
      </c>
      <c r="V230" s="1" t="str">
        <f ca="1">IFERROR(__xludf.DUMMYFUNCTION("""COMPUTED_VALUE"""),"kimora05@yahoo.com")</f>
        <v>kimora05@yahoo.com</v>
      </c>
      <c r="W230" s="1" t="str">
        <f ca="1">IFERROR(__xludf.DUMMYFUNCTION("""COMPUTED_VALUE"""),"jameskatanga@hotmail.com")</f>
        <v>jameskatanga@hotmail.com</v>
      </c>
      <c r="X230" s="1" t="str">
        <f ca="1">IFERROR(__xludf.DUMMYFUNCTION("""COMPUTED_VALUE"""),"+221 77 860 72 49")</f>
        <v>+221 77 860 72 49</v>
      </c>
      <c r="Y230" s="1" t="str">
        <f ca="1">IFERROR(__xludf.DUMMYFUNCTION("""COMPUTED_VALUE"""),"+221 76 645 51 36")</f>
        <v>+221 76 645 51 36</v>
      </c>
      <c r="Z230" s="1" t="str">
        <f ca="1">IFERROR(__xludf.DUMMYFUNCTION("""COMPUTED_VALUE"""),"+221 77 860 72 49")</f>
        <v>+221 77 860 72 49</v>
      </c>
      <c r="AA230" s="1" t="str">
        <f ca="1">IFERROR(__xludf.DUMMYFUNCTION("""COMPUTED_VALUE"""),"+221 76 645 51 36")</f>
        <v>+221 76 645 51 36</v>
      </c>
      <c r="AB230" s="2">
        <f ca="1">IFERROR(__xludf.DUMMYFUNCTION("""COMPUTED_VALUE"""),27885)</f>
        <v>27885</v>
      </c>
      <c r="AC230" s="2">
        <f ca="1">IFERROR(__xludf.DUMMYFUNCTION("""COMPUTED_VALUE"""),26449)</f>
        <v>26449</v>
      </c>
      <c r="AD230" s="1" t="str">
        <f ca="1">IFERROR(__xludf.DUMMYFUNCTION("""COMPUTED_VALUE"""),"MERE")</f>
        <v>MERE</v>
      </c>
      <c r="AE230" s="1" t="str">
        <f ca="1">IFERROR(__xludf.DUMMYFUNCTION("""COMPUTED_VALUE"""),"PERE")</f>
        <v>PERE</v>
      </c>
      <c r="AF230" s="1" t="str">
        <f ca="1">IFERROR(__xludf.DUMMYFUNCTION("""COMPUTED_VALUE"""),"PHILIPPINES")</f>
        <v>PHILIPPINES</v>
      </c>
      <c r="AG230" s="1" t="str">
        <f ca="1">IFERROR(__xludf.DUMMYFUNCTION("""COMPUTED_VALUE"""),"BELGIQUE")</f>
        <v>BELGIQUE</v>
      </c>
      <c r="AH230" s="1"/>
      <c r="AI230" s="1"/>
      <c r="AJ230" s="1" t="str">
        <f ca="1">IFERROR(__xludf.DUMMYFUNCTION("""COMPUTED_VALUE"""),"F1322")</f>
        <v>F1322</v>
      </c>
      <c r="AK230" s="1" t="str">
        <f ca="1">IFERROR(__xludf.DUMMYFUNCTION("""COMPUTED_VALUE"""),"Marié(e)")</f>
        <v>Marié(e)</v>
      </c>
      <c r="AL230" s="1" t="str">
        <f ca="1">IFERROR(__xludf.DUMMYFUNCTION("""COMPUTED_VALUE"""),"Marié(e)")</f>
        <v>Marié(e)</v>
      </c>
      <c r="AM230" s="1" t="str">
        <f ca="1">IFERROR(__xludf.DUMMYFUNCTION("""COMPUTED_VALUE"""),"F1322")</f>
        <v>F1322</v>
      </c>
    </row>
    <row r="231" spans="1:39" ht="13" x14ac:dyDescent="0.15">
      <c r="A231" s="1" t="str">
        <f ca="1">IFERROR(__xludf.DUMMYFUNCTION("""COMPUTED_VALUE"""),"FROGER Imani")</f>
        <v>FROGER Imani</v>
      </c>
      <c r="B231" s="1" t="str">
        <f ca="1">IFERROR(__xludf.DUMMYFUNCTION("""COMPUTED_VALUE"""),"FROGER")</f>
        <v>FROGER</v>
      </c>
      <c r="C231" s="1" t="str">
        <f ca="1">IFERROR(__xludf.DUMMYFUNCTION("""COMPUTED_VALUE"""),"Imani")</f>
        <v>Imani</v>
      </c>
      <c r="D231" s="1" t="str">
        <f ca="1">IFERROR(__xludf.DUMMYFUNCTION("""COMPUTED_VALUE"""),"1323E1")</f>
        <v>1323E1</v>
      </c>
      <c r="E231" s="2">
        <f ca="1">IFERROR(__xludf.DUMMYFUNCTION("""COMPUTED_VALUE"""),42489)</f>
        <v>42489</v>
      </c>
      <c r="F231" s="1" t="str">
        <f ca="1">IFERROR(__xludf.DUMMYFUNCTION("""COMPUTED_VALUE"""),"CM1A")</f>
        <v>CM1A</v>
      </c>
      <c r="G231" s="1" t="str">
        <f ca="1">IFERROR(__xludf.DUMMYFUNCTION("""COMPUTED_VALUE"""),"CM1")</f>
        <v>CM1</v>
      </c>
      <c r="H231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231" s="1"/>
      <c r="J231" s="1"/>
      <c r="K231" s="1"/>
      <c r="L231" s="1"/>
      <c r="M231" s="1"/>
      <c r="N231" s="1" t="str">
        <f ca="1">IFERROR(__xludf.DUMMYFUNCTION("""COMPUTED_VALUE"""),"Fille")</f>
        <v>Fille</v>
      </c>
      <c r="O231" s="1"/>
      <c r="P231" s="1" t="str">
        <f ca="1">IFERROR(__xludf.DUMMYFUNCTION("""COMPUTED_VALUE"""),"FRANCE")</f>
        <v>FRANCE</v>
      </c>
      <c r="Q231" s="1"/>
      <c r="R231" s="1"/>
      <c r="S231" s="1" t="str">
        <f ca="1">IFERROR(__xludf.DUMMYFUNCTION("""COMPUTED_VALUE"""),"+221")</f>
        <v>+221</v>
      </c>
      <c r="T231" s="1" t="str">
        <f ca="1">IFERROR(__xludf.DUMMYFUNCTION("""COMPUTED_VALUE"""),"FROGER Aminata")</f>
        <v>FROGER Aminata</v>
      </c>
      <c r="U231" s="1" t="str">
        <f ca="1">IFERROR(__xludf.DUMMYFUNCTION("""COMPUTED_VALUE"""),"FROGER Loic")</f>
        <v>FROGER Loic</v>
      </c>
      <c r="V231" s="1" t="str">
        <f ca="1">IFERROR(__xludf.DUMMYFUNCTION("""COMPUTED_VALUE"""),"aminata_froger@yahoo.fr")</f>
        <v>aminata_froger@yahoo.fr</v>
      </c>
      <c r="W231" s="1" t="str">
        <f ca="1">IFERROR(__xludf.DUMMYFUNCTION("""COMPUTED_VALUE"""),"loicfroger@yahoo.fr")</f>
        <v>loicfroger@yahoo.fr</v>
      </c>
      <c r="X231" s="1" t="str">
        <f ca="1">IFERROR(__xludf.DUMMYFUNCTION("""COMPUTED_VALUE"""),"+33 6 51 44 56 84")</f>
        <v>+33 6 51 44 56 84</v>
      </c>
      <c r="Y231" s="1" t="str">
        <f ca="1">IFERROR(__xludf.DUMMYFUNCTION("""COMPUTED_VALUE"""),"78 664 30 85")</f>
        <v>78 664 30 85</v>
      </c>
      <c r="Z231" s="1" t="str">
        <f ca="1">IFERROR(__xludf.DUMMYFUNCTION("""COMPUTED_VALUE"""),"+221 77 377 73 10")</f>
        <v>+221 77 377 73 10</v>
      </c>
      <c r="AA231" s="1"/>
      <c r="AB231" s="2">
        <f ca="1">IFERROR(__xludf.DUMMYFUNCTION("""COMPUTED_VALUE"""),31253)</f>
        <v>31253</v>
      </c>
      <c r="AC231" s="2">
        <f ca="1">IFERROR(__xludf.DUMMYFUNCTION("""COMPUTED_VALUE"""),28630)</f>
        <v>28630</v>
      </c>
      <c r="AD231" s="1" t="str">
        <f ca="1">IFERROR(__xludf.DUMMYFUNCTION("""COMPUTED_VALUE"""),"MERE")</f>
        <v>MERE</v>
      </c>
      <c r="AE231" s="1" t="str">
        <f ca="1">IFERROR(__xludf.DUMMYFUNCTION("""COMPUTED_VALUE"""),"PERE")</f>
        <v>PERE</v>
      </c>
      <c r="AF231" s="1" t="str">
        <f ca="1">IFERROR(__xludf.DUMMYFUNCTION("""COMPUTED_VALUE"""),"FRANCE")</f>
        <v>FRANCE</v>
      </c>
      <c r="AG231" s="1" t="str">
        <f ca="1">IFERROR(__xludf.DUMMYFUNCTION("""COMPUTED_VALUE"""),"FRANCE")</f>
        <v>FRANCE</v>
      </c>
      <c r="AH231" s="1"/>
      <c r="AI231" s="1"/>
      <c r="AJ231" s="1" t="str">
        <f ca="1">IFERROR(__xludf.DUMMYFUNCTION("""COMPUTED_VALUE"""),"F1323")</f>
        <v>F1323</v>
      </c>
      <c r="AK231" s="1" t="str">
        <f ca="1">IFERROR(__xludf.DUMMYFUNCTION("""COMPUTED_VALUE"""),"Marié(e)")</f>
        <v>Marié(e)</v>
      </c>
      <c r="AL231" s="1" t="str">
        <f ca="1">IFERROR(__xludf.DUMMYFUNCTION("""COMPUTED_VALUE"""),"Marié(e)")</f>
        <v>Marié(e)</v>
      </c>
      <c r="AM231" s="1" t="str">
        <f ca="1">IFERROR(__xludf.DUMMYFUNCTION("""COMPUTED_VALUE"""),"F1323")</f>
        <v>F1323</v>
      </c>
    </row>
    <row r="232" spans="1:39" ht="13" x14ac:dyDescent="0.15">
      <c r="A232" s="1" t="str">
        <f ca="1">IFERROR(__xludf.DUMMYFUNCTION("""COMPUTED_VALUE"""),"FROGER Issa Bakary")</f>
        <v>FROGER Issa Bakary</v>
      </c>
      <c r="B232" s="1" t="str">
        <f ca="1">IFERROR(__xludf.DUMMYFUNCTION("""COMPUTED_VALUE"""),"FROGER")</f>
        <v>FROGER</v>
      </c>
      <c r="C232" s="1" t="str">
        <f ca="1">IFERROR(__xludf.DUMMYFUNCTION("""COMPUTED_VALUE"""),"Issa Bakary")</f>
        <v>Issa Bakary</v>
      </c>
      <c r="D232" s="1" t="str">
        <f ca="1">IFERROR(__xludf.DUMMYFUNCTION("""COMPUTED_VALUE"""),"1323E3")</f>
        <v>1323E3</v>
      </c>
      <c r="E232" s="2">
        <f ca="1">IFERROR(__xludf.DUMMYFUNCTION("""COMPUTED_VALUE"""),43118)</f>
        <v>43118</v>
      </c>
      <c r="F232" s="1" t="str">
        <f ca="1">IFERROR(__xludf.DUMMYFUNCTION("""COMPUTED_VALUE"""),"CE1B")</f>
        <v>CE1B</v>
      </c>
      <c r="G232" s="1" t="str">
        <f ca="1">IFERROR(__xludf.DUMMYFUNCTION("""COMPUTED_VALUE"""),"CE1")</f>
        <v>CE1</v>
      </c>
      <c r="H232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232" s="1"/>
      <c r="J232" s="1"/>
      <c r="K232" s="1"/>
      <c r="L232" s="1"/>
      <c r="M232" s="1"/>
      <c r="N232" s="1" t="str">
        <f ca="1">IFERROR(__xludf.DUMMYFUNCTION("""COMPUTED_VALUE"""),"Garçon")</f>
        <v>Garçon</v>
      </c>
      <c r="O232" s="1"/>
      <c r="P232" s="1" t="str">
        <f ca="1">IFERROR(__xludf.DUMMYFUNCTION("""COMPUTED_VALUE"""),"FRANCE")</f>
        <v>FRANCE</v>
      </c>
      <c r="Q232" s="1"/>
      <c r="R232" s="1"/>
      <c r="S232" s="1" t="str">
        <f ca="1">IFERROR(__xludf.DUMMYFUNCTION("""COMPUTED_VALUE"""),"+221")</f>
        <v>+221</v>
      </c>
      <c r="T232" s="1" t="str">
        <f ca="1">IFERROR(__xludf.DUMMYFUNCTION("""COMPUTED_VALUE"""),"FROGER Aminata")</f>
        <v>FROGER Aminata</v>
      </c>
      <c r="U232" s="1" t="str">
        <f ca="1">IFERROR(__xludf.DUMMYFUNCTION("""COMPUTED_VALUE"""),"FROGER Loic")</f>
        <v>FROGER Loic</v>
      </c>
      <c r="V232" s="1" t="str">
        <f ca="1">IFERROR(__xludf.DUMMYFUNCTION("""COMPUTED_VALUE"""),"aminata_froger@yahoo.fr")</f>
        <v>aminata_froger@yahoo.fr</v>
      </c>
      <c r="W232" s="1" t="str">
        <f ca="1">IFERROR(__xludf.DUMMYFUNCTION("""COMPUTED_VALUE"""),"loicfroger@yahoo.fr")</f>
        <v>loicfroger@yahoo.fr</v>
      </c>
      <c r="X232" s="1" t="str">
        <f ca="1">IFERROR(__xludf.DUMMYFUNCTION("""COMPUTED_VALUE"""),"+33 6 51 44 56 84")</f>
        <v>+33 6 51 44 56 84</v>
      </c>
      <c r="Y232" s="1" t="str">
        <f ca="1">IFERROR(__xludf.DUMMYFUNCTION("""COMPUTED_VALUE"""),"78 664 30 85")</f>
        <v>78 664 30 85</v>
      </c>
      <c r="Z232" s="1" t="str">
        <f ca="1">IFERROR(__xludf.DUMMYFUNCTION("""COMPUTED_VALUE"""),"+221 77 377 73 10")</f>
        <v>+221 77 377 73 10</v>
      </c>
      <c r="AA232" s="1"/>
      <c r="AB232" s="2">
        <f ca="1">IFERROR(__xludf.DUMMYFUNCTION("""COMPUTED_VALUE"""),31253)</f>
        <v>31253</v>
      </c>
      <c r="AC232" s="2">
        <f ca="1">IFERROR(__xludf.DUMMYFUNCTION("""COMPUTED_VALUE"""),28630)</f>
        <v>28630</v>
      </c>
      <c r="AD232" s="1" t="str">
        <f ca="1">IFERROR(__xludf.DUMMYFUNCTION("""COMPUTED_VALUE"""),"MERE")</f>
        <v>MERE</v>
      </c>
      <c r="AE232" s="1" t="str">
        <f ca="1">IFERROR(__xludf.DUMMYFUNCTION("""COMPUTED_VALUE"""),"PERE")</f>
        <v>PERE</v>
      </c>
      <c r="AF232" s="1" t="str">
        <f ca="1">IFERROR(__xludf.DUMMYFUNCTION("""COMPUTED_VALUE"""),"FRANCE")</f>
        <v>FRANCE</v>
      </c>
      <c r="AG232" s="1" t="str">
        <f ca="1">IFERROR(__xludf.DUMMYFUNCTION("""COMPUTED_VALUE"""),"FRANCE")</f>
        <v>FRANCE</v>
      </c>
      <c r="AH232" s="1"/>
      <c r="AI232" s="1"/>
      <c r="AJ232" s="1" t="str">
        <f ca="1">IFERROR(__xludf.DUMMYFUNCTION("""COMPUTED_VALUE"""),"F1323")</f>
        <v>F1323</v>
      </c>
      <c r="AK232" s="1" t="str">
        <f ca="1">IFERROR(__xludf.DUMMYFUNCTION("""COMPUTED_VALUE"""),"Marié(e)")</f>
        <v>Marié(e)</v>
      </c>
      <c r="AL232" s="1" t="str">
        <f ca="1">IFERROR(__xludf.DUMMYFUNCTION("""COMPUTED_VALUE"""),"Marié(e)")</f>
        <v>Marié(e)</v>
      </c>
      <c r="AM232" s="1" t="str">
        <f ca="1">IFERROR(__xludf.DUMMYFUNCTION("""COMPUTED_VALUE"""),"F1323")</f>
        <v>F1323</v>
      </c>
    </row>
    <row r="233" spans="1:39" ht="13" x14ac:dyDescent="0.15">
      <c r="A233" s="1" t="str">
        <f ca="1">IFERROR(__xludf.DUMMYFUNCTION("""COMPUTED_VALUE"""),"FROGER Malia M")</f>
        <v>FROGER Malia M</v>
      </c>
      <c r="B233" s="1" t="str">
        <f ca="1">IFERROR(__xludf.DUMMYFUNCTION("""COMPUTED_VALUE"""),"FROGER")</f>
        <v>FROGER</v>
      </c>
      <c r="C233" s="1" t="str">
        <f ca="1">IFERROR(__xludf.DUMMYFUNCTION("""COMPUTED_VALUE"""),"Malia M")</f>
        <v>Malia M</v>
      </c>
      <c r="D233" s="1" t="str">
        <f ca="1">IFERROR(__xludf.DUMMYFUNCTION("""COMPUTED_VALUE"""),"1323E4")</f>
        <v>1323E4</v>
      </c>
      <c r="E233" s="2">
        <f ca="1">IFERROR(__xludf.DUMMYFUNCTION("""COMPUTED_VALUE"""),44709)</f>
        <v>44709</v>
      </c>
      <c r="F233" s="1" t="str">
        <f ca="1">IFERROR(__xludf.DUMMYFUNCTION("""COMPUTED_VALUE"""),"Mat 1")</f>
        <v>Mat 1</v>
      </c>
      <c r="G233" s="1" t="str">
        <f ca="1">IFERROR(__xludf.DUMMYFUNCTION("""COMPUTED_VALUE"""),"PS")</f>
        <v>PS</v>
      </c>
      <c r="H233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233" s="1"/>
      <c r="J233" s="1"/>
      <c r="K233" s="1"/>
      <c r="L233" s="1"/>
      <c r="M233" s="1"/>
      <c r="N233" s="1" t="str">
        <f ca="1">IFERROR(__xludf.DUMMYFUNCTION("""COMPUTED_VALUE"""),"Fille")</f>
        <v>Fille</v>
      </c>
      <c r="O233" s="1"/>
      <c r="P233" s="1" t="str">
        <f ca="1">IFERROR(__xludf.DUMMYFUNCTION("""COMPUTED_VALUE"""),"FRANCE")</f>
        <v>FRANCE</v>
      </c>
      <c r="Q233" s="1"/>
      <c r="R233" s="1"/>
      <c r="S233" s="1" t="str">
        <f ca="1">IFERROR(__xludf.DUMMYFUNCTION("""COMPUTED_VALUE"""),"+221")</f>
        <v>+221</v>
      </c>
      <c r="T233" s="1" t="str">
        <f ca="1">IFERROR(__xludf.DUMMYFUNCTION("""COMPUTED_VALUE"""),"FROGER Aminata")</f>
        <v>FROGER Aminata</v>
      </c>
      <c r="U233" s="1" t="str">
        <f ca="1">IFERROR(__xludf.DUMMYFUNCTION("""COMPUTED_VALUE"""),"FROGER Loic")</f>
        <v>FROGER Loic</v>
      </c>
      <c r="V233" s="1" t="str">
        <f ca="1">IFERROR(__xludf.DUMMYFUNCTION("""COMPUTED_VALUE"""),"aminata_froger@yahoo.fr")</f>
        <v>aminata_froger@yahoo.fr</v>
      </c>
      <c r="W233" s="1" t="str">
        <f ca="1">IFERROR(__xludf.DUMMYFUNCTION("""COMPUTED_VALUE"""),"loicfroger@yahoo.fr")</f>
        <v>loicfroger@yahoo.fr</v>
      </c>
      <c r="X233" s="1" t="str">
        <f ca="1">IFERROR(__xludf.DUMMYFUNCTION("""COMPUTED_VALUE"""),"+33 6 51 44 56 84")</f>
        <v>+33 6 51 44 56 84</v>
      </c>
      <c r="Y233" s="1" t="str">
        <f ca="1">IFERROR(__xludf.DUMMYFUNCTION("""COMPUTED_VALUE"""),"78 664 30 85")</f>
        <v>78 664 30 85</v>
      </c>
      <c r="Z233" s="1" t="str">
        <f ca="1">IFERROR(__xludf.DUMMYFUNCTION("""COMPUTED_VALUE"""),"+221 77 377 73 10")</f>
        <v>+221 77 377 73 10</v>
      </c>
      <c r="AA233" s="1"/>
      <c r="AB233" s="2">
        <f ca="1">IFERROR(__xludf.DUMMYFUNCTION("""COMPUTED_VALUE"""),31253)</f>
        <v>31253</v>
      </c>
      <c r="AC233" s="2">
        <f ca="1">IFERROR(__xludf.DUMMYFUNCTION("""COMPUTED_VALUE"""),28630)</f>
        <v>28630</v>
      </c>
      <c r="AD233" s="1" t="str">
        <f ca="1">IFERROR(__xludf.DUMMYFUNCTION("""COMPUTED_VALUE"""),"MERE")</f>
        <v>MERE</v>
      </c>
      <c r="AE233" s="1" t="str">
        <f ca="1">IFERROR(__xludf.DUMMYFUNCTION("""COMPUTED_VALUE"""),"PERE")</f>
        <v>PERE</v>
      </c>
      <c r="AF233" s="1" t="str">
        <f ca="1">IFERROR(__xludf.DUMMYFUNCTION("""COMPUTED_VALUE"""),"FRANCE")</f>
        <v>FRANCE</v>
      </c>
      <c r="AG233" s="1" t="str">
        <f ca="1">IFERROR(__xludf.DUMMYFUNCTION("""COMPUTED_VALUE"""),"FRANCE")</f>
        <v>FRANCE</v>
      </c>
      <c r="AH233" s="1"/>
      <c r="AI233" s="1"/>
      <c r="AJ233" s="1" t="str">
        <f ca="1">IFERROR(__xludf.DUMMYFUNCTION("""COMPUTED_VALUE"""),"F1323")</f>
        <v>F1323</v>
      </c>
      <c r="AK233" s="1" t="str">
        <f ca="1">IFERROR(__xludf.DUMMYFUNCTION("""COMPUTED_VALUE"""),"Marié(e)")</f>
        <v>Marié(e)</v>
      </c>
      <c r="AL233" s="1" t="str">
        <f ca="1">IFERROR(__xludf.DUMMYFUNCTION("""COMPUTED_VALUE"""),"Marié(e)")</f>
        <v>Marié(e)</v>
      </c>
      <c r="AM233" s="1" t="str">
        <f ca="1">IFERROR(__xludf.DUMMYFUNCTION("""COMPUTED_VALUE"""),"F1323")</f>
        <v>F1323</v>
      </c>
    </row>
    <row r="234" spans="1:39" ht="13" x14ac:dyDescent="0.15">
      <c r="A234" s="1" t="str">
        <f ca="1">IFERROR(__xludf.DUMMYFUNCTION("""COMPUTED_VALUE"""),"FROUART Louna Bana")</f>
        <v>FROUART Louna Bana</v>
      </c>
      <c r="B234" s="1" t="str">
        <f ca="1">IFERROR(__xludf.DUMMYFUNCTION("""COMPUTED_VALUE"""),"FROUART")</f>
        <v>FROUART</v>
      </c>
      <c r="C234" s="1" t="str">
        <f ca="1">IFERROR(__xludf.DUMMYFUNCTION("""COMPUTED_VALUE"""),"Louna Bana")</f>
        <v>Louna Bana</v>
      </c>
      <c r="D234" s="1" t="str">
        <f ca="1">IFERROR(__xludf.DUMMYFUNCTION("""COMPUTED_VALUE"""),"1324E1")</f>
        <v>1324E1</v>
      </c>
      <c r="E234" s="2">
        <f ca="1">IFERROR(__xludf.DUMMYFUNCTION("""COMPUTED_VALUE"""),43822)</f>
        <v>43822</v>
      </c>
      <c r="F234" s="1" t="str">
        <f ca="1">IFERROR(__xludf.DUMMYFUNCTION("""COMPUTED_VALUE"""),"CP")</f>
        <v>CP</v>
      </c>
      <c r="G234" s="1" t="str">
        <f ca="1">IFERROR(__xludf.DUMMYFUNCTION("""COMPUTED_VALUE"""),"CP")</f>
        <v>CP</v>
      </c>
      <c r="H234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234" s="1"/>
      <c r="J234" s="1"/>
      <c r="K234" s="1"/>
      <c r="L234" s="1"/>
      <c r="M234" s="1"/>
      <c r="N234" s="1" t="str">
        <f ca="1">IFERROR(__xludf.DUMMYFUNCTION("""COMPUTED_VALUE"""),"Fille")</f>
        <v>Fille</v>
      </c>
      <c r="O234" s="1"/>
      <c r="P234" s="1" t="str">
        <f ca="1">IFERROR(__xludf.DUMMYFUNCTION("""COMPUTED_VALUE"""),"FRANCE")</f>
        <v>FRANCE</v>
      </c>
      <c r="Q234" s="1" t="str">
        <f ca="1">IFERROR(__xludf.DUMMYFUNCTION("""COMPUTED_VALUE"""),"SENEGAL")</f>
        <v>SENEGAL</v>
      </c>
      <c r="R234" s="1"/>
      <c r="S234" s="1"/>
      <c r="T234" s="1" t="str">
        <f ca="1">IFERROR(__xludf.DUMMYFUNCTION("""COMPUTED_VALUE"""),"FROUART Diénéba")</f>
        <v>FROUART Diénéba</v>
      </c>
      <c r="U234" s="1" t="str">
        <f ca="1">IFERROR(__xludf.DUMMYFUNCTION("""COMPUTED_VALUE"""),"FROUART Guy Alain René")</f>
        <v>FROUART Guy Alain René</v>
      </c>
      <c r="V234" s="1" t="str">
        <f ca="1">IFERROR(__xludf.DUMMYFUNCTION("""COMPUTED_VALUE"""),"dieynaoc@gmail.com")</f>
        <v>dieynaoc@gmail.com</v>
      </c>
      <c r="W234" s="1" t="str">
        <f ca="1">IFERROR(__xludf.DUMMYFUNCTION("""COMPUTED_VALUE"""),"polm33@gmail.com")</f>
        <v>polm33@gmail.com</v>
      </c>
      <c r="X234" s="1" t="str">
        <f ca="1">IFERROR(__xludf.DUMMYFUNCTION("""COMPUTED_VALUE"""),"+221 77 272 98 79")</f>
        <v>+221 77 272 98 79</v>
      </c>
      <c r="Y234" s="1" t="str">
        <f ca="1">IFERROR(__xludf.DUMMYFUNCTION("""COMPUTED_VALUE"""),"+221 77 436 16 93")</f>
        <v>+221 77 436 16 93</v>
      </c>
      <c r="Z234" s="1"/>
      <c r="AA234" s="1" t="str">
        <f ca="1">IFERROR(__xludf.DUMMYFUNCTION("""COMPUTED_VALUE"""),"+221")</f>
        <v>+221</v>
      </c>
      <c r="AB234" s="2">
        <f ca="1">IFERROR(__xludf.DUMMYFUNCTION("""COMPUTED_VALUE"""),29507)</f>
        <v>29507</v>
      </c>
      <c r="AC234" s="2">
        <f ca="1">IFERROR(__xludf.DUMMYFUNCTION("""COMPUTED_VALUE"""),18197)</f>
        <v>18197</v>
      </c>
      <c r="AD234" s="1" t="str">
        <f ca="1">IFERROR(__xludf.DUMMYFUNCTION("""COMPUTED_VALUE"""),"MERE")</f>
        <v>MERE</v>
      </c>
      <c r="AE234" s="1" t="str">
        <f ca="1">IFERROR(__xludf.DUMMYFUNCTION("""COMPUTED_VALUE"""),"PERE")</f>
        <v>PERE</v>
      </c>
      <c r="AF234" s="1" t="str">
        <f ca="1">IFERROR(__xludf.DUMMYFUNCTION("""COMPUTED_VALUE"""),"SENEGAL")</f>
        <v>SENEGAL</v>
      </c>
      <c r="AG234" s="1" t="str">
        <f ca="1">IFERROR(__xludf.DUMMYFUNCTION("""COMPUTED_VALUE"""),"FRANCE")</f>
        <v>FRANCE</v>
      </c>
      <c r="AH234" s="1" t="str">
        <f ca="1">IFERROR(__xludf.DUMMYFUNCTION("""COMPUTED_VALUE"""),"FRANCE")</f>
        <v>FRANCE</v>
      </c>
      <c r="AI234" s="1"/>
      <c r="AJ234" s="1" t="str">
        <f ca="1">IFERROR(__xludf.DUMMYFUNCTION("""COMPUTED_VALUE"""),"F1324")</f>
        <v>F1324</v>
      </c>
      <c r="AK234" s="1" t="str">
        <f ca="1">IFERROR(__xludf.DUMMYFUNCTION("""COMPUTED_VALUE"""),"Marié(e)")</f>
        <v>Marié(e)</v>
      </c>
      <c r="AL234" s="1" t="str">
        <f ca="1">IFERROR(__xludf.DUMMYFUNCTION("""COMPUTED_VALUE"""),"Marié(e)")</f>
        <v>Marié(e)</v>
      </c>
      <c r="AM234" s="1" t="str">
        <f ca="1">IFERROR(__xludf.DUMMYFUNCTION("""COMPUTED_VALUE"""),"F1324")</f>
        <v>F1324</v>
      </c>
    </row>
    <row r="235" spans="1:39" ht="13" x14ac:dyDescent="0.15">
      <c r="A235" s="1" t="str">
        <f ca="1">IFERROR(__xludf.DUMMYFUNCTION("""COMPUTED_VALUE"""),"FROUART Mia Tiara")</f>
        <v>FROUART Mia Tiara</v>
      </c>
      <c r="B235" s="1" t="str">
        <f ca="1">IFERROR(__xludf.DUMMYFUNCTION("""COMPUTED_VALUE"""),"FROUART")</f>
        <v>FROUART</v>
      </c>
      <c r="C235" s="1" t="str">
        <f ca="1">IFERROR(__xludf.DUMMYFUNCTION("""COMPUTED_VALUE"""),"Mia Tiara")</f>
        <v>Mia Tiara</v>
      </c>
      <c r="D235" s="1" t="str">
        <f ca="1">IFERROR(__xludf.DUMMYFUNCTION("""COMPUTED_VALUE"""),"1324E2")</f>
        <v>1324E2</v>
      </c>
      <c r="E235" s="2">
        <f ca="1">IFERROR(__xludf.DUMMYFUNCTION("""COMPUTED_VALUE"""),40880)</f>
        <v>40880</v>
      </c>
      <c r="F235" s="1" t="str">
        <f ca="1">IFERROR(__xludf.DUMMYFUNCTION("""COMPUTED_VALUE"""),"3EME1")</f>
        <v>3EME1</v>
      </c>
      <c r="G235" s="1" t="str">
        <f ca="1">IFERROR(__xludf.DUMMYFUNCTION("""COMPUTED_VALUE"""),"3ème")</f>
        <v>3ème</v>
      </c>
      <c r="H235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235" s="1" t="str">
        <f ca="1">IFERROR(__xludf.DUMMYFUNCTION("""COMPUTED_VALUE"""),"LVA Anglais")</f>
        <v>LVA Anglais</v>
      </c>
      <c r="J235" s="1" t="str">
        <f ca="1">IFERROR(__xludf.DUMMYFUNCTION("""COMPUTED_VALUE"""),"LVB Espagnol")</f>
        <v>LVB Espagnol</v>
      </c>
      <c r="K235" s="1"/>
      <c r="L235" s="1"/>
      <c r="M235" s="1"/>
      <c r="N235" s="1" t="str">
        <f ca="1">IFERROR(__xludf.DUMMYFUNCTION("""COMPUTED_VALUE"""),"Fille")</f>
        <v>Fille</v>
      </c>
      <c r="O235" s="1"/>
      <c r="P235" s="1" t="str">
        <f ca="1">IFERROR(__xludf.DUMMYFUNCTION("""COMPUTED_VALUE"""),"FRANCE")</f>
        <v>FRANCE</v>
      </c>
      <c r="Q235" s="1" t="str">
        <f ca="1">IFERROR(__xludf.DUMMYFUNCTION("""COMPUTED_VALUE"""),"SENEGAL")</f>
        <v>SENEGAL</v>
      </c>
      <c r="R235" s="1" t="str">
        <f ca="1">IFERROR(__xludf.DUMMYFUNCTION("""COMPUTED_VALUE"""),"mia.frouart@lfjpsaly.org")</f>
        <v>mia.frouart@lfjpsaly.org</v>
      </c>
      <c r="S235" s="1" t="str">
        <f ca="1">IFERROR(__xludf.DUMMYFUNCTION("""COMPUTED_VALUE"""),"+221 77 272 98 79")</f>
        <v>+221 77 272 98 79</v>
      </c>
      <c r="T235" s="1" t="str">
        <f ca="1">IFERROR(__xludf.DUMMYFUNCTION("""COMPUTED_VALUE"""),"FROUART Diénéba")</f>
        <v>FROUART Diénéba</v>
      </c>
      <c r="U235" s="1" t="str">
        <f ca="1">IFERROR(__xludf.DUMMYFUNCTION("""COMPUTED_VALUE"""),"FROUART Guy Alain René")</f>
        <v>FROUART Guy Alain René</v>
      </c>
      <c r="V235" s="1" t="str">
        <f ca="1">IFERROR(__xludf.DUMMYFUNCTION("""COMPUTED_VALUE"""),"dieynaoc@gmail.com")</f>
        <v>dieynaoc@gmail.com</v>
      </c>
      <c r="W235" s="1" t="str">
        <f ca="1">IFERROR(__xludf.DUMMYFUNCTION("""COMPUTED_VALUE"""),"polm33@gmail.com")</f>
        <v>polm33@gmail.com</v>
      </c>
      <c r="X235" s="1" t="str">
        <f ca="1">IFERROR(__xludf.DUMMYFUNCTION("""COMPUTED_VALUE"""),"+221 77 272 98 79")</f>
        <v>+221 77 272 98 79</v>
      </c>
      <c r="Y235" s="1" t="str">
        <f ca="1">IFERROR(__xludf.DUMMYFUNCTION("""COMPUTED_VALUE"""),"+221 77 436 16 93")</f>
        <v>+221 77 436 16 93</v>
      </c>
      <c r="Z235" s="1"/>
      <c r="AA235" s="1" t="str">
        <f ca="1">IFERROR(__xludf.DUMMYFUNCTION("""COMPUTED_VALUE"""),"+221")</f>
        <v>+221</v>
      </c>
      <c r="AB235" s="2">
        <f ca="1">IFERROR(__xludf.DUMMYFUNCTION("""COMPUTED_VALUE"""),29507)</f>
        <v>29507</v>
      </c>
      <c r="AC235" s="2">
        <f ca="1">IFERROR(__xludf.DUMMYFUNCTION("""COMPUTED_VALUE"""),18197)</f>
        <v>18197</v>
      </c>
      <c r="AD235" s="1" t="str">
        <f ca="1">IFERROR(__xludf.DUMMYFUNCTION("""COMPUTED_VALUE"""),"MERE")</f>
        <v>MERE</v>
      </c>
      <c r="AE235" s="1" t="str">
        <f ca="1">IFERROR(__xludf.DUMMYFUNCTION("""COMPUTED_VALUE"""),"PERE")</f>
        <v>PERE</v>
      </c>
      <c r="AF235" s="1" t="str">
        <f ca="1">IFERROR(__xludf.DUMMYFUNCTION("""COMPUTED_VALUE"""),"SENEGAL")</f>
        <v>SENEGAL</v>
      </c>
      <c r="AG235" s="1" t="str">
        <f ca="1">IFERROR(__xludf.DUMMYFUNCTION("""COMPUTED_VALUE"""),"FRANCE")</f>
        <v>FRANCE</v>
      </c>
      <c r="AH235" s="1" t="str">
        <f ca="1">IFERROR(__xludf.DUMMYFUNCTION("""COMPUTED_VALUE"""),"FRANCE")</f>
        <v>FRANCE</v>
      </c>
      <c r="AI235" s="1"/>
      <c r="AJ235" s="1" t="str">
        <f ca="1">IFERROR(__xludf.DUMMYFUNCTION("""COMPUTED_VALUE"""),"F1324")</f>
        <v>F1324</v>
      </c>
      <c r="AK235" s="1" t="str">
        <f ca="1">IFERROR(__xludf.DUMMYFUNCTION("""COMPUTED_VALUE"""),"Marié(e)")</f>
        <v>Marié(e)</v>
      </c>
      <c r="AL235" s="1" t="str">
        <f ca="1">IFERROR(__xludf.DUMMYFUNCTION("""COMPUTED_VALUE"""),"Marié(e)")</f>
        <v>Marié(e)</v>
      </c>
      <c r="AM235" s="1" t="str">
        <f ca="1">IFERROR(__xludf.DUMMYFUNCTION("""COMPUTED_VALUE"""),"F1324")</f>
        <v>F1324</v>
      </c>
    </row>
    <row r="236" spans="1:39" ht="13" x14ac:dyDescent="0.15">
      <c r="A236" s="1" t="str">
        <f ca="1">IFERROR(__xludf.DUMMYFUNCTION("""COMPUTED_VALUE"""),"GAFFARI Mattéo")</f>
        <v>GAFFARI Mattéo</v>
      </c>
      <c r="B236" s="1" t="str">
        <f ca="1">IFERROR(__xludf.DUMMYFUNCTION("""COMPUTED_VALUE"""),"GAFFARI")</f>
        <v>GAFFARI</v>
      </c>
      <c r="C236" s="1" t="str">
        <f ca="1">IFERROR(__xludf.DUMMYFUNCTION("""COMPUTED_VALUE"""),"Mattéo")</f>
        <v>Mattéo</v>
      </c>
      <c r="D236" s="1" t="str">
        <f ca="1">IFERROR(__xludf.DUMMYFUNCTION("""COMPUTED_VALUE"""),"1325E1")</f>
        <v>1325E1</v>
      </c>
      <c r="E236" s="2">
        <f ca="1">IFERROR(__xludf.DUMMYFUNCTION("""COMPUTED_VALUE"""),39960)</f>
        <v>39960</v>
      </c>
      <c r="F236" s="1" t="str">
        <f ca="1">IFERROR(__xludf.DUMMYFUNCTION("""COMPUTED_VALUE"""),"1ERE1")</f>
        <v>1ERE1</v>
      </c>
      <c r="G236" s="1" t="str">
        <f ca="1">IFERROR(__xludf.DUMMYFUNCTION("""COMPUTED_VALUE"""),"1ère")</f>
        <v>1ère</v>
      </c>
      <c r="H236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236" s="1" t="str">
        <f ca="1">IFERROR(__xludf.DUMMYFUNCTION("""COMPUTED_VALUE"""),"LVA Anglais")</f>
        <v>LVA Anglais</v>
      </c>
      <c r="J236" s="1" t="str">
        <f ca="1">IFERROR(__xludf.DUMMYFUNCTION("""COMPUTED_VALUE"""),"LVB Espagnol")</f>
        <v>LVB Espagnol</v>
      </c>
      <c r="K236" s="1"/>
      <c r="L236" s="1"/>
      <c r="M236" s="1" t="str">
        <f ca="1">IFERROR(__xludf.DUMMYFUNCTION("""COMPUTED_VALUE"""),"SPE HGGSP, SPE LLCE AMC, SPE MATHS")</f>
        <v>SPE HGGSP, SPE LLCE AMC, SPE MATHS</v>
      </c>
      <c r="N236" s="1" t="str">
        <f ca="1">IFERROR(__xludf.DUMMYFUNCTION("""COMPUTED_VALUE"""),"Garçon")</f>
        <v>Garçon</v>
      </c>
      <c r="O236" s="1"/>
      <c r="P236" s="1" t="str">
        <f ca="1">IFERROR(__xludf.DUMMYFUNCTION("""COMPUTED_VALUE"""),"SENEGAL")</f>
        <v>SENEGAL</v>
      </c>
      <c r="Q236" s="1" t="str">
        <f ca="1">IFERROR(__xludf.DUMMYFUNCTION("""COMPUTED_VALUE"""),"LIBAN")</f>
        <v>LIBAN</v>
      </c>
      <c r="R236" s="1" t="str">
        <f ca="1">IFERROR(__xludf.DUMMYFUNCTION("""COMPUTED_VALUE"""),"matteo.gaffari@lfjpsaly.org")</f>
        <v>matteo.gaffari@lfjpsaly.org</v>
      </c>
      <c r="S236" s="1" t="str">
        <f ca="1">IFERROR(__xludf.DUMMYFUNCTION("""COMPUTED_VALUE"""),"+221 77 704 57 82")</f>
        <v>+221 77 704 57 82</v>
      </c>
      <c r="T236" s="1" t="str">
        <f ca="1">IFERROR(__xludf.DUMMYFUNCTION("""COMPUTED_VALUE"""),"GAFFARI Nadine")</f>
        <v>GAFFARI Nadine</v>
      </c>
      <c r="U236" s="1" t="str">
        <f ca="1">IFERROR(__xludf.DUMMYFUNCTION("""COMPUTED_VALUE"""),"GAFFARI Charbel")</f>
        <v>GAFFARI Charbel</v>
      </c>
      <c r="V236" s="1" t="str">
        <f ca="1">IFERROR(__xludf.DUMMYFUNCTION("""COMPUTED_VALUE"""),"nadineyammineg@gmail.com")</f>
        <v>nadineyammineg@gmail.com</v>
      </c>
      <c r="W236" s="1" t="str">
        <f ca="1">IFERROR(__xludf.DUMMYFUNCTION("""COMPUTED_VALUE"""),"charbel_gaffari@yahoo.fr")</f>
        <v>charbel_gaffari@yahoo.fr</v>
      </c>
      <c r="X236" s="1" t="str">
        <f ca="1">IFERROR(__xludf.DUMMYFUNCTION("""COMPUTED_VALUE"""),"+221 77 704 00 20")</f>
        <v>+221 77 704 00 20</v>
      </c>
      <c r="Y236" s="1" t="str">
        <f ca="1">IFERROR(__xludf.DUMMYFUNCTION("""COMPUTED_VALUE"""),"+221 77 561 97 64")</f>
        <v>+221 77 561 97 64</v>
      </c>
      <c r="Z236" s="1" t="str">
        <f ca="1">IFERROR(__xludf.DUMMYFUNCTION("""COMPUTED_VALUE"""),"+221 77 704 00 20")</f>
        <v>+221 77 704 00 20</v>
      </c>
      <c r="AA236" s="1" t="str">
        <f ca="1">IFERROR(__xludf.DUMMYFUNCTION("""COMPUTED_VALUE"""),"+221")</f>
        <v>+221</v>
      </c>
      <c r="AB236" s="2">
        <f ca="1">IFERROR(__xludf.DUMMYFUNCTION("""COMPUTED_VALUE"""),45171)</f>
        <v>45171</v>
      </c>
      <c r="AC236" s="2">
        <f ca="1">IFERROR(__xludf.DUMMYFUNCTION("""COMPUTED_VALUE"""),29193)</f>
        <v>29193</v>
      </c>
      <c r="AD236" s="1" t="str">
        <f ca="1">IFERROR(__xludf.DUMMYFUNCTION("""COMPUTED_VALUE"""),"MERE")</f>
        <v>MERE</v>
      </c>
      <c r="AE236" s="1" t="str">
        <f ca="1">IFERROR(__xludf.DUMMYFUNCTION("""COMPUTED_VALUE"""),"PERE")</f>
        <v>PERE</v>
      </c>
      <c r="AF236" s="1" t="str">
        <f ca="1">IFERROR(__xludf.DUMMYFUNCTION("""COMPUTED_VALUE"""),"SENEGAL")</f>
        <v>SENEGAL</v>
      </c>
      <c r="AG236" s="1" t="str">
        <f ca="1">IFERROR(__xludf.DUMMYFUNCTION("""COMPUTED_VALUE"""),"SENEGAL")</f>
        <v>SENEGAL</v>
      </c>
      <c r="AH236" s="1" t="str">
        <f ca="1">IFERROR(__xludf.DUMMYFUNCTION("""COMPUTED_VALUE"""),"LIBAN")</f>
        <v>LIBAN</v>
      </c>
      <c r="AI236" s="1" t="str">
        <f ca="1">IFERROR(__xludf.DUMMYFUNCTION("""COMPUTED_VALUE"""),"LIBAN")</f>
        <v>LIBAN</v>
      </c>
      <c r="AJ236" s="1" t="str">
        <f ca="1">IFERROR(__xludf.DUMMYFUNCTION("""COMPUTED_VALUE"""),"F1325")</f>
        <v>F1325</v>
      </c>
      <c r="AK236" s="1" t="str">
        <f ca="1">IFERROR(__xludf.DUMMYFUNCTION("""COMPUTED_VALUE"""),"Marié(e)")</f>
        <v>Marié(e)</v>
      </c>
      <c r="AL236" s="1" t="str">
        <f ca="1">IFERROR(__xludf.DUMMYFUNCTION("""COMPUTED_VALUE"""),"Marié(e)")</f>
        <v>Marié(e)</v>
      </c>
      <c r="AM236" s="1" t="str">
        <f ca="1">IFERROR(__xludf.DUMMYFUNCTION("""COMPUTED_VALUE"""),"F1325")</f>
        <v>F1325</v>
      </c>
    </row>
    <row r="237" spans="1:39" ht="13" x14ac:dyDescent="0.15">
      <c r="A237" s="1" t="str">
        <f ca="1">IFERROR(__xludf.DUMMYFUNCTION("""COMPUTED_VALUE"""),"GAFFARI Sofia")</f>
        <v>GAFFARI Sofia</v>
      </c>
      <c r="B237" s="1" t="str">
        <f ca="1">IFERROR(__xludf.DUMMYFUNCTION("""COMPUTED_VALUE"""),"GAFFARI")</f>
        <v>GAFFARI</v>
      </c>
      <c r="C237" s="1" t="str">
        <f ca="1">IFERROR(__xludf.DUMMYFUNCTION("""COMPUTED_VALUE"""),"Sofia")</f>
        <v>Sofia</v>
      </c>
      <c r="D237" s="1" t="str">
        <f ca="1">IFERROR(__xludf.DUMMYFUNCTION("""COMPUTED_VALUE"""),"1325E2")</f>
        <v>1325E2</v>
      </c>
      <c r="E237" s="2">
        <f ca="1">IFERROR(__xludf.DUMMYFUNCTION("""COMPUTED_VALUE"""),40876)</f>
        <v>40876</v>
      </c>
      <c r="F237" s="1" t="str">
        <f ca="1">IFERROR(__xludf.DUMMYFUNCTION("""COMPUTED_VALUE"""),"3EME2")</f>
        <v>3EME2</v>
      </c>
      <c r="G237" s="1" t="str">
        <f ca="1">IFERROR(__xludf.DUMMYFUNCTION("""COMPUTED_VALUE"""),"3ème")</f>
        <v>3ème</v>
      </c>
      <c r="H237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237" s="1" t="str">
        <f ca="1">IFERROR(__xludf.DUMMYFUNCTION("""COMPUTED_VALUE"""),"LVA Anglais")</f>
        <v>LVA Anglais</v>
      </c>
      <c r="J237" s="1" t="str">
        <f ca="1">IFERROR(__xludf.DUMMYFUNCTION("""COMPUTED_VALUE"""),"LVB Espagnol")</f>
        <v>LVB Espagnol</v>
      </c>
      <c r="K237" s="1"/>
      <c r="L237" s="1"/>
      <c r="M237" s="1"/>
      <c r="N237" s="1" t="str">
        <f ca="1">IFERROR(__xludf.DUMMYFUNCTION("""COMPUTED_VALUE"""),"Fille")</f>
        <v>Fille</v>
      </c>
      <c r="O237" s="1"/>
      <c r="P237" s="1" t="str">
        <f ca="1">IFERROR(__xludf.DUMMYFUNCTION("""COMPUTED_VALUE"""),"SENEGAL")</f>
        <v>SENEGAL</v>
      </c>
      <c r="Q237" s="1" t="str">
        <f ca="1">IFERROR(__xludf.DUMMYFUNCTION("""COMPUTED_VALUE"""),"LIBAN")</f>
        <v>LIBAN</v>
      </c>
      <c r="R237" s="1" t="str">
        <f ca="1">IFERROR(__xludf.DUMMYFUNCTION("""COMPUTED_VALUE"""),"sofia.gaffari@lfjpsaly.org")</f>
        <v>sofia.gaffari@lfjpsaly.org</v>
      </c>
      <c r="S237" s="1" t="str">
        <f ca="1">IFERROR(__xludf.DUMMYFUNCTION("""COMPUTED_VALUE"""),"+221 77 863 02 98")</f>
        <v>+221 77 863 02 98</v>
      </c>
      <c r="T237" s="1" t="str">
        <f ca="1">IFERROR(__xludf.DUMMYFUNCTION("""COMPUTED_VALUE"""),"GAFFARI Nadine")</f>
        <v>GAFFARI Nadine</v>
      </c>
      <c r="U237" s="1" t="str">
        <f ca="1">IFERROR(__xludf.DUMMYFUNCTION("""COMPUTED_VALUE"""),"GAFFARI Charbel")</f>
        <v>GAFFARI Charbel</v>
      </c>
      <c r="V237" s="1" t="str">
        <f ca="1">IFERROR(__xludf.DUMMYFUNCTION("""COMPUTED_VALUE"""),"nadineyammineg@gmail.com")</f>
        <v>nadineyammineg@gmail.com</v>
      </c>
      <c r="W237" s="1" t="str">
        <f ca="1">IFERROR(__xludf.DUMMYFUNCTION("""COMPUTED_VALUE"""),"charbel_gaffari@yahoo.fr")</f>
        <v>charbel_gaffari@yahoo.fr</v>
      </c>
      <c r="X237" s="1" t="str">
        <f ca="1">IFERROR(__xludf.DUMMYFUNCTION("""COMPUTED_VALUE"""),"+221 77 704 00 20")</f>
        <v>+221 77 704 00 20</v>
      </c>
      <c r="Y237" s="1" t="str">
        <f ca="1">IFERROR(__xludf.DUMMYFUNCTION("""COMPUTED_VALUE"""),"+221 77 561 97 64")</f>
        <v>+221 77 561 97 64</v>
      </c>
      <c r="Z237" s="1" t="str">
        <f ca="1">IFERROR(__xludf.DUMMYFUNCTION("""COMPUTED_VALUE"""),"+221 77 704 00 20")</f>
        <v>+221 77 704 00 20</v>
      </c>
      <c r="AA237" s="1" t="str">
        <f ca="1">IFERROR(__xludf.DUMMYFUNCTION("""COMPUTED_VALUE"""),"+221")</f>
        <v>+221</v>
      </c>
      <c r="AB237" s="2">
        <f ca="1">IFERROR(__xludf.DUMMYFUNCTION("""COMPUTED_VALUE"""),45171)</f>
        <v>45171</v>
      </c>
      <c r="AC237" s="2">
        <f ca="1">IFERROR(__xludf.DUMMYFUNCTION("""COMPUTED_VALUE"""),29193)</f>
        <v>29193</v>
      </c>
      <c r="AD237" s="1" t="str">
        <f ca="1">IFERROR(__xludf.DUMMYFUNCTION("""COMPUTED_VALUE"""),"MERE")</f>
        <v>MERE</v>
      </c>
      <c r="AE237" s="1" t="str">
        <f ca="1">IFERROR(__xludf.DUMMYFUNCTION("""COMPUTED_VALUE"""),"PERE")</f>
        <v>PERE</v>
      </c>
      <c r="AF237" s="1" t="str">
        <f ca="1">IFERROR(__xludf.DUMMYFUNCTION("""COMPUTED_VALUE"""),"SENEGAL")</f>
        <v>SENEGAL</v>
      </c>
      <c r="AG237" s="1" t="str">
        <f ca="1">IFERROR(__xludf.DUMMYFUNCTION("""COMPUTED_VALUE"""),"SENEGAL")</f>
        <v>SENEGAL</v>
      </c>
      <c r="AH237" s="1" t="str">
        <f ca="1">IFERROR(__xludf.DUMMYFUNCTION("""COMPUTED_VALUE"""),"LIBAN")</f>
        <v>LIBAN</v>
      </c>
      <c r="AI237" s="1" t="str">
        <f ca="1">IFERROR(__xludf.DUMMYFUNCTION("""COMPUTED_VALUE"""),"LIBAN")</f>
        <v>LIBAN</v>
      </c>
      <c r="AJ237" s="1" t="str">
        <f ca="1">IFERROR(__xludf.DUMMYFUNCTION("""COMPUTED_VALUE"""),"F1325")</f>
        <v>F1325</v>
      </c>
      <c r="AK237" s="1" t="str">
        <f ca="1">IFERROR(__xludf.DUMMYFUNCTION("""COMPUTED_VALUE"""),"Marié(e)")</f>
        <v>Marié(e)</v>
      </c>
      <c r="AL237" s="1" t="str">
        <f ca="1">IFERROR(__xludf.DUMMYFUNCTION("""COMPUTED_VALUE"""),"Marié(e)")</f>
        <v>Marié(e)</v>
      </c>
      <c r="AM237" s="1" t="str">
        <f ca="1">IFERROR(__xludf.DUMMYFUNCTION("""COMPUTED_VALUE"""),"F1325")</f>
        <v>F1325</v>
      </c>
    </row>
    <row r="238" spans="1:39" ht="13" x14ac:dyDescent="0.15">
      <c r="A238" s="1" t="str">
        <f ca="1">IFERROR(__xludf.DUMMYFUNCTION("""COMPUTED_VALUE"""),"GALAND Aurelien")</f>
        <v>GALAND Aurelien</v>
      </c>
      <c r="B238" s="1" t="str">
        <f ca="1">IFERROR(__xludf.DUMMYFUNCTION("""COMPUTED_VALUE"""),"GALAND")</f>
        <v>GALAND</v>
      </c>
      <c r="C238" s="1" t="str">
        <f ca="1">IFERROR(__xludf.DUMMYFUNCTION("""COMPUTED_VALUE"""),"Aurelien")</f>
        <v>Aurelien</v>
      </c>
      <c r="D238" s="1" t="str">
        <f ca="1">IFERROR(__xludf.DUMMYFUNCTION("""COMPUTED_VALUE"""),"1326E1")</f>
        <v>1326E1</v>
      </c>
      <c r="E238" s="2">
        <f ca="1">IFERROR(__xludf.DUMMYFUNCTION("""COMPUTED_VALUE"""),39753)</f>
        <v>39753</v>
      </c>
      <c r="F238" s="1" t="str">
        <f ca="1">IFERROR(__xludf.DUMMYFUNCTION("""COMPUTED_VALUE"""),"TERMINALE1")</f>
        <v>TERMINALE1</v>
      </c>
      <c r="G238" s="1" t="str">
        <f ca="1">IFERROR(__xludf.DUMMYFUNCTION("""COMPUTED_VALUE"""),"Terminale")</f>
        <v>Terminale</v>
      </c>
      <c r="H238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238" s="1" t="str">
        <f ca="1">IFERROR(__xludf.DUMMYFUNCTION("""COMPUTED_VALUE"""),"LVA Anglais")</f>
        <v>LVA Anglais</v>
      </c>
      <c r="J238" s="1" t="str">
        <f ca="1">IFERROR(__xludf.DUMMYFUNCTION("""COMPUTED_VALUE"""),"LVB Espagnol")</f>
        <v>LVB Espagnol</v>
      </c>
      <c r="K238" s="1" t="str">
        <f ca="1">IFERROR(__xludf.DUMMYFUNCTION("""COMPUTED_VALUE"""),"MATHS EXPERTES")</f>
        <v>MATHS EXPERTES</v>
      </c>
      <c r="L238" s="1"/>
      <c r="M238" s="1" t="str">
        <f ca="1">IFERROR(__xludf.DUMMYFUNCTION("""COMPUTED_VALUE"""),"SPE MATHS, SPE SPC")</f>
        <v>SPE MATHS, SPE SPC</v>
      </c>
      <c r="N238" s="1" t="str">
        <f ca="1">IFERROR(__xludf.DUMMYFUNCTION("""COMPUTED_VALUE"""),"Garçon")</f>
        <v>Garçon</v>
      </c>
      <c r="O238" s="1"/>
      <c r="P238" s="1" t="str">
        <f ca="1">IFERROR(__xludf.DUMMYFUNCTION("""COMPUTED_VALUE"""),"BELGIQUE")</f>
        <v>BELGIQUE</v>
      </c>
      <c r="Q238" s="1"/>
      <c r="R238" s="1" t="str">
        <f ca="1">IFERROR(__xludf.DUMMYFUNCTION("""COMPUTED_VALUE"""),"aurelien.galand@lfjpsaly.org")</f>
        <v>aurelien.galand@lfjpsaly.org</v>
      </c>
      <c r="S238" s="1"/>
      <c r="T238" s="1" t="str">
        <f ca="1">IFERROR(__xludf.DUMMYFUNCTION("""COMPUTED_VALUE"""),"PIEDBOEUF-BOEN Emilie")</f>
        <v>PIEDBOEUF-BOEN Emilie</v>
      </c>
      <c r="U238" s="1" t="str">
        <f ca="1">IFERROR(__xludf.DUMMYFUNCTION("""COMPUTED_VALUE"""),"GALAND Antoine")</f>
        <v>GALAND Antoine</v>
      </c>
      <c r="V238" s="1" t="str">
        <f ca="1">IFERROR(__xludf.DUMMYFUNCTION("""COMPUTED_VALUE"""),"emiliepiedboeuf@hotmail.com")</f>
        <v>emiliepiedboeuf@hotmail.com</v>
      </c>
      <c r="W238" s="1" t="str">
        <f ca="1">IFERROR(__xludf.DUMMYFUNCTION("""COMPUTED_VALUE"""),"a.galand@defour-galand.be")</f>
        <v>a.galand@defour-galand.be</v>
      </c>
      <c r="X238" s="1" t="str">
        <f ca="1">IFERROR(__xludf.DUMMYFUNCTION("""COMPUTED_VALUE"""),"+221 77 804 41 80")</f>
        <v>+221 77 804 41 80</v>
      </c>
      <c r="Y238" s="1" t="str">
        <f ca="1">IFERROR(__xludf.DUMMYFUNCTION("""COMPUTED_VALUE"""),"484590000")</f>
        <v>484590000</v>
      </c>
      <c r="Z238" s="1"/>
      <c r="AA238" s="1"/>
      <c r="AB238" s="2">
        <f ca="1">IFERROR(__xludf.DUMMYFUNCTION("""COMPUTED_VALUE"""),29059)</f>
        <v>29059</v>
      </c>
      <c r="AC238" s="2">
        <f ca="1">IFERROR(__xludf.DUMMYFUNCTION("""COMPUTED_VALUE"""),29188)</f>
        <v>29188</v>
      </c>
      <c r="AD238" s="1" t="str">
        <f ca="1">IFERROR(__xludf.DUMMYFUNCTION("""COMPUTED_VALUE"""),"MERE")</f>
        <v>MERE</v>
      </c>
      <c r="AE238" s="1" t="str">
        <f ca="1">IFERROR(__xludf.DUMMYFUNCTION("""COMPUTED_VALUE"""),"PERE")</f>
        <v>PERE</v>
      </c>
      <c r="AF238" s="1" t="str">
        <f ca="1">IFERROR(__xludf.DUMMYFUNCTION("""COMPUTED_VALUE"""),"BELGIQUE")</f>
        <v>BELGIQUE</v>
      </c>
      <c r="AG238" s="1" t="str">
        <f ca="1">IFERROR(__xludf.DUMMYFUNCTION("""COMPUTED_VALUE"""),"BELGIQUE")</f>
        <v>BELGIQUE</v>
      </c>
      <c r="AH238" s="1"/>
      <c r="AI238" s="1"/>
      <c r="AJ238" s="1" t="str">
        <f ca="1">IFERROR(__xludf.DUMMYFUNCTION("""COMPUTED_VALUE"""),"F1326")</f>
        <v>F1326</v>
      </c>
      <c r="AK238" s="1" t="str">
        <f ca="1">IFERROR(__xludf.DUMMYFUNCTION("""COMPUTED_VALUE"""),"CONCUBINAGE")</f>
        <v>CONCUBINAGE</v>
      </c>
      <c r="AL238" s="1" t="str">
        <f ca="1">IFERROR(__xludf.DUMMYFUNCTION("""COMPUTED_VALUE"""),"CONCUBINAGE")</f>
        <v>CONCUBINAGE</v>
      </c>
      <c r="AM238" s="1" t="str">
        <f ca="1">IFERROR(__xludf.DUMMYFUNCTION("""COMPUTED_VALUE"""),"F1326")</f>
        <v>F1326</v>
      </c>
    </row>
    <row r="239" spans="1:39" ht="13" x14ac:dyDescent="0.15">
      <c r="A239" s="1" t="str">
        <f ca="1">IFERROR(__xludf.DUMMYFUNCTION("""COMPUTED_VALUE"""),"GALAND Margaux Suzette T")</f>
        <v>GALAND Margaux Suzette T</v>
      </c>
      <c r="B239" s="1" t="str">
        <f ca="1">IFERROR(__xludf.DUMMYFUNCTION("""COMPUTED_VALUE"""),"GALAND")</f>
        <v>GALAND</v>
      </c>
      <c r="C239" s="1" t="str">
        <f ca="1">IFERROR(__xludf.DUMMYFUNCTION("""COMPUTED_VALUE"""),"Margaux Suzette T")</f>
        <v>Margaux Suzette T</v>
      </c>
      <c r="D239" s="1" t="str">
        <f ca="1">IFERROR(__xludf.DUMMYFUNCTION("""COMPUTED_VALUE"""),"1326E2")</f>
        <v>1326E2</v>
      </c>
      <c r="E239" s="2">
        <f ca="1">IFERROR(__xludf.DUMMYFUNCTION("""COMPUTED_VALUE"""),40835)</f>
        <v>40835</v>
      </c>
      <c r="F239" s="1" t="str">
        <f ca="1">IFERROR(__xludf.DUMMYFUNCTION("""COMPUTED_VALUE"""),"3EME1")</f>
        <v>3EME1</v>
      </c>
      <c r="G239" s="1" t="str">
        <f ca="1">IFERROR(__xludf.DUMMYFUNCTION("""COMPUTED_VALUE"""),"3ème")</f>
        <v>3ème</v>
      </c>
      <c r="H239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239" s="1" t="str">
        <f ca="1">IFERROR(__xludf.DUMMYFUNCTION("""COMPUTED_VALUE"""),"LVA Anglais")</f>
        <v>LVA Anglais</v>
      </c>
      <c r="J239" s="1" t="str">
        <f ca="1">IFERROR(__xludf.DUMMYFUNCTION("""COMPUTED_VALUE"""),"LVB Espagnol")</f>
        <v>LVB Espagnol</v>
      </c>
      <c r="K239" s="1"/>
      <c r="L239" s="1"/>
      <c r="M239" s="1"/>
      <c r="N239" s="1" t="str">
        <f ca="1">IFERROR(__xludf.DUMMYFUNCTION("""COMPUTED_VALUE"""),"Fille")</f>
        <v>Fille</v>
      </c>
      <c r="O239" s="1"/>
      <c r="P239" s="1" t="str">
        <f ca="1">IFERROR(__xludf.DUMMYFUNCTION("""COMPUTED_VALUE"""),"BELGIQUE")</f>
        <v>BELGIQUE</v>
      </c>
      <c r="Q239" s="1"/>
      <c r="R239" s="1" t="str">
        <f ca="1">IFERROR(__xludf.DUMMYFUNCTION("""COMPUTED_VALUE"""),"margaux.galand@lfjpsaly.org")</f>
        <v>margaux.galand@lfjpsaly.org</v>
      </c>
      <c r="S239" s="1"/>
      <c r="T239" s="1" t="str">
        <f ca="1">IFERROR(__xludf.DUMMYFUNCTION("""COMPUTED_VALUE"""),"PIEDBOEUF-BOEN Emilie")</f>
        <v>PIEDBOEUF-BOEN Emilie</v>
      </c>
      <c r="U239" s="1" t="str">
        <f ca="1">IFERROR(__xludf.DUMMYFUNCTION("""COMPUTED_VALUE"""),"GALAND Antoine")</f>
        <v>GALAND Antoine</v>
      </c>
      <c r="V239" s="1" t="str">
        <f ca="1">IFERROR(__xludf.DUMMYFUNCTION("""COMPUTED_VALUE"""),"emiliepiedboeuf@hotmail.com")</f>
        <v>emiliepiedboeuf@hotmail.com</v>
      </c>
      <c r="W239" s="1" t="str">
        <f ca="1">IFERROR(__xludf.DUMMYFUNCTION("""COMPUTED_VALUE"""),"a.galand@defour-galand.be")</f>
        <v>a.galand@defour-galand.be</v>
      </c>
      <c r="X239" s="1" t="str">
        <f ca="1">IFERROR(__xludf.DUMMYFUNCTION("""COMPUTED_VALUE"""),"+221 77 804 41 80")</f>
        <v>+221 77 804 41 80</v>
      </c>
      <c r="Y239" s="1" t="str">
        <f ca="1">IFERROR(__xludf.DUMMYFUNCTION("""COMPUTED_VALUE"""),"484590000")</f>
        <v>484590000</v>
      </c>
      <c r="Z239" s="1"/>
      <c r="AA239" s="1"/>
      <c r="AB239" s="2">
        <f ca="1">IFERROR(__xludf.DUMMYFUNCTION("""COMPUTED_VALUE"""),29059)</f>
        <v>29059</v>
      </c>
      <c r="AC239" s="2">
        <f ca="1">IFERROR(__xludf.DUMMYFUNCTION("""COMPUTED_VALUE"""),29188)</f>
        <v>29188</v>
      </c>
      <c r="AD239" s="1" t="str">
        <f ca="1">IFERROR(__xludf.DUMMYFUNCTION("""COMPUTED_VALUE"""),"MERE")</f>
        <v>MERE</v>
      </c>
      <c r="AE239" s="1" t="str">
        <f ca="1">IFERROR(__xludf.DUMMYFUNCTION("""COMPUTED_VALUE"""),"PERE")</f>
        <v>PERE</v>
      </c>
      <c r="AF239" s="1" t="str">
        <f ca="1">IFERROR(__xludf.DUMMYFUNCTION("""COMPUTED_VALUE"""),"BELGIQUE")</f>
        <v>BELGIQUE</v>
      </c>
      <c r="AG239" s="1" t="str">
        <f ca="1">IFERROR(__xludf.DUMMYFUNCTION("""COMPUTED_VALUE"""),"BELGIQUE")</f>
        <v>BELGIQUE</v>
      </c>
      <c r="AH239" s="1"/>
      <c r="AI239" s="1"/>
      <c r="AJ239" s="1" t="str">
        <f ca="1">IFERROR(__xludf.DUMMYFUNCTION("""COMPUTED_VALUE"""),"F1326")</f>
        <v>F1326</v>
      </c>
      <c r="AK239" s="1" t="str">
        <f ca="1">IFERROR(__xludf.DUMMYFUNCTION("""COMPUTED_VALUE"""),"CONCUBINAGE")</f>
        <v>CONCUBINAGE</v>
      </c>
      <c r="AL239" s="1" t="str">
        <f ca="1">IFERROR(__xludf.DUMMYFUNCTION("""COMPUTED_VALUE"""),"CONCUBINAGE")</f>
        <v>CONCUBINAGE</v>
      </c>
      <c r="AM239" s="1" t="str">
        <f ca="1">IFERROR(__xludf.DUMMYFUNCTION("""COMPUTED_VALUE"""),"F1326")</f>
        <v>F1326</v>
      </c>
    </row>
    <row r="240" spans="1:39" ht="13" x14ac:dyDescent="0.15">
      <c r="A240" s="1" t="str">
        <f ca="1">IFERROR(__xludf.DUMMYFUNCTION("""COMPUTED_VALUE"""),"GARCIA LECLERC Souleymane")</f>
        <v>GARCIA LECLERC Souleymane</v>
      </c>
      <c r="B240" s="1" t="str">
        <f ca="1">IFERROR(__xludf.DUMMYFUNCTION("""COMPUTED_VALUE"""),"GARCIA LECLERC")</f>
        <v>GARCIA LECLERC</v>
      </c>
      <c r="C240" s="1" t="str">
        <f ca="1">IFERROR(__xludf.DUMMYFUNCTION("""COMPUTED_VALUE"""),"Souleymane")</f>
        <v>Souleymane</v>
      </c>
      <c r="D240" s="1" t="str">
        <f ca="1">IFERROR(__xludf.DUMMYFUNCTION("""COMPUTED_VALUE"""),"1327E2")</f>
        <v>1327E2</v>
      </c>
      <c r="E240" s="2">
        <f ca="1">IFERROR(__xludf.DUMMYFUNCTION("""COMPUTED_VALUE"""),41376)</f>
        <v>41376</v>
      </c>
      <c r="F240" s="1" t="str">
        <f ca="1">IFERROR(__xludf.DUMMYFUNCTION("""COMPUTED_VALUE"""),"5EME2")</f>
        <v>5EME2</v>
      </c>
      <c r="G240" s="1" t="str">
        <f ca="1">IFERROR(__xludf.DUMMYFUNCTION("""COMPUTED_VALUE"""),"5ème")</f>
        <v>5ème</v>
      </c>
      <c r="H240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240" s="1" t="str">
        <f ca="1">IFERROR(__xludf.DUMMYFUNCTION("""COMPUTED_VALUE"""),"LVA Anglais")</f>
        <v>LVA Anglais</v>
      </c>
      <c r="J240" s="1" t="str">
        <f ca="1">IFERROR(__xludf.DUMMYFUNCTION("""COMPUTED_VALUE"""),"LVB Espagnol")</f>
        <v>LVB Espagnol</v>
      </c>
      <c r="K240" s="1"/>
      <c r="L240" s="1"/>
      <c r="M240" s="1"/>
      <c r="N240" s="1" t="str">
        <f ca="1">IFERROR(__xludf.DUMMYFUNCTION("""COMPUTED_VALUE"""),"Garçon")</f>
        <v>Garçon</v>
      </c>
      <c r="O240" s="1"/>
      <c r="P240" s="1" t="str">
        <f ca="1">IFERROR(__xludf.DUMMYFUNCTION("""COMPUTED_VALUE"""),"FRANCE")</f>
        <v>FRANCE</v>
      </c>
      <c r="Q240" s="1" t="str">
        <f ca="1">IFERROR(__xludf.DUMMYFUNCTION("""COMPUTED_VALUE"""),"ESPAGNE")</f>
        <v>ESPAGNE</v>
      </c>
      <c r="R240" s="1" t="str">
        <f ca="1">IFERROR(__xludf.DUMMYFUNCTION("""COMPUTED_VALUE"""),"souleymane.garcialeclerc@lfjpsaly.org")</f>
        <v>souleymane.garcialeclerc@lfjpsaly.org</v>
      </c>
      <c r="S240" s="1"/>
      <c r="T240" s="1" t="str">
        <f ca="1">IFERROR(__xludf.DUMMYFUNCTION("""COMPUTED_VALUE"""),"LECLERC Rama")</f>
        <v>LECLERC Rama</v>
      </c>
      <c r="U240" s="1" t="str">
        <f ca="1">IFERROR(__xludf.DUMMYFUNCTION("""COMPUTED_VALUE"""),"GARCIA ECHAVE David")</f>
        <v>GARCIA ECHAVE David</v>
      </c>
      <c r="V240" s="1" t="str">
        <f ca="1">IFERROR(__xludf.DUMMYFUNCTION("""COMPUTED_VALUE"""),"ramadia@hotmail.com")</f>
        <v>ramadia@hotmail.com</v>
      </c>
      <c r="W240" s="1" t="str">
        <f ca="1">IFERROR(__xludf.DUMMYFUNCTION("""COMPUTED_VALUE"""),"daviddeechave@hotmail.com")</f>
        <v>daviddeechave@hotmail.com</v>
      </c>
      <c r="X240" s="1" t="str">
        <f ca="1">IFERROR(__xludf.DUMMYFUNCTION("""COMPUTED_VALUE"""),"+221 77 247 39 07")</f>
        <v>+221 77 247 39 07</v>
      </c>
      <c r="Y240" s="1" t="str">
        <f ca="1">IFERROR(__xludf.DUMMYFUNCTION("""COMPUTED_VALUE"""),"338218386")</f>
        <v>338218386</v>
      </c>
      <c r="Z240" s="1" t="str">
        <f ca="1">IFERROR(__xludf.DUMMYFUNCTION("""COMPUTED_VALUE"""),"+221 33 821 83 86")</f>
        <v>+221 33 821 83 86</v>
      </c>
      <c r="AA240" s="1"/>
      <c r="AB240" s="2">
        <f ca="1">IFERROR(__xludf.DUMMYFUNCTION("""COMPUTED_VALUE"""),25755)</f>
        <v>25755</v>
      </c>
      <c r="AC240" s="2">
        <f ca="1">IFERROR(__xludf.DUMMYFUNCTION("""COMPUTED_VALUE"""),26367)</f>
        <v>26367</v>
      </c>
      <c r="AD240" s="1" t="str">
        <f ca="1">IFERROR(__xludf.DUMMYFUNCTION("""COMPUTED_VALUE"""),"MERE")</f>
        <v>MERE</v>
      </c>
      <c r="AE240" s="1" t="str">
        <f ca="1">IFERROR(__xludf.DUMMYFUNCTION("""COMPUTED_VALUE"""),"PERE")</f>
        <v>PERE</v>
      </c>
      <c r="AF240" s="1" t="str">
        <f ca="1">IFERROR(__xludf.DUMMYFUNCTION("""COMPUTED_VALUE"""),"FRANCE")</f>
        <v>FRANCE</v>
      </c>
      <c r="AG240" s="1" t="str">
        <f ca="1">IFERROR(__xludf.DUMMYFUNCTION("""COMPUTED_VALUE"""),"ESPAGNE")</f>
        <v>ESPAGNE</v>
      </c>
      <c r="AH240" s="1"/>
      <c r="AI240" s="1"/>
      <c r="AJ240" s="1" t="str">
        <f ca="1">IFERROR(__xludf.DUMMYFUNCTION("""COMPUTED_VALUE"""),"F1327")</f>
        <v>F1327</v>
      </c>
      <c r="AK240" s="1" t="str">
        <f ca="1">IFERROR(__xludf.DUMMYFUNCTION("""COMPUTED_VALUE"""),"Marié(e)")</f>
        <v>Marié(e)</v>
      </c>
      <c r="AL240" s="1" t="str">
        <f ca="1">IFERROR(__xludf.DUMMYFUNCTION("""COMPUTED_VALUE"""),"Marié(e)")</f>
        <v>Marié(e)</v>
      </c>
      <c r="AM240" s="1" t="str">
        <f ca="1">IFERROR(__xludf.DUMMYFUNCTION("""COMPUTED_VALUE"""),"F1327")</f>
        <v>F1327</v>
      </c>
    </row>
    <row r="241" spans="1:39" ht="13" x14ac:dyDescent="0.15">
      <c r="A241" s="1" t="str">
        <f ca="1">IFERROR(__xludf.DUMMYFUNCTION("""COMPUTED_VALUE"""),"GAUTIER Dina  Ludi")</f>
        <v>GAUTIER Dina  Ludi</v>
      </c>
      <c r="B241" s="1" t="str">
        <f ca="1">IFERROR(__xludf.DUMMYFUNCTION("""COMPUTED_VALUE"""),"GAUTIER")</f>
        <v>GAUTIER</v>
      </c>
      <c r="C241" s="1" t="str">
        <f ca="1">IFERROR(__xludf.DUMMYFUNCTION("""COMPUTED_VALUE"""),"Dina  Ludi")</f>
        <v>Dina  Ludi</v>
      </c>
      <c r="D241" s="1" t="str">
        <f ca="1">IFERROR(__xludf.DUMMYFUNCTION("""COMPUTED_VALUE"""),"1329E1")</f>
        <v>1329E1</v>
      </c>
      <c r="E241" s="2">
        <f ca="1">IFERROR(__xludf.DUMMYFUNCTION("""COMPUTED_VALUE"""),41692)</f>
        <v>41692</v>
      </c>
      <c r="F241" s="1" t="str">
        <f ca="1">IFERROR(__xludf.DUMMYFUNCTION("""COMPUTED_VALUE"""),"6EME2")</f>
        <v>6EME2</v>
      </c>
      <c r="G241" s="1" t="str">
        <f ca="1">IFERROR(__xludf.DUMMYFUNCTION("""COMPUTED_VALUE"""),"6ème")</f>
        <v>6ème</v>
      </c>
      <c r="H241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241" s="1" t="str">
        <f ca="1">IFERROR(__xludf.DUMMYFUNCTION("""COMPUTED_VALUE"""),"LVA Anglais")</f>
        <v>LVA Anglais</v>
      </c>
      <c r="J241" s="1" t="str">
        <f ca="1">IFERROR(__xludf.DUMMYFUNCTION("""COMPUTED_VALUE"""),"LVB Espagnol")</f>
        <v>LVB Espagnol</v>
      </c>
      <c r="K241" s="1"/>
      <c r="L241" s="1"/>
      <c r="M241" s="1"/>
      <c r="N241" s="1" t="str">
        <f ca="1">IFERROR(__xludf.DUMMYFUNCTION("""COMPUTED_VALUE"""),"Fille")</f>
        <v>Fille</v>
      </c>
      <c r="O241" s="1"/>
      <c r="P241" s="1" t="str">
        <f ca="1">IFERROR(__xludf.DUMMYFUNCTION("""COMPUTED_VALUE"""),"FRANCE")</f>
        <v>FRANCE</v>
      </c>
      <c r="Q241" s="1" t="str">
        <f ca="1">IFERROR(__xludf.DUMMYFUNCTION("""COMPUTED_VALUE"""),"SENEGAL")</f>
        <v>SENEGAL</v>
      </c>
      <c r="R241" s="1" t="str">
        <f ca="1">IFERROR(__xludf.DUMMYFUNCTION("""COMPUTED_VALUE"""),"dina.gautier@lfjpsaly.org")</f>
        <v>dina.gautier@lfjpsaly.org</v>
      </c>
      <c r="S241" s="1"/>
      <c r="T241" s="1" t="str">
        <f ca="1">IFERROR(__xludf.DUMMYFUNCTION("""COMPUTED_VALUE"""),"FAYE Ndeye")</f>
        <v>FAYE Ndeye</v>
      </c>
      <c r="U241" s="1" t="str">
        <f ca="1">IFERROR(__xludf.DUMMYFUNCTION("""COMPUTED_VALUE"""),"FAYE Ndeye")</f>
        <v>FAYE Ndeye</v>
      </c>
      <c r="V241" s="1" t="str">
        <f ca="1">IFERROR(__xludf.DUMMYFUNCTION("""COMPUTED_VALUE"""),"ndeyefaye770875232@gmail.com")</f>
        <v>ndeyefaye770875232@gmail.com</v>
      </c>
      <c r="W241" s="1" t="str">
        <f ca="1">IFERROR(__xludf.DUMMYFUNCTION("""COMPUTED_VALUE"""),"ndeyefaye770875232@gmail.com")</f>
        <v>ndeyefaye770875232@gmail.com</v>
      </c>
      <c r="X241" s="1" t="str">
        <f ca="1">IFERROR(__xludf.DUMMYFUNCTION("""COMPUTED_VALUE"""),"+221 77 087 52 32")</f>
        <v>+221 77 087 52 32</v>
      </c>
      <c r="Y241" s="1" t="str">
        <f ca="1">IFERROR(__xludf.DUMMYFUNCTION("""COMPUTED_VALUE"""),"+221 78 154 56 63")</f>
        <v>+221 78 154 56 63</v>
      </c>
      <c r="Z241" s="1" t="str">
        <f ca="1">IFERROR(__xludf.DUMMYFUNCTION("""COMPUTED_VALUE"""),"+221")</f>
        <v>+221</v>
      </c>
      <c r="AA241" s="1" t="str">
        <f ca="1">IFERROR(__xludf.DUMMYFUNCTION("""COMPUTED_VALUE"""),"+221")</f>
        <v>+221</v>
      </c>
      <c r="AB241" s="2">
        <f ca="1">IFERROR(__xludf.DUMMYFUNCTION("""COMPUTED_VALUE"""),30429)</f>
        <v>30429</v>
      </c>
      <c r="AC241" s="2">
        <f ca="1">IFERROR(__xludf.DUMMYFUNCTION("""COMPUTED_VALUE"""),30429)</f>
        <v>30429</v>
      </c>
      <c r="AD241" s="1" t="str">
        <f ca="1">IFERROR(__xludf.DUMMYFUNCTION("""COMPUTED_VALUE"""),"MERE")</f>
        <v>MERE</v>
      </c>
      <c r="AE241" s="1" t="str">
        <f ca="1">IFERROR(__xludf.DUMMYFUNCTION("""COMPUTED_VALUE"""),"MERE")</f>
        <v>MERE</v>
      </c>
      <c r="AF241" s="1" t="str">
        <f ca="1">IFERROR(__xludf.DUMMYFUNCTION("""COMPUTED_VALUE"""),"SENEGAL")</f>
        <v>SENEGAL</v>
      </c>
      <c r="AG241" s="1" t="str">
        <f ca="1">IFERROR(__xludf.DUMMYFUNCTION("""COMPUTED_VALUE"""),"FRANCE")</f>
        <v>FRANCE</v>
      </c>
      <c r="AH241" s="1" t="str">
        <f ca="1">IFERROR(__xludf.DUMMYFUNCTION("""COMPUTED_VALUE"""),"SENEGAL")</f>
        <v>SENEGAL</v>
      </c>
      <c r="AI241" s="1"/>
      <c r="AJ241" s="1" t="str">
        <f ca="1">IFERROR(__xludf.DUMMYFUNCTION("""COMPUTED_VALUE"""),"F1329")</f>
        <v>F1329</v>
      </c>
      <c r="AK241" s="1" t="str">
        <f ca="1">IFERROR(__xludf.DUMMYFUNCTION("""COMPUTED_VALUE"""),"Célibataire")</f>
        <v>Célibataire</v>
      </c>
      <c r="AL241" s="1" t="str">
        <f ca="1">IFERROR(__xludf.DUMMYFUNCTION("""COMPUTED_VALUE"""),"Célibataire")</f>
        <v>Célibataire</v>
      </c>
      <c r="AM241" s="1" t="str">
        <f ca="1">IFERROR(__xludf.DUMMYFUNCTION("""COMPUTED_VALUE"""),"F1329")</f>
        <v>F1329</v>
      </c>
    </row>
    <row r="242" spans="1:39" ht="13" x14ac:dyDescent="0.15">
      <c r="A242" s="1" t="str">
        <f ca="1">IFERROR(__xludf.DUMMYFUNCTION("""COMPUTED_VALUE"""),"GAUTIER Pierrick")</f>
        <v>GAUTIER Pierrick</v>
      </c>
      <c r="B242" s="1" t="str">
        <f ca="1">IFERROR(__xludf.DUMMYFUNCTION("""COMPUTED_VALUE"""),"GAUTIER")</f>
        <v>GAUTIER</v>
      </c>
      <c r="C242" s="1" t="str">
        <f ca="1">IFERROR(__xludf.DUMMYFUNCTION("""COMPUTED_VALUE"""),"Pierrick")</f>
        <v>Pierrick</v>
      </c>
      <c r="D242" s="1" t="str">
        <f ca="1">IFERROR(__xludf.DUMMYFUNCTION("""COMPUTED_VALUE"""),"1330E1")</f>
        <v>1330E1</v>
      </c>
      <c r="E242" s="2">
        <f ca="1">IFERROR(__xludf.DUMMYFUNCTION("""COMPUTED_VALUE"""),40925)</f>
        <v>40925</v>
      </c>
      <c r="F242" s="1" t="str">
        <f ca="1">IFERROR(__xludf.DUMMYFUNCTION("""COMPUTED_VALUE"""),"4EME2")</f>
        <v>4EME2</v>
      </c>
      <c r="G242" s="1" t="str">
        <f ca="1">IFERROR(__xludf.DUMMYFUNCTION("""COMPUTED_VALUE"""),"4ème")</f>
        <v>4ème</v>
      </c>
      <c r="H242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242" s="1" t="str">
        <f ca="1">IFERROR(__xludf.DUMMYFUNCTION("""COMPUTED_VALUE"""),"LVA Anglais")</f>
        <v>LVA Anglais</v>
      </c>
      <c r="J242" s="1" t="str">
        <f ca="1">IFERROR(__xludf.DUMMYFUNCTION("""COMPUTED_VALUE"""),"LVB Espagnol")</f>
        <v>LVB Espagnol</v>
      </c>
      <c r="K242" s="1"/>
      <c r="L242" s="1"/>
      <c r="M242" s="1"/>
      <c r="N242" s="1" t="str">
        <f ca="1">IFERROR(__xludf.DUMMYFUNCTION("""COMPUTED_VALUE"""),"Garçon")</f>
        <v>Garçon</v>
      </c>
      <c r="O242" s="1"/>
      <c r="P242" s="1" t="str">
        <f ca="1">IFERROR(__xludf.DUMMYFUNCTION("""COMPUTED_VALUE"""),"FRANCE")</f>
        <v>FRANCE</v>
      </c>
      <c r="Q242" s="1" t="str">
        <f ca="1">IFERROR(__xludf.DUMMYFUNCTION("""COMPUTED_VALUE"""),"SENEGAL")</f>
        <v>SENEGAL</v>
      </c>
      <c r="R242" s="1" t="str">
        <f ca="1">IFERROR(__xludf.DUMMYFUNCTION("""COMPUTED_VALUE"""),"pierrick.gautier@lfjpsaly.org")</f>
        <v>pierrick.gautier@lfjpsaly.org</v>
      </c>
      <c r="S242" s="1" t="str">
        <f ca="1">IFERROR(__xludf.DUMMYFUNCTION("""COMPUTED_VALUE"""),"+221 78 762 16 67")</f>
        <v>+221 78 762 16 67</v>
      </c>
      <c r="T242" s="1" t="str">
        <f ca="1">IFERROR(__xludf.DUMMYFUNCTION("""COMPUTED_VALUE"""),"GAUTIER Yves")</f>
        <v>GAUTIER Yves</v>
      </c>
      <c r="U242" s="1" t="str">
        <f ca="1">IFERROR(__xludf.DUMMYFUNCTION("""COMPUTED_VALUE"""),"MBOW Anna")</f>
        <v>MBOW Anna</v>
      </c>
      <c r="V242" s="1" t="str">
        <f ca="1">IFERROR(__xludf.DUMMYFUNCTION("""COMPUTED_VALUE"""),"yvesgautier@protonmail.com")</f>
        <v>yvesgautier@protonmail.com</v>
      </c>
      <c r="W242" s="1" t="str">
        <f ca="1">IFERROR(__xludf.DUMMYFUNCTION("""COMPUTED_VALUE"""),"annambow83@yahoo.fr")</f>
        <v>annambow83@yahoo.fr</v>
      </c>
      <c r="X242" s="1" t="str">
        <f ca="1">IFERROR(__xludf.DUMMYFUNCTION("""COMPUTED_VALUE"""),"+221 70 752 53 68")</f>
        <v>+221 70 752 53 68</v>
      </c>
      <c r="Y242" s="1" t="str">
        <f ca="1">IFERROR(__xludf.DUMMYFUNCTION("""COMPUTED_VALUE"""),"+221 77 324 56 34")</f>
        <v>+221 77 324 56 34</v>
      </c>
      <c r="Z242" s="1"/>
      <c r="AA242" s="1"/>
      <c r="AB242" s="2">
        <f ca="1">IFERROR(__xludf.DUMMYFUNCTION("""COMPUTED_VALUE"""),24839)</f>
        <v>24839</v>
      </c>
      <c r="AC242" s="2">
        <f ca="1">IFERROR(__xludf.DUMMYFUNCTION("""COMPUTED_VALUE"""),30639)</f>
        <v>30639</v>
      </c>
      <c r="AD242" s="1" t="str">
        <f ca="1">IFERROR(__xludf.DUMMYFUNCTION("""COMPUTED_VALUE"""),"PERE")</f>
        <v>PERE</v>
      </c>
      <c r="AE242" s="1" t="str">
        <f ca="1">IFERROR(__xludf.DUMMYFUNCTION("""COMPUTED_VALUE"""),"MERE")</f>
        <v>MERE</v>
      </c>
      <c r="AF242" s="1" t="str">
        <f ca="1">IFERROR(__xludf.DUMMYFUNCTION("""COMPUTED_VALUE"""),"FRANCE")</f>
        <v>FRANCE</v>
      </c>
      <c r="AG242" s="1" t="str">
        <f ca="1">IFERROR(__xludf.DUMMYFUNCTION("""COMPUTED_VALUE"""),"SENEGAL")</f>
        <v>SENEGAL</v>
      </c>
      <c r="AH242" s="1"/>
      <c r="AI242" s="1"/>
      <c r="AJ242" s="1" t="str">
        <f ca="1">IFERROR(__xludf.DUMMYFUNCTION("""COMPUTED_VALUE"""),"F1330")</f>
        <v>F1330</v>
      </c>
      <c r="AK242" s="1" t="str">
        <f ca="1">IFERROR(__xludf.DUMMYFUNCTION("""COMPUTED_VALUE"""),"Séparé(e)")</f>
        <v>Séparé(e)</v>
      </c>
      <c r="AL242" s="1" t="str">
        <f ca="1">IFERROR(__xludf.DUMMYFUNCTION("""COMPUTED_VALUE"""),"Pacsé(e)")</f>
        <v>Pacsé(e)</v>
      </c>
      <c r="AM242" s="1" t="str">
        <f ca="1">IFERROR(__xludf.DUMMYFUNCTION("""COMPUTED_VALUE"""),"F1330")</f>
        <v>F1330</v>
      </c>
    </row>
    <row r="243" spans="1:39" ht="13" x14ac:dyDescent="0.15">
      <c r="A243" s="1" t="str">
        <f ca="1">IFERROR(__xludf.DUMMYFUNCTION("""COMPUTED_VALUE"""),"GAUTIER Ulysse")</f>
        <v>GAUTIER Ulysse</v>
      </c>
      <c r="B243" s="1" t="str">
        <f ca="1">IFERROR(__xludf.DUMMYFUNCTION("""COMPUTED_VALUE"""),"GAUTIER")</f>
        <v>GAUTIER</v>
      </c>
      <c r="C243" s="1" t="str">
        <f ca="1">IFERROR(__xludf.DUMMYFUNCTION("""COMPUTED_VALUE"""),"Ulysse")</f>
        <v>Ulysse</v>
      </c>
      <c r="D243" s="1" t="str">
        <f ca="1">IFERROR(__xludf.DUMMYFUNCTION("""COMPUTED_VALUE"""),"1330E2")</f>
        <v>1330E2</v>
      </c>
      <c r="E243" s="2">
        <f ca="1">IFERROR(__xludf.DUMMYFUNCTION("""COMPUTED_VALUE"""),42697)</f>
        <v>42697</v>
      </c>
      <c r="F243" s="1" t="str">
        <f ca="1">IFERROR(__xludf.DUMMYFUNCTION("""COMPUTED_VALUE"""),"CP-CE2")</f>
        <v>CP-CE2</v>
      </c>
      <c r="G243" s="1" t="str">
        <f ca="1">IFERROR(__xludf.DUMMYFUNCTION("""COMPUTED_VALUE"""),"CE2")</f>
        <v>CE2</v>
      </c>
      <c r="H243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243" s="1"/>
      <c r="J243" s="1"/>
      <c r="K243" s="1"/>
      <c r="L243" s="1"/>
      <c r="M243" s="1"/>
      <c r="N243" s="1" t="str">
        <f ca="1">IFERROR(__xludf.DUMMYFUNCTION("""COMPUTED_VALUE"""),"Garçon")</f>
        <v>Garçon</v>
      </c>
      <c r="O243" s="1"/>
      <c r="P243" s="1" t="str">
        <f ca="1">IFERROR(__xludf.DUMMYFUNCTION("""COMPUTED_VALUE"""),"FRANCE")</f>
        <v>FRANCE</v>
      </c>
      <c r="Q243" s="1"/>
      <c r="R243" s="1"/>
      <c r="S243" s="1"/>
      <c r="T243" s="1" t="str">
        <f ca="1">IFERROR(__xludf.DUMMYFUNCTION("""COMPUTED_VALUE"""),"GAUTIER Yves")</f>
        <v>GAUTIER Yves</v>
      </c>
      <c r="U243" s="1" t="str">
        <f ca="1">IFERROR(__xludf.DUMMYFUNCTION("""COMPUTED_VALUE"""),"MBOW Anna")</f>
        <v>MBOW Anna</v>
      </c>
      <c r="V243" s="1" t="str">
        <f ca="1">IFERROR(__xludf.DUMMYFUNCTION("""COMPUTED_VALUE"""),"yvesgautier@protonmail.com")</f>
        <v>yvesgautier@protonmail.com</v>
      </c>
      <c r="W243" s="1" t="str">
        <f ca="1">IFERROR(__xludf.DUMMYFUNCTION("""COMPUTED_VALUE"""),"annambow83@yahoo.fr")</f>
        <v>annambow83@yahoo.fr</v>
      </c>
      <c r="X243" s="1" t="str">
        <f ca="1">IFERROR(__xludf.DUMMYFUNCTION("""COMPUTED_VALUE"""),"+221 70 752 53 68")</f>
        <v>+221 70 752 53 68</v>
      </c>
      <c r="Y243" s="1" t="str">
        <f ca="1">IFERROR(__xludf.DUMMYFUNCTION("""COMPUTED_VALUE"""),"+221 77 324 56 34")</f>
        <v>+221 77 324 56 34</v>
      </c>
      <c r="Z243" s="1"/>
      <c r="AA243" s="1"/>
      <c r="AB243" s="2">
        <f ca="1">IFERROR(__xludf.DUMMYFUNCTION("""COMPUTED_VALUE"""),24839)</f>
        <v>24839</v>
      </c>
      <c r="AC243" s="2">
        <f ca="1">IFERROR(__xludf.DUMMYFUNCTION("""COMPUTED_VALUE"""),30639)</f>
        <v>30639</v>
      </c>
      <c r="AD243" s="1" t="str">
        <f ca="1">IFERROR(__xludf.DUMMYFUNCTION("""COMPUTED_VALUE"""),"PERE")</f>
        <v>PERE</v>
      </c>
      <c r="AE243" s="1" t="str">
        <f ca="1">IFERROR(__xludf.DUMMYFUNCTION("""COMPUTED_VALUE"""),"MERE")</f>
        <v>MERE</v>
      </c>
      <c r="AF243" s="1" t="str">
        <f ca="1">IFERROR(__xludf.DUMMYFUNCTION("""COMPUTED_VALUE"""),"FRANCE")</f>
        <v>FRANCE</v>
      </c>
      <c r="AG243" s="1" t="str">
        <f ca="1">IFERROR(__xludf.DUMMYFUNCTION("""COMPUTED_VALUE"""),"SENEGAL")</f>
        <v>SENEGAL</v>
      </c>
      <c r="AH243" s="1"/>
      <c r="AI243" s="1"/>
      <c r="AJ243" s="1" t="str">
        <f ca="1">IFERROR(__xludf.DUMMYFUNCTION("""COMPUTED_VALUE"""),"F1330")</f>
        <v>F1330</v>
      </c>
      <c r="AK243" s="1" t="str">
        <f ca="1">IFERROR(__xludf.DUMMYFUNCTION("""COMPUTED_VALUE"""),"Séparé(e)")</f>
        <v>Séparé(e)</v>
      </c>
      <c r="AL243" s="1" t="str">
        <f ca="1">IFERROR(__xludf.DUMMYFUNCTION("""COMPUTED_VALUE"""),"Pacsé(e)")</f>
        <v>Pacsé(e)</v>
      </c>
      <c r="AM243" s="1" t="str">
        <f ca="1">IFERROR(__xludf.DUMMYFUNCTION("""COMPUTED_VALUE"""),"F1330")</f>
        <v>F1330</v>
      </c>
    </row>
    <row r="244" spans="1:39" ht="13" x14ac:dyDescent="0.15">
      <c r="A244" s="1" t="str">
        <f ca="1">IFERROR(__xludf.DUMMYFUNCTION("""COMPUTED_VALUE"""),"GAYE Ababacar")</f>
        <v>GAYE Ababacar</v>
      </c>
      <c r="B244" s="1" t="str">
        <f ca="1">IFERROR(__xludf.DUMMYFUNCTION("""COMPUTED_VALUE"""),"GAYE")</f>
        <v>GAYE</v>
      </c>
      <c r="C244" s="1" t="str">
        <f ca="1">IFERROR(__xludf.DUMMYFUNCTION("""COMPUTED_VALUE"""),"Ababacar")</f>
        <v>Ababacar</v>
      </c>
      <c r="D244" s="1" t="str">
        <f ca="1">IFERROR(__xludf.DUMMYFUNCTION("""COMPUTED_VALUE"""),"1331E1")</f>
        <v>1331E1</v>
      </c>
      <c r="E244" s="2">
        <f ca="1">IFERROR(__xludf.DUMMYFUNCTION("""COMPUTED_VALUE"""),40087)</f>
        <v>40087</v>
      </c>
      <c r="F244" s="1" t="str">
        <f ca="1">IFERROR(__xludf.DUMMYFUNCTION("""COMPUTED_VALUE"""),"1ERE1")</f>
        <v>1ERE1</v>
      </c>
      <c r="G244" s="1" t="str">
        <f ca="1">IFERROR(__xludf.DUMMYFUNCTION("""COMPUTED_VALUE"""),"1ère")</f>
        <v>1ère</v>
      </c>
      <c r="H244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244" s="1" t="str">
        <f ca="1">IFERROR(__xludf.DUMMYFUNCTION("""COMPUTED_VALUE"""),"LVA Anglais")</f>
        <v>LVA Anglais</v>
      </c>
      <c r="J244" s="1" t="str">
        <f ca="1">IFERROR(__xludf.DUMMYFUNCTION("""COMPUTED_VALUE"""),"LVB Espagnol")</f>
        <v>LVB Espagnol</v>
      </c>
      <c r="K244" s="1"/>
      <c r="L244" s="1"/>
      <c r="M244" s="1" t="str">
        <f ca="1">IFERROR(__xludf.DUMMYFUNCTION("""COMPUTED_VALUE"""),"SPE MATHS, SPE SES, SPE SPC")</f>
        <v>SPE MATHS, SPE SES, SPE SPC</v>
      </c>
      <c r="N244" s="1" t="str">
        <f ca="1">IFERROR(__xludf.DUMMYFUNCTION("""COMPUTED_VALUE"""),"Garçon")</f>
        <v>Garçon</v>
      </c>
      <c r="O244" s="1"/>
      <c r="P244" s="1" t="str">
        <f ca="1">IFERROR(__xludf.DUMMYFUNCTION("""COMPUTED_VALUE"""),"ETATS-UNIS")</f>
        <v>ETATS-UNIS</v>
      </c>
      <c r="Q244" s="1"/>
      <c r="R244" s="1" t="str">
        <f ca="1">IFERROR(__xludf.DUMMYFUNCTION("""COMPUTED_VALUE"""),"ababacar.gaye@lfjpsaly.org")</f>
        <v>ababacar.gaye@lfjpsaly.org</v>
      </c>
      <c r="S244" s="1"/>
      <c r="T244" s="1" t="str">
        <f ca="1">IFERROR(__xludf.DUMMYFUNCTION("""COMPUTED_VALUE"""),"WANE Couro")</f>
        <v>WANE Couro</v>
      </c>
      <c r="U244" s="1" t="str">
        <f ca="1">IFERROR(__xludf.DUMMYFUNCTION("""COMPUTED_VALUE"""),"GAYE Gaye")</f>
        <v>GAYE Gaye</v>
      </c>
      <c r="V244" s="1" t="str">
        <f ca="1">IFERROR(__xludf.DUMMYFUNCTION("""COMPUTED_VALUE"""),"courowane77@gmail.com")</f>
        <v>courowane77@gmail.com</v>
      </c>
      <c r="W244" s="1" t="str">
        <f ca="1">IFERROR(__xludf.DUMMYFUNCTION("""COMPUTED_VALUE"""),"m.gaye@yahoo.com")</f>
        <v>m.gaye@yahoo.com</v>
      </c>
      <c r="X244" s="1" t="str">
        <f ca="1">IFERROR(__xludf.DUMMYFUNCTION("""COMPUTED_VALUE"""),"+221 77 793 84 24")</f>
        <v>+221 77 793 84 24</v>
      </c>
      <c r="Y244" s="1" t="str">
        <f ca="1">IFERROR(__xludf.DUMMYFUNCTION("""COMPUTED_VALUE"""),"+221 77 793 84 24")</f>
        <v>+221 77 793 84 24</v>
      </c>
      <c r="Z244" s="1"/>
      <c r="AA244" s="1" t="str">
        <f ca="1">IFERROR(__xludf.DUMMYFUNCTION("""COMPUTED_VALUE"""),"+221")</f>
        <v>+221</v>
      </c>
      <c r="AB244" s="2">
        <f ca="1">IFERROR(__xludf.DUMMYFUNCTION("""COMPUTED_VALUE"""),28338)</f>
        <v>28338</v>
      </c>
      <c r="AC244" s="2">
        <f ca="1">IFERROR(__xludf.DUMMYFUNCTION("""COMPUTED_VALUE"""),24289)</f>
        <v>24289</v>
      </c>
      <c r="AD244" s="1" t="str">
        <f ca="1">IFERROR(__xludf.DUMMYFUNCTION("""COMPUTED_VALUE"""),"MERE")</f>
        <v>MERE</v>
      </c>
      <c r="AE244" s="1" t="str">
        <f ca="1">IFERROR(__xludf.DUMMYFUNCTION("""COMPUTED_VALUE"""),"PERE")</f>
        <v>PERE</v>
      </c>
      <c r="AF244" s="1" t="str">
        <f ca="1">IFERROR(__xludf.DUMMYFUNCTION("""COMPUTED_VALUE"""),"SENEGAL")</f>
        <v>SENEGAL</v>
      </c>
      <c r="AG244" s="1" t="str">
        <f ca="1">IFERROR(__xludf.DUMMYFUNCTION("""COMPUTED_VALUE"""),"FRANCE")</f>
        <v>FRANCE</v>
      </c>
      <c r="AH244" s="1"/>
      <c r="AI244" s="1"/>
      <c r="AJ244" s="1" t="str">
        <f ca="1">IFERROR(__xludf.DUMMYFUNCTION("""COMPUTED_VALUE"""),"F1331")</f>
        <v>F1331</v>
      </c>
      <c r="AK244" s="1" t="str">
        <f ca="1">IFERROR(__xludf.DUMMYFUNCTION("""COMPUTED_VALUE"""),"Célibataire")</f>
        <v>Célibataire</v>
      </c>
      <c r="AL244" s="1" t="str">
        <f ca="1">IFERROR(__xludf.DUMMYFUNCTION("""COMPUTED_VALUE"""),"Divorcée")</f>
        <v>Divorcée</v>
      </c>
      <c r="AM244" s="1" t="str">
        <f ca="1">IFERROR(__xludf.DUMMYFUNCTION("""COMPUTED_VALUE"""),"F1331")</f>
        <v>F1331</v>
      </c>
    </row>
    <row r="245" spans="1:39" ht="13" x14ac:dyDescent="0.15">
      <c r="A245" s="1" t="str">
        <f ca="1">IFERROR(__xludf.DUMMYFUNCTION("""COMPUTED_VALUE"""),"GAZI Ethan")</f>
        <v>GAZI Ethan</v>
      </c>
      <c r="B245" s="1" t="str">
        <f ca="1">IFERROR(__xludf.DUMMYFUNCTION("""COMPUTED_VALUE"""),"GAZI")</f>
        <v>GAZI</v>
      </c>
      <c r="C245" s="1" t="str">
        <f ca="1">IFERROR(__xludf.DUMMYFUNCTION("""COMPUTED_VALUE"""),"Ethan")</f>
        <v>Ethan</v>
      </c>
      <c r="D245" s="1" t="str">
        <f ca="1">IFERROR(__xludf.DUMMYFUNCTION("""COMPUTED_VALUE"""),"1334E1")</f>
        <v>1334E1</v>
      </c>
      <c r="E245" s="2">
        <f ca="1">IFERROR(__xludf.DUMMYFUNCTION("""COMPUTED_VALUE"""),39664)</f>
        <v>39664</v>
      </c>
      <c r="F245" s="1" t="str">
        <f ca="1">IFERROR(__xludf.DUMMYFUNCTION("""COMPUTED_VALUE"""),"TERMINALE2")</f>
        <v>TERMINALE2</v>
      </c>
      <c r="G245" s="1" t="str">
        <f ca="1">IFERROR(__xludf.DUMMYFUNCTION("""COMPUTED_VALUE"""),"Terminale")</f>
        <v>Terminale</v>
      </c>
      <c r="H245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245" s="1" t="str">
        <f ca="1">IFERROR(__xludf.DUMMYFUNCTION("""COMPUTED_VALUE"""),"LVA Anglais")</f>
        <v>LVA Anglais</v>
      </c>
      <c r="J245" s="1" t="str">
        <f ca="1">IFERROR(__xludf.DUMMYFUNCTION("""COMPUTED_VALUE"""),"LVB Espagnol")</f>
        <v>LVB Espagnol</v>
      </c>
      <c r="K245" s="1"/>
      <c r="L245" s="1"/>
      <c r="M245" s="1" t="str">
        <f ca="1">IFERROR(__xludf.DUMMYFUNCTION("""COMPUTED_VALUE"""),"SPE LLCE AMC, SPE SES")</f>
        <v>SPE LLCE AMC, SPE SES</v>
      </c>
      <c r="N245" s="1" t="str">
        <f ca="1">IFERROR(__xludf.DUMMYFUNCTION("""COMPUTED_VALUE"""),"Garçon")</f>
        <v>Garçon</v>
      </c>
      <c r="O245" s="1"/>
      <c r="P245" s="1" t="str">
        <f ca="1">IFERROR(__xludf.DUMMYFUNCTION("""COMPUTED_VALUE"""),"FRANCE")</f>
        <v>FRANCE</v>
      </c>
      <c r="Q245" s="1" t="str">
        <f ca="1">IFERROR(__xludf.DUMMYFUNCTION("""COMPUTED_VALUE"""),"SENEGAL")</f>
        <v>SENEGAL</v>
      </c>
      <c r="R245" s="1" t="str">
        <f ca="1">IFERROR(__xludf.DUMMYFUNCTION("""COMPUTED_VALUE"""),"ethan.gazi@lfjpsaly.org")</f>
        <v>ethan.gazi@lfjpsaly.org</v>
      </c>
      <c r="S245" s="1"/>
      <c r="T245" s="1" t="str">
        <f ca="1">IFERROR(__xludf.DUMMYFUNCTION("""COMPUTED_VALUE"""),"GAZI Henriette")</f>
        <v>GAZI Henriette</v>
      </c>
      <c r="U245" s="1"/>
      <c r="V245" s="1" t="str">
        <f ca="1">IFERROR(__xludf.DUMMYFUNCTION("""COMPUTED_VALUE"""),"htmendy@hotmail.com")</f>
        <v>htmendy@hotmail.com</v>
      </c>
      <c r="W245" s="1"/>
      <c r="X245" s="1" t="str">
        <f ca="1">IFERROR(__xludf.DUMMYFUNCTION("""COMPUTED_VALUE"""),"+221 77 638 42 08")</f>
        <v>+221 77 638 42 08</v>
      </c>
      <c r="Y245" s="1"/>
      <c r="Z245" s="1"/>
      <c r="AA245" s="1"/>
      <c r="AB245" s="2">
        <f ca="1">IFERROR(__xludf.DUMMYFUNCTION("""COMPUTED_VALUE"""),28730)</f>
        <v>28730</v>
      </c>
      <c r="AC245" s="1"/>
      <c r="AD245" s="1" t="str">
        <f ca="1">IFERROR(__xludf.DUMMYFUNCTION("""COMPUTED_VALUE"""),"MERE")</f>
        <v>MERE</v>
      </c>
      <c r="AE245" s="1"/>
      <c r="AF245" s="1" t="str">
        <f ca="1">IFERROR(__xludf.DUMMYFUNCTION("""COMPUTED_VALUE"""),"SENEGAL")</f>
        <v>SENEGAL</v>
      </c>
      <c r="AG245" s="1"/>
      <c r="AH245" s="1"/>
      <c r="AI245" s="1"/>
      <c r="AJ245" s="1" t="str">
        <f ca="1">IFERROR(__xludf.DUMMYFUNCTION("""COMPUTED_VALUE"""),"F1334")</f>
        <v>F1334</v>
      </c>
      <c r="AK245" s="1" t="str">
        <f ca="1">IFERROR(__xludf.DUMMYFUNCTION("""COMPUTED_VALUE"""),"Veuf(ve)")</f>
        <v>Veuf(ve)</v>
      </c>
      <c r="AL245" s="1"/>
      <c r="AM245" s="1" t="str">
        <f ca="1">IFERROR(__xludf.DUMMYFUNCTION("""COMPUTED_VALUE"""),"F1334")</f>
        <v>F1334</v>
      </c>
    </row>
    <row r="246" spans="1:39" ht="13" x14ac:dyDescent="0.15">
      <c r="A246" s="1" t="str">
        <f ca="1">IFERROR(__xludf.DUMMYFUNCTION("""COMPUTED_VALUE"""),"GEORGE Aaron Eden")</f>
        <v>GEORGE Aaron Eden</v>
      </c>
      <c r="B246" s="1" t="str">
        <f ca="1">IFERROR(__xludf.DUMMYFUNCTION("""COMPUTED_VALUE"""),"GEORGE")</f>
        <v>GEORGE</v>
      </c>
      <c r="C246" s="1" t="str">
        <f ca="1">IFERROR(__xludf.DUMMYFUNCTION("""COMPUTED_VALUE"""),"Aaron Eden")</f>
        <v>Aaron Eden</v>
      </c>
      <c r="D246" s="1" t="str">
        <f ca="1">IFERROR(__xludf.DUMMYFUNCTION("""COMPUTED_VALUE"""),"1657E1")</f>
        <v>1657E1</v>
      </c>
      <c r="E246" s="2">
        <f ca="1">IFERROR(__xludf.DUMMYFUNCTION("""COMPUTED_VALUE"""),44553)</f>
        <v>44553</v>
      </c>
      <c r="F246" s="1" t="str">
        <f ca="1">IFERROR(__xludf.DUMMYFUNCTION("""COMPUTED_VALUE"""),"Mat 3")</f>
        <v>Mat 3</v>
      </c>
      <c r="G246" s="1" t="str">
        <f ca="1">IFERROR(__xludf.DUMMYFUNCTION("""COMPUTED_VALUE"""),"MS")</f>
        <v>MS</v>
      </c>
      <c r="H246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246" s="1"/>
      <c r="J246" s="1"/>
      <c r="K246" s="1"/>
      <c r="L246" s="1"/>
      <c r="M246" s="1"/>
      <c r="N246" s="1" t="str">
        <f ca="1">IFERROR(__xludf.DUMMYFUNCTION("""COMPUTED_VALUE"""),"Garçon")</f>
        <v>Garçon</v>
      </c>
      <c r="O246" s="1"/>
      <c r="P246" s="1" t="str">
        <f ca="1">IFERROR(__xludf.DUMMYFUNCTION("""COMPUTED_VALUE"""),"FRANCE")</f>
        <v>FRANCE</v>
      </c>
      <c r="Q246" s="1"/>
      <c r="R246" s="1"/>
      <c r="S246" s="1"/>
      <c r="T246" s="1" t="str">
        <f ca="1">IFERROR(__xludf.DUMMYFUNCTION("""COMPUTED_VALUE"""),"GEORGE Anthony")</f>
        <v>GEORGE Anthony</v>
      </c>
      <c r="U246" s="1" t="str">
        <f ca="1">IFERROR(__xludf.DUMMYFUNCTION("""COMPUTED_VALUE"""),"ESSOLA Lucie Charlotte")</f>
        <v>ESSOLA Lucie Charlotte</v>
      </c>
      <c r="V246" s="1" t="str">
        <f ca="1">IFERROR(__xludf.DUMMYFUNCTION("""COMPUTED_VALUE"""),"george.anthony@hotmail.fr")</f>
        <v>george.anthony@hotmail.fr</v>
      </c>
      <c r="W246" s="1" t="str">
        <f ca="1">IFERROR(__xludf.DUMMYFUNCTION("""COMPUTED_VALUE"""),"george.anthony@hotmail.fr")</f>
        <v>george.anthony@hotmail.fr</v>
      </c>
      <c r="X246" s="1" t="str">
        <f ca="1">IFERROR(__xludf.DUMMYFUNCTION("""COMPUTED_VALUE"""),"+221 77 450 34 02")</f>
        <v>+221 77 450 34 02</v>
      </c>
      <c r="Y246" s="1" t="str">
        <f ca="1">IFERROR(__xludf.DUMMYFUNCTION("""COMPUTED_VALUE"""),"+221 78 826 66 90")</f>
        <v>+221 78 826 66 90</v>
      </c>
      <c r="Z246" s="1" t="str">
        <f ca="1">IFERROR(__xludf.DUMMYFUNCTION("""COMPUTED_VALUE"""),"+221 77 450 34 02")</f>
        <v>+221 77 450 34 02</v>
      </c>
      <c r="AA246" s="1" t="str">
        <f ca="1">IFERROR(__xludf.DUMMYFUNCTION("""COMPUTED_VALUE"""),"+33 6 14 16 63 40")</f>
        <v>+33 6 14 16 63 40</v>
      </c>
      <c r="AB246" s="2">
        <f ca="1">IFERROR(__xludf.DUMMYFUNCTION("""COMPUTED_VALUE"""),31025)</f>
        <v>31025</v>
      </c>
      <c r="AC246" s="2">
        <f ca="1">IFERROR(__xludf.DUMMYFUNCTION("""COMPUTED_VALUE"""),32240)</f>
        <v>32240</v>
      </c>
      <c r="AD246" s="1" t="str">
        <f ca="1">IFERROR(__xludf.DUMMYFUNCTION("""COMPUTED_VALUE"""),"PERE")</f>
        <v>PERE</v>
      </c>
      <c r="AE246" s="1" t="str">
        <f ca="1">IFERROR(__xludf.DUMMYFUNCTION("""COMPUTED_VALUE"""),"MERE")</f>
        <v>MERE</v>
      </c>
      <c r="AF246" s="1" t="str">
        <f ca="1">IFERROR(__xludf.DUMMYFUNCTION("""COMPUTED_VALUE"""),"FRANCE")</f>
        <v>FRANCE</v>
      </c>
      <c r="AG246" s="1" t="str">
        <f ca="1">IFERROR(__xludf.DUMMYFUNCTION("""COMPUTED_VALUE"""),"CAMEROUN")</f>
        <v>CAMEROUN</v>
      </c>
      <c r="AH246" s="1"/>
      <c r="AI246" s="1"/>
      <c r="AJ246" s="1" t="str">
        <f ca="1">IFERROR(__xludf.DUMMYFUNCTION("""COMPUTED_VALUE"""),"F1657")</f>
        <v>F1657</v>
      </c>
      <c r="AK246" s="1" t="str">
        <f ca="1">IFERROR(__xludf.DUMMYFUNCTION("""COMPUTED_VALUE"""),"Marié(e)")</f>
        <v>Marié(e)</v>
      </c>
      <c r="AL246" s="1" t="str">
        <f ca="1">IFERROR(__xludf.DUMMYFUNCTION("""COMPUTED_VALUE"""),"Marié(e)")</f>
        <v>Marié(e)</v>
      </c>
      <c r="AM246" s="1" t="str">
        <f ca="1">IFERROR(__xludf.DUMMYFUNCTION("""COMPUTED_VALUE"""),"F1657")</f>
        <v>F1657</v>
      </c>
    </row>
    <row r="247" spans="1:39" ht="13" x14ac:dyDescent="0.15">
      <c r="A247" s="1" t="str">
        <f ca="1">IFERROR(__xludf.DUMMYFUNCTION("""COMPUTED_VALUE"""),"GERMINET Louis Raphael")</f>
        <v>GERMINET Louis Raphael</v>
      </c>
      <c r="B247" s="1" t="str">
        <f ca="1">IFERROR(__xludf.DUMMYFUNCTION("""COMPUTED_VALUE"""),"GERMINET")</f>
        <v>GERMINET</v>
      </c>
      <c r="C247" s="1" t="str">
        <f ca="1">IFERROR(__xludf.DUMMYFUNCTION("""COMPUTED_VALUE"""),"Louis Raphael")</f>
        <v>Louis Raphael</v>
      </c>
      <c r="D247" s="1" t="str">
        <f ca="1">IFERROR(__xludf.DUMMYFUNCTION("""COMPUTED_VALUE"""),"1335E1")</f>
        <v>1335E1</v>
      </c>
      <c r="E247" s="2">
        <f ca="1">IFERROR(__xludf.DUMMYFUNCTION("""COMPUTED_VALUE"""),43504)</f>
        <v>43504</v>
      </c>
      <c r="F247" s="1" t="str">
        <f ca="1">IFERROR(__xludf.DUMMYFUNCTION("""COMPUTED_VALUE"""),"CE1B")</f>
        <v>CE1B</v>
      </c>
      <c r="G247" s="1" t="str">
        <f ca="1">IFERROR(__xludf.DUMMYFUNCTION("""COMPUTED_VALUE"""),"CE1")</f>
        <v>CE1</v>
      </c>
      <c r="H247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247" s="1"/>
      <c r="J247" s="1"/>
      <c r="K247" s="1"/>
      <c r="L247" s="1"/>
      <c r="M247" s="1"/>
      <c r="N247" s="1" t="str">
        <f ca="1">IFERROR(__xludf.DUMMYFUNCTION("""COMPUTED_VALUE"""),"Garçon")</f>
        <v>Garçon</v>
      </c>
      <c r="O247" s="1"/>
      <c r="P247" s="1" t="str">
        <f ca="1">IFERROR(__xludf.DUMMYFUNCTION("""COMPUTED_VALUE"""),"FRANCE")</f>
        <v>FRANCE</v>
      </c>
      <c r="Q247" s="1" t="str">
        <f ca="1">IFERROR(__xludf.DUMMYFUNCTION("""COMPUTED_VALUE"""),"SENEGAL")</f>
        <v>SENEGAL</v>
      </c>
      <c r="R247" s="1"/>
      <c r="S247" s="1"/>
      <c r="T247" s="1" t="str">
        <f ca="1">IFERROR(__xludf.DUMMYFUNCTION("""COMPUTED_VALUE"""),"GERMINET Pierre")</f>
        <v>GERMINET Pierre</v>
      </c>
      <c r="U247" s="1" t="str">
        <f ca="1">IFERROR(__xludf.DUMMYFUNCTION("""COMPUTED_VALUE"""),"SECK GERMINET Dib")</f>
        <v>SECK GERMINET Dib</v>
      </c>
      <c r="V247" s="1" t="str">
        <f ca="1">IFERROR(__xludf.DUMMYFUNCTION("""COMPUTED_VALUE"""),"pger1605@gmail.com")</f>
        <v>pger1605@gmail.com</v>
      </c>
      <c r="W247" s="1" t="str">
        <f ca="1">IFERROR(__xludf.DUMMYFUNCTION("""COMPUTED_VALUE"""),"pger1605@gmail.com")</f>
        <v>pger1605@gmail.com</v>
      </c>
      <c r="X247" s="1" t="str">
        <f ca="1">IFERROR(__xludf.DUMMYFUNCTION("""COMPUTED_VALUE"""),"+221 78 152 88 22")</f>
        <v>+221 78 152 88 22</v>
      </c>
      <c r="Y247" s="1" t="str">
        <f ca="1">IFERROR(__xludf.DUMMYFUNCTION("""COMPUTED_VALUE"""),"+221 77 597 49 28")</f>
        <v>+221 77 597 49 28</v>
      </c>
      <c r="Z247" s="1" t="str">
        <f ca="1">IFERROR(__xludf.DUMMYFUNCTION("""COMPUTED_VALUE"""),"+221 78 152 88 22")</f>
        <v>+221 78 152 88 22</v>
      </c>
      <c r="AA247" s="1" t="str">
        <f ca="1">IFERROR(__xludf.DUMMYFUNCTION("""COMPUTED_VALUE"""),"+221 77 597 49 28")</f>
        <v>+221 77 597 49 28</v>
      </c>
      <c r="AB247" s="2">
        <f ca="1">IFERROR(__xludf.DUMMYFUNCTION("""COMPUTED_VALUE"""),19472)</f>
        <v>19472</v>
      </c>
      <c r="AC247" s="2">
        <f ca="1">IFERROR(__xludf.DUMMYFUNCTION("""COMPUTED_VALUE"""),34613)</f>
        <v>34613</v>
      </c>
      <c r="AD247" s="1" t="str">
        <f ca="1">IFERROR(__xludf.DUMMYFUNCTION("""COMPUTED_VALUE"""),"PERE")</f>
        <v>PERE</v>
      </c>
      <c r="AE247" s="1" t="str">
        <f ca="1">IFERROR(__xludf.DUMMYFUNCTION("""COMPUTED_VALUE"""),"MERE")</f>
        <v>MERE</v>
      </c>
      <c r="AF247" s="1" t="str">
        <f ca="1">IFERROR(__xludf.DUMMYFUNCTION("""COMPUTED_VALUE"""),"FRANCE")</f>
        <v>FRANCE</v>
      </c>
      <c r="AG247" s="1" t="str">
        <f ca="1">IFERROR(__xludf.DUMMYFUNCTION("""COMPUTED_VALUE"""),"FRANCE")</f>
        <v>FRANCE</v>
      </c>
      <c r="AH247" s="1" t="str">
        <f ca="1">IFERROR(__xludf.DUMMYFUNCTION("""COMPUTED_VALUE"""),"SENEGAL")</f>
        <v>SENEGAL</v>
      </c>
      <c r="AI247" s="1" t="str">
        <f ca="1">IFERROR(__xludf.DUMMYFUNCTION("""COMPUTED_VALUE"""),"SENEGAL")</f>
        <v>SENEGAL</v>
      </c>
      <c r="AJ247" s="1" t="str">
        <f ca="1">IFERROR(__xludf.DUMMYFUNCTION("""COMPUTED_VALUE"""),"F1335")</f>
        <v>F1335</v>
      </c>
      <c r="AK247" s="1" t="str">
        <f ca="1">IFERROR(__xludf.DUMMYFUNCTION("""COMPUTED_VALUE"""),"Marié(e)")</f>
        <v>Marié(e)</v>
      </c>
      <c r="AL247" s="1" t="str">
        <f ca="1">IFERROR(__xludf.DUMMYFUNCTION("""COMPUTED_VALUE"""),"Marié(e)")</f>
        <v>Marié(e)</v>
      </c>
      <c r="AM247" s="1" t="str">
        <f ca="1">IFERROR(__xludf.DUMMYFUNCTION("""COMPUTED_VALUE"""),"F1335")</f>
        <v>F1335</v>
      </c>
    </row>
    <row r="248" spans="1:39" ht="13" x14ac:dyDescent="0.15">
      <c r="A248" s="1" t="str">
        <f ca="1">IFERROR(__xludf.DUMMYFUNCTION("""COMPUTED_VALUE"""),"GILLEN Mathieu Louis Pierre")</f>
        <v>GILLEN Mathieu Louis Pierre</v>
      </c>
      <c r="B248" s="1" t="str">
        <f ca="1">IFERROR(__xludf.DUMMYFUNCTION("""COMPUTED_VALUE"""),"GILLEN")</f>
        <v>GILLEN</v>
      </c>
      <c r="C248" s="1" t="str">
        <f ca="1">IFERROR(__xludf.DUMMYFUNCTION("""COMPUTED_VALUE"""),"Mathieu Louis Pierre")</f>
        <v>Mathieu Louis Pierre</v>
      </c>
      <c r="D248" s="1" t="str">
        <f ca="1">IFERROR(__xludf.DUMMYFUNCTION("""COMPUTED_VALUE"""),"11690S2318")</f>
        <v>11690S2318</v>
      </c>
      <c r="E248" s="2">
        <f ca="1">IFERROR(__xludf.DUMMYFUNCTION("""COMPUTED_VALUE"""),40283)</f>
        <v>40283</v>
      </c>
      <c r="F248" s="1" t="str">
        <f ca="1">IFERROR(__xludf.DUMMYFUNCTION("""COMPUTED_VALUE"""),"3EME2")</f>
        <v>3EME2</v>
      </c>
      <c r="G248" s="1" t="str">
        <f ca="1">IFERROR(__xludf.DUMMYFUNCTION("""COMPUTED_VALUE"""),"3ème")</f>
        <v>3ème</v>
      </c>
      <c r="H248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248" s="1" t="str">
        <f ca="1">IFERROR(__xludf.DUMMYFUNCTION("""COMPUTED_VALUE"""),"LVA Anglais")</f>
        <v>LVA Anglais</v>
      </c>
      <c r="J248" s="1" t="str">
        <f ca="1">IFERROR(__xludf.DUMMYFUNCTION("""COMPUTED_VALUE"""),"LVB Espagnol")</f>
        <v>LVB Espagnol</v>
      </c>
      <c r="K248" s="1"/>
      <c r="L248" s="1"/>
      <c r="M248" s="1"/>
      <c r="N248" s="1" t="str">
        <f ca="1">IFERROR(__xludf.DUMMYFUNCTION("""COMPUTED_VALUE"""),"Garçon")</f>
        <v>Garçon</v>
      </c>
      <c r="O248" s="1"/>
      <c r="P248" s="1" t="str">
        <f ca="1">IFERROR(__xludf.DUMMYFUNCTION("""COMPUTED_VALUE"""),"FRANCE")</f>
        <v>FRANCE</v>
      </c>
      <c r="Q248" s="1"/>
      <c r="R248" s="1" t="str">
        <f ca="1">IFERROR(__xludf.DUMMYFUNCTION("""COMPUTED_VALUE"""),"mathieu.gillen@lfjpsaly.org")</f>
        <v>mathieu.gillen@lfjpsaly.org</v>
      </c>
      <c r="S248" s="1" t="str">
        <f ca="1">IFERROR(__xludf.DUMMYFUNCTION("""COMPUTED_VALUE"""),"+221")</f>
        <v>+221</v>
      </c>
      <c r="T248" s="1" t="str">
        <f ca="1">IFERROR(__xludf.DUMMYFUNCTION("""COMPUTED_VALUE"""),"SOMSON Marine")</f>
        <v>SOMSON Marine</v>
      </c>
      <c r="U248" s="1" t="str">
        <f ca="1">IFERROR(__xludf.DUMMYFUNCTION("""COMPUTED_VALUE"""),"SOMSON Jean Louis")</f>
        <v>SOMSON Jean Louis</v>
      </c>
      <c r="V248" s="1" t="str">
        <f ca="1">IFERROR(__xludf.DUMMYFUNCTION("""COMPUTED_VALUE"""),"marinegillen@gmailm.com")</f>
        <v>marinegillen@gmailm.com</v>
      </c>
      <c r="W248" s="1" t="str">
        <f ca="1">IFERROR(__xludf.DUMMYFUNCTION("""COMPUTED_VALUE"""),"mat.cn77@gmail.com")</f>
        <v>mat.cn77@gmail.com</v>
      </c>
      <c r="X248" s="1" t="str">
        <f ca="1">IFERROR(__xludf.DUMMYFUNCTION("""COMPUTED_VALUE"""),"+221 77 043 35 34")</f>
        <v>+221 77 043 35 34</v>
      </c>
      <c r="Y248" s="1" t="str">
        <f ca="1">IFERROR(__xludf.DUMMYFUNCTION("""COMPUTED_VALUE"""),"+221 77 043 35 34")</f>
        <v>+221 77 043 35 34</v>
      </c>
      <c r="Z248" s="1" t="str">
        <f ca="1">IFERROR(__xludf.DUMMYFUNCTION("""COMPUTED_VALUE"""),"+33 6 16 34 28 84")</f>
        <v>+33 6 16 34 28 84</v>
      </c>
      <c r="AA248" s="1" t="str">
        <f ca="1">IFERROR(__xludf.DUMMYFUNCTION("""COMPUTED_VALUE"""),"+33 6 16 34 28 84")</f>
        <v>+33 6 16 34 28 84</v>
      </c>
      <c r="AB248" s="2">
        <f ca="1">IFERROR(__xludf.DUMMYFUNCTION("""COMPUTED_VALUE"""),31156)</f>
        <v>31156</v>
      </c>
      <c r="AC248" s="2">
        <f ca="1">IFERROR(__xludf.DUMMYFUNCTION("""COMPUTED_VALUE"""),20154)</f>
        <v>20154</v>
      </c>
      <c r="AD248" s="1" t="str">
        <f ca="1">IFERROR(__xludf.DUMMYFUNCTION("""COMPUTED_VALUE"""),"MERE")</f>
        <v>MERE</v>
      </c>
      <c r="AE248" s="1" t="str">
        <f ca="1">IFERROR(__xludf.DUMMYFUNCTION("""COMPUTED_VALUE"""),"GRAND-PÈRE")</f>
        <v>GRAND-PÈRE</v>
      </c>
      <c r="AF248" s="1" t="str">
        <f ca="1">IFERROR(__xludf.DUMMYFUNCTION("""COMPUTED_VALUE"""),"FRANCE")</f>
        <v>FRANCE</v>
      </c>
      <c r="AG248" s="1" t="str">
        <f ca="1">IFERROR(__xludf.DUMMYFUNCTION("""COMPUTED_VALUE"""),"FRANCE")</f>
        <v>FRANCE</v>
      </c>
      <c r="AH248" s="1"/>
      <c r="AI248" s="1"/>
      <c r="AJ248" s="1" t="str">
        <f ca="1">IFERROR(__xludf.DUMMYFUNCTION("""COMPUTED_VALUE"""),"U11690")</f>
        <v>U11690</v>
      </c>
      <c r="AK248" s="1" t="str">
        <f ca="1">IFERROR(__xludf.DUMMYFUNCTION("""COMPUTED_VALUE"""),"Marié(e)")</f>
        <v>Marié(e)</v>
      </c>
      <c r="AL248" s="1" t="str">
        <f ca="1">IFERROR(__xludf.DUMMYFUNCTION("""COMPUTED_VALUE"""),"Marié(e)")</f>
        <v>Marié(e)</v>
      </c>
      <c r="AM248" s="1" t="str">
        <f ca="1">IFERROR(__xludf.DUMMYFUNCTION("""COMPUTED_VALUE"""),"U11690")</f>
        <v>U11690</v>
      </c>
    </row>
    <row r="249" spans="1:39" ht="13" x14ac:dyDescent="0.15">
      <c r="A249" s="1" t="str">
        <f ca="1">IFERROR(__xludf.DUMMYFUNCTION("""COMPUTED_VALUE"""),"GLAUDE Manon")</f>
        <v>GLAUDE Manon</v>
      </c>
      <c r="B249" s="1" t="str">
        <f ca="1">IFERROR(__xludf.DUMMYFUNCTION("""COMPUTED_VALUE"""),"GLAUDE")</f>
        <v>GLAUDE</v>
      </c>
      <c r="C249" s="1" t="str">
        <f ca="1">IFERROR(__xludf.DUMMYFUNCTION("""COMPUTED_VALUE"""),"Manon")</f>
        <v>Manon</v>
      </c>
      <c r="D249" s="1" t="str">
        <f ca="1">IFERROR(__xludf.DUMMYFUNCTION("""COMPUTED_VALUE"""),"1337E1")</f>
        <v>1337E1</v>
      </c>
      <c r="E249" s="2">
        <f ca="1">IFERROR(__xludf.DUMMYFUNCTION("""COMPUTED_VALUE"""),40788)</f>
        <v>40788</v>
      </c>
      <c r="F249" s="1" t="str">
        <f ca="1">IFERROR(__xludf.DUMMYFUNCTION("""COMPUTED_VALUE"""),"3EME1")</f>
        <v>3EME1</v>
      </c>
      <c r="G249" s="1" t="str">
        <f ca="1">IFERROR(__xludf.DUMMYFUNCTION("""COMPUTED_VALUE"""),"3ème")</f>
        <v>3ème</v>
      </c>
      <c r="H249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249" s="1" t="str">
        <f ca="1">IFERROR(__xludf.DUMMYFUNCTION("""COMPUTED_VALUE"""),"LVA Anglais")</f>
        <v>LVA Anglais</v>
      </c>
      <c r="J249" s="1" t="str">
        <f ca="1">IFERROR(__xludf.DUMMYFUNCTION("""COMPUTED_VALUE"""),"LVB Espagnol")</f>
        <v>LVB Espagnol</v>
      </c>
      <c r="K249" s="1"/>
      <c r="L249" s="1"/>
      <c r="M249" s="1"/>
      <c r="N249" s="1" t="str">
        <f ca="1">IFERROR(__xludf.DUMMYFUNCTION("""COMPUTED_VALUE"""),"Fille")</f>
        <v>Fille</v>
      </c>
      <c r="O249" s="1"/>
      <c r="P249" s="1" t="str">
        <f ca="1">IFERROR(__xludf.DUMMYFUNCTION("""COMPUTED_VALUE"""),"FRANCE")</f>
        <v>FRANCE</v>
      </c>
      <c r="Q249" s="1"/>
      <c r="R249" s="1" t="str">
        <f ca="1">IFERROR(__xludf.DUMMYFUNCTION("""COMPUTED_VALUE"""),"manon.glaude@lfjpsaly.org")</f>
        <v>manon.glaude@lfjpsaly.org</v>
      </c>
      <c r="S249" s="1"/>
      <c r="T249" s="1" t="str">
        <f ca="1">IFERROR(__xludf.DUMMYFUNCTION("""COMPUTED_VALUE"""),"GLAUDE Aurélie")</f>
        <v>GLAUDE Aurélie</v>
      </c>
      <c r="U249" s="1" t="str">
        <f ca="1">IFERROR(__xludf.DUMMYFUNCTION("""COMPUTED_VALUE"""),"GLAUDE Olivier")</f>
        <v>GLAUDE Olivier</v>
      </c>
      <c r="V249" s="1" t="str">
        <f ca="1">IFERROR(__xludf.DUMMYFUNCTION("""COMPUTED_VALUE"""),"aurelie@aci-sn.sn")</f>
        <v>aurelie@aci-sn.sn</v>
      </c>
      <c r="W249" s="1" t="str">
        <f ca="1">IFERROR(__xludf.DUMMYFUNCTION("""COMPUTED_VALUE"""),"commercial@aci-sn.sn")</f>
        <v>commercial@aci-sn.sn</v>
      </c>
      <c r="X249" s="1" t="str">
        <f ca="1">IFERROR(__xludf.DUMMYFUNCTION("""COMPUTED_VALUE"""),"+221 78 589 05 55")</f>
        <v>+221 78 589 05 55</v>
      </c>
      <c r="Y249" s="1" t="str">
        <f ca="1">IFERROR(__xludf.DUMMYFUNCTION("""COMPUTED_VALUE"""),"+221 78 303 10 24")</f>
        <v>+221 78 303 10 24</v>
      </c>
      <c r="Z249" s="1"/>
      <c r="AA249" s="1"/>
      <c r="AB249" s="2">
        <f ca="1">IFERROR(__xludf.DUMMYFUNCTION("""COMPUTED_VALUE"""),31131)</f>
        <v>31131</v>
      </c>
      <c r="AC249" s="2">
        <f ca="1">IFERROR(__xludf.DUMMYFUNCTION("""COMPUTED_VALUE"""),30286)</f>
        <v>30286</v>
      </c>
      <c r="AD249" s="1" t="str">
        <f ca="1">IFERROR(__xludf.DUMMYFUNCTION("""COMPUTED_VALUE"""),"MERE")</f>
        <v>MERE</v>
      </c>
      <c r="AE249" s="1" t="str">
        <f ca="1">IFERROR(__xludf.DUMMYFUNCTION("""COMPUTED_VALUE"""),"PERE")</f>
        <v>PERE</v>
      </c>
      <c r="AF249" s="1" t="str">
        <f ca="1">IFERROR(__xludf.DUMMYFUNCTION("""COMPUTED_VALUE"""),"FRANCE")</f>
        <v>FRANCE</v>
      </c>
      <c r="AG249" s="1" t="str">
        <f ca="1">IFERROR(__xludf.DUMMYFUNCTION("""COMPUTED_VALUE"""),"FRANCE")</f>
        <v>FRANCE</v>
      </c>
      <c r="AH249" s="1"/>
      <c r="AI249" s="1"/>
      <c r="AJ249" s="1" t="str">
        <f ca="1">IFERROR(__xludf.DUMMYFUNCTION("""COMPUTED_VALUE"""),"F1337")</f>
        <v>F1337</v>
      </c>
      <c r="AK249" s="1" t="str">
        <f ca="1">IFERROR(__xludf.DUMMYFUNCTION("""COMPUTED_VALUE"""),"Marié(e)")</f>
        <v>Marié(e)</v>
      </c>
      <c r="AL249" s="1" t="str">
        <f ca="1">IFERROR(__xludf.DUMMYFUNCTION("""COMPUTED_VALUE"""),"Marié(e)")</f>
        <v>Marié(e)</v>
      </c>
      <c r="AM249" s="1" t="str">
        <f ca="1">IFERROR(__xludf.DUMMYFUNCTION("""COMPUTED_VALUE"""),"F1337")</f>
        <v>F1337</v>
      </c>
    </row>
    <row r="250" spans="1:39" ht="13" x14ac:dyDescent="0.15">
      <c r="A250" s="1" t="str">
        <f ca="1">IFERROR(__xludf.DUMMYFUNCTION("""COMPUTED_VALUE"""),"GNAMY Erol")</f>
        <v>GNAMY Erol</v>
      </c>
      <c r="B250" s="1" t="str">
        <f ca="1">IFERROR(__xludf.DUMMYFUNCTION("""COMPUTED_VALUE"""),"GNAMY")</f>
        <v>GNAMY</v>
      </c>
      <c r="C250" s="1" t="str">
        <f ca="1">IFERROR(__xludf.DUMMYFUNCTION("""COMPUTED_VALUE"""),"Erol")</f>
        <v>Erol</v>
      </c>
      <c r="D250" s="1" t="str">
        <f ca="1">IFERROR(__xludf.DUMMYFUNCTION("""COMPUTED_VALUE"""),"1338E2")</f>
        <v>1338E2</v>
      </c>
      <c r="E250" s="2">
        <f ca="1">IFERROR(__xludf.DUMMYFUNCTION("""COMPUTED_VALUE"""),42233)</f>
        <v>42233</v>
      </c>
      <c r="F250" s="1" t="str">
        <f ca="1">IFERROR(__xludf.DUMMYFUNCTION("""COMPUTED_VALUE"""),"CM2A")</f>
        <v>CM2A</v>
      </c>
      <c r="G250" s="1" t="str">
        <f ca="1">IFERROR(__xludf.DUMMYFUNCTION("""COMPUTED_VALUE"""),"CM2")</f>
        <v>CM2</v>
      </c>
      <c r="H250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250" s="1"/>
      <c r="J250" s="1"/>
      <c r="K250" s="1"/>
      <c r="L250" s="1"/>
      <c r="M250" s="1"/>
      <c r="N250" s="1" t="str">
        <f ca="1">IFERROR(__xludf.DUMMYFUNCTION("""COMPUTED_VALUE"""),"Garçon")</f>
        <v>Garçon</v>
      </c>
      <c r="O250" s="1"/>
      <c r="P250" s="1" t="str">
        <f ca="1">IFERROR(__xludf.DUMMYFUNCTION("""COMPUTED_VALUE"""),"SENEGAL")</f>
        <v>SENEGAL</v>
      </c>
      <c r="Q250" s="1"/>
      <c r="R250" s="1"/>
      <c r="S250" s="1"/>
      <c r="T250" s="1" t="str">
        <f ca="1">IFERROR(__xludf.DUMMYFUNCTION("""COMPUTED_VALUE"""),"GNAMY Mireille")</f>
        <v>GNAMY Mireille</v>
      </c>
      <c r="U250" s="1" t="str">
        <f ca="1">IFERROR(__xludf.DUMMYFUNCTION("""COMPUTED_VALUE"""),"GNAMY Emanuel")</f>
        <v>GNAMY Emanuel</v>
      </c>
      <c r="V250" s="1" t="str">
        <f ca="1">IFERROR(__xludf.DUMMYFUNCTION("""COMPUTED_VALUE"""),"slmtgabayen@hotmail.com")</f>
        <v>slmtgabayen@hotmail.com</v>
      </c>
      <c r="W250" s="1" t="str">
        <f ca="1">IFERROR(__xludf.DUMMYFUNCTION("""COMPUTED_VALUE"""),"emmanuel.gnamy@gmail.com")</f>
        <v>emmanuel.gnamy@gmail.com</v>
      </c>
      <c r="X250" s="1" t="str">
        <f ca="1">IFERROR(__xludf.DUMMYFUNCTION("""COMPUTED_VALUE"""),"+221 77 847 88 28")</f>
        <v>+221 77 847 88 28</v>
      </c>
      <c r="Y250" s="1" t="str">
        <f ca="1">IFERROR(__xludf.DUMMYFUNCTION("""COMPUTED_VALUE"""),"+221 77 847 88 28")</f>
        <v>+221 77 847 88 28</v>
      </c>
      <c r="Z250" s="1"/>
      <c r="AA250" s="1" t="str">
        <f ca="1">IFERROR(__xludf.DUMMYFUNCTION("""COMPUTED_VALUE"""),"+221 77 153 74 13")</f>
        <v>+221 77 153 74 13</v>
      </c>
      <c r="AB250" s="2">
        <f ca="1">IFERROR(__xludf.DUMMYFUNCTION("""COMPUTED_VALUE"""),28973)</f>
        <v>28973</v>
      </c>
      <c r="AC250" s="2">
        <f ca="1">IFERROR(__xludf.DUMMYFUNCTION("""COMPUTED_VALUE"""),29120)</f>
        <v>29120</v>
      </c>
      <c r="AD250" s="1" t="str">
        <f ca="1">IFERROR(__xludf.DUMMYFUNCTION("""COMPUTED_VALUE"""),"MERE")</f>
        <v>MERE</v>
      </c>
      <c r="AE250" s="1" t="str">
        <f ca="1">IFERROR(__xludf.DUMMYFUNCTION("""COMPUTED_VALUE"""),"PERE")</f>
        <v>PERE</v>
      </c>
      <c r="AF250" s="1" t="str">
        <f ca="1">IFERROR(__xludf.DUMMYFUNCTION("""COMPUTED_VALUE"""),"SENEGAL")</f>
        <v>SENEGAL</v>
      </c>
      <c r="AG250" s="1" t="str">
        <f ca="1">IFERROR(__xludf.DUMMYFUNCTION("""COMPUTED_VALUE"""),"SENEGAL")</f>
        <v>SENEGAL</v>
      </c>
      <c r="AH250" s="1"/>
      <c r="AI250" s="1"/>
      <c r="AJ250" s="1" t="str">
        <f ca="1">IFERROR(__xludf.DUMMYFUNCTION("""COMPUTED_VALUE"""),"F1338")</f>
        <v>F1338</v>
      </c>
      <c r="AK250" s="1" t="str">
        <f ca="1">IFERROR(__xludf.DUMMYFUNCTION("""COMPUTED_VALUE"""),"Marié(e)")</f>
        <v>Marié(e)</v>
      </c>
      <c r="AL250" s="1" t="str">
        <f ca="1">IFERROR(__xludf.DUMMYFUNCTION("""COMPUTED_VALUE"""),"Marié(e)")</f>
        <v>Marié(e)</v>
      </c>
      <c r="AM250" s="1" t="str">
        <f ca="1">IFERROR(__xludf.DUMMYFUNCTION("""COMPUTED_VALUE"""),"F1338")</f>
        <v>F1338</v>
      </c>
    </row>
    <row r="251" spans="1:39" ht="13" x14ac:dyDescent="0.15">
      <c r="A251" s="1" t="str">
        <f ca="1">IFERROR(__xludf.DUMMYFUNCTION("""COMPUTED_VALUE"""),"GNAMY Hakim")</f>
        <v>GNAMY Hakim</v>
      </c>
      <c r="B251" s="1" t="str">
        <f ca="1">IFERROR(__xludf.DUMMYFUNCTION("""COMPUTED_VALUE"""),"GNAMY")</f>
        <v>GNAMY</v>
      </c>
      <c r="C251" s="1" t="str">
        <f ca="1">IFERROR(__xludf.DUMMYFUNCTION("""COMPUTED_VALUE"""),"Hakim")</f>
        <v>Hakim</v>
      </c>
      <c r="D251" s="1" t="str">
        <f ca="1">IFERROR(__xludf.DUMMYFUNCTION("""COMPUTED_VALUE"""),"1338E1")</f>
        <v>1338E1</v>
      </c>
      <c r="E251" s="2">
        <f ca="1">IFERROR(__xludf.DUMMYFUNCTION("""COMPUTED_VALUE"""),40427)</f>
        <v>40427</v>
      </c>
      <c r="F251" s="1" t="str">
        <f ca="1">IFERROR(__xludf.DUMMYFUNCTION("""COMPUTED_VALUE"""),"2NDE2")</f>
        <v>2NDE2</v>
      </c>
      <c r="G251" s="1" t="str">
        <f ca="1">IFERROR(__xludf.DUMMYFUNCTION("""COMPUTED_VALUE"""),"2nde")</f>
        <v>2nde</v>
      </c>
      <c r="H251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251" s="1" t="str">
        <f ca="1">IFERROR(__xludf.DUMMYFUNCTION("""COMPUTED_VALUE"""),"LVA Anglais")</f>
        <v>LVA Anglais</v>
      </c>
      <c r="J251" s="1" t="str">
        <f ca="1">IFERROR(__xludf.DUMMYFUNCTION("""COMPUTED_VALUE"""),"LVB Espagnol")</f>
        <v>LVB Espagnol</v>
      </c>
      <c r="K251" s="1"/>
      <c r="L251" s="1"/>
      <c r="M251" s="1"/>
      <c r="N251" s="1" t="str">
        <f ca="1">IFERROR(__xludf.DUMMYFUNCTION("""COMPUTED_VALUE"""),"Garçon")</f>
        <v>Garçon</v>
      </c>
      <c r="O251" s="1"/>
      <c r="P251" s="1" t="str">
        <f ca="1">IFERROR(__xludf.DUMMYFUNCTION("""COMPUTED_VALUE"""),"SENEGAL")</f>
        <v>SENEGAL</v>
      </c>
      <c r="Q251" s="1"/>
      <c r="R251" s="1" t="str">
        <f ca="1">IFERROR(__xludf.DUMMYFUNCTION("""COMPUTED_VALUE"""),"hakim.gnamy@lfjpsaly.org")</f>
        <v>hakim.gnamy@lfjpsaly.org</v>
      </c>
      <c r="S251" s="1" t="str">
        <f ca="1">IFERROR(__xludf.DUMMYFUNCTION("""COMPUTED_VALUE"""),"+221")</f>
        <v>+221</v>
      </c>
      <c r="T251" s="1" t="str">
        <f ca="1">IFERROR(__xludf.DUMMYFUNCTION("""COMPUTED_VALUE"""),"GNAMY Mireille")</f>
        <v>GNAMY Mireille</v>
      </c>
      <c r="U251" s="1" t="str">
        <f ca="1">IFERROR(__xludf.DUMMYFUNCTION("""COMPUTED_VALUE"""),"GNAMY Emanuel")</f>
        <v>GNAMY Emanuel</v>
      </c>
      <c r="V251" s="1" t="str">
        <f ca="1">IFERROR(__xludf.DUMMYFUNCTION("""COMPUTED_VALUE"""),"slmtgabayen@hotmail.com")</f>
        <v>slmtgabayen@hotmail.com</v>
      </c>
      <c r="W251" s="1" t="str">
        <f ca="1">IFERROR(__xludf.DUMMYFUNCTION("""COMPUTED_VALUE"""),"emmanuel.gnamy@gmail.com")</f>
        <v>emmanuel.gnamy@gmail.com</v>
      </c>
      <c r="X251" s="1" t="str">
        <f ca="1">IFERROR(__xludf.DUMMYFUNCTION("""COMPUTED_VALUE"""),"+221 77 847 88 28")</f>
        <v>+221 77 847 88 28</v>
      </c>
      <c r="Y251" s="1" t="str">
        <f ca="1">IFERROR(__xludf.DUMMYFUNCTION("""COMPUTED_VALUE"""),"+221 77 847 88 28")</f>
        <v>+221 77 847 88 28</v>
      </c>
      <c r="Z251" s="1"/>
      <c r="AA251" s="1" t="str">
        <f ca="1">IFERROR(__xludf.DUMMYFUNCTION("""COMPUTED_VALUE"""),"+221 77 153 74 13")</f>
        <v>+221 77 153 74 13</v>
      </c>
      <c r="AB251" s="2">
        <f ca="1">IFERROR(__xludf.DUMMYFUNCTION("""COMPUTED_VALUE"""),28973)</f>
        <v>28973</v>
      </c>
      <c r="AC251" s="2">
        <f ca="1">IFERROR(__xludf.DUMMYFUNCTION("""COMPUTED_VALUE"""),29120)</f>
        <v>29120</v>
      </c>
      <c r="AD251" s="1" t="str">
        <f ca="1">IFERROR(__xludf.DUMMYFUNCTION("""COMPUTED_VALUE"""),"MERE")</f>
        <v>MERE</v>
      </c>
      <c r="AE251" s="1" t="str">
        <f ca="1">IFERROR(__xludf.DUMMYFUNCTION("""COMPUTED_VALUE"""),"PERE")</f>
        <v>PERE</v>
      </c>
      <c r="AF251" s="1" t="str">
        <f ca="1">IFERROR(__xludf.DUMMYFUNCTION("""COMPUTED_VALUE"""),"SENEGAL")</f>
        <v>SENEGAL</v>
      </c>
      <c r="AG251" s="1" t="str">
        <f ca="1">IFERROR(__xludf.DUMMYFUNCTION("""COMPUTED_VALUE"""),"SENEGAL")</f>
        <v>SENEGAL</v>
      </c>
      <c r="AH251" s="1"/>
      <c r="AI251" s="1"/>
      <c r="AJ251" s="1" t="str">
        <f ca="1">IFERROR(__xludf.DUMMYFUNCTION("""COMPUTED_VALUE"""),"F1338")</f>
        <v>F1338</v>
      </c>
      <c r="AK251" s="1" t="str">
        <f ca="1">IFERROR(__xludf.DUMMYFUNCTION("""COMPUTED_VALUE"""),"Marié(e)")</f>
        <v>Marié(e)</v>
      </c>
      <c r="AL251" s="1" t="str">
        <f ca="1">IFERROR(__xludf.DUMMYFUNCTION("""COMPUTED_VALUE"""),"Marié(e)")</f>
        <v>Marié(e)</v>
      </c>
      <c r="AM251" s="1" t="str">
        <f ca="1">IFERROR(__xludf.DUMMYFUNCTION("""COMPUTED_VALUE"""),"F1338")</f>
        <v>F1338</v>
      </c>
    </row>
    <row r="252" spans="1:39" ht="13" x14ac:dyDescent="0.15">
      <c r="A252" s="1" t="str">
        <f ca="1">IFERROR(__xludf.DUMMYFUNCTION("""COMPUTED_VALUE"""),"GNIANG Aby  Lydia")</f>
        <v>GNIANG Aby  Lydia</v>
      </c>
      <c r="B252" s="1" t="str">
        <f ca="1">IFERROR(__xludf.DUMMYFUNCTION("""COMPUTED_VALUE"""),"GNIANG")</f>
        <v>GNIANG</v>
      </c>
      <c r="C252" s="1" t="str">
        <f ca="1">IFERROR(__xludf.DUMMYFUNCTION("""COMPUTED_VALUE"""),"Aby  Lydia")</f>
        <v>Aby  Lydia</v>
      </c>
      <c r="D252" s="1" t="str">
        <f ca="1">IFERROR(__xludf.DUMMYFUNCTION("""COMPUTED_VALUE"""),"1339E1")</f>
        <v>1339E1</v>
      </c>
      <c r="E252" s="2">
        <f ca="1">IFERROR(__xludf.DUMMYFUNCTION("""COMPUTED_VALUE"""),40529)</f>
        <v>40529</v>
      </c>
      <c r="F252" s="1" t="str">
        <f ca="1">IFERROR(__xludf.DUMMYFUNCTION("""COMPUTED_VALUE"""),"2NDE2")</f>
        <v>2NDE2</v>
      </c>
      <c r="G252" s="1" t="str">
        <f ca="1">IFERROR(__xludf.DUMMYFUNCTION("""COMPUTED_VALUE"""),"2nde")</f>
        <v>2nde</v>
      </c>
      <c r="H252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252" s="1" t="str">
        <f ca="1">IFERROR(__xludf.DUMMYFUNCTION("""COMPUTED_VALUE"""),"LVA Anglais")</f>
        <v>LVA Anglais</v>
      </c>
      <c r="J252" s="1" t="str">
        <f ca="1">IFERROR(__xludf.DUMMYFUNCTION("""COMPUTED_VALUE"""),"LVB Espagnol")</f>
        <v>LVB Espagnol</v>
      </c>
      <c r="K252" s="1"/>
      <c r="L252" s="1"/>
      <c r="M252" s="1"/>
      <c r="N252" s="1" t="str">
        <f ca="1">IFERROR(__xludf.DUMMYFUNCTION("""COMPUTED_VALUE"""),"Fille")</f>
        <v>Fille</v>
      </c>
      <c r="O252" s="1"/>
      <c r="P252" s="1" t="str">
        <f ca="1">IFERROR(__xludf.DUMMYFUNCTION("""COMPUTED_VALUE"""),"FRANCE")</f>
        <v>FRANCE</v>
      </c>
      <c r="Q252" s="1" t="str">
        <f ca="1">IFERROR(__xludf.DUMMYFUNCTION("""COMPUTED_VALUE"""),"SENEGAL")</f>
        <v>SENEGAL</v>
      </c>
      <c r="R252" s="1" t="str">
        <f ca="1">IFERROR(__xludf.DUMMYFUNCTION("""COMPUTED_VALUE"""),"aby.gniang@lfjpsaly.org")</f>
        <v>aby.gniang@lfjpsaly.org</v>
      </c>
      <c r="S252" s="1" t="str">
        <f ca="1">IFERROR(__xludf.DUMMYFUNCTION("""COMPUTED_VALUE"""),"+221 77 768 98 30")</f>
        <v>+221 77 768 98 30</v>
      </c>
      <c r="T252" s="1" t="str">
        <f ca="1">IFERROR(__xludf.DUMMYFUNCTION("""COMPUTED_VALUE"""),"GNIANG El Hadji Malick")</f>
        <v>GNIANG El Hadji Malick</v>
      </c>
      <c r="U252" s="1" t="str">
        <f ca="1">IFERROR(__xludf.DUMMYFUNCTION("""COMPUTED_VALUE"""),"SELLARO Valentina")</f>
        <v>SELLARO Valentina</v>
      </c>
      <c r="V252" s="1" t="str">
        <f ca="1">IFERROR(__xludf.DUMMYFUNCTION("""COMPUTED_VALUE"""),"maamfall@hotmail.com")</f>
        <v>maamfall@hotmail.com</v>
      </c>
      <c r="W252" s="1" t="str">
        <f ca="1">IFERROR(__xludf.DUMMYFUNCTION("""COMPUTED_VALUE"""),"maamfall@hotmail.com")</f>
        <v>maamfall@hotmail.com</v>
      </c>
      <c r="X252" s="1" t="str">
        <f ca="1">IFERROR(__xludf.DUMMYFUNCTION("""COMPUTED_VALUE"""),"+221 77 768 98 30")</f>
        <v>+221 77 768 98 30</v>
      </c>
      <c r="Y252" s="1" t="str">
        <f ca="1">IFERROR(__xludf.DUMMYFUNCTION("""COMPUTED_VALUE"""),"+221 77 768 98 30")</f>
        <v>+221 77 768 98 30</v>
      </c>
      <c r="Z252" s="1"/>
      <c r="AA252" s="1"/>
      <c r="AB252" s="2">
        <f ca="1">IFERROR(__xludf.DUMMYFUNCTION("""COMPUTED_VALUE"""),24252)</f>
        <v>24252</v>
      </c>
      <c r="AC252" s="2">
        <f ca="1">IFERROR(__xludf.DUMMYFUNCTION("""COMPUTED_VALUE"""),26461)</f>
        <v>26461</v>
      </c>
      <c r="AD252" s="1" t="str">
        <f ca="1">IFERROR(__xludf.DUMMYFUNCTION("""COMPUTED_VALUE"""),"PERE")</f>
        <v>PERE</v>
      </c>
      <c r="AE252" s="1" t="str">
        <f ca="1">IFERROR(__xludf.DUMMYFUNCTION("""COMPUTED_VALUE"""),"MERE")</f>
        <v>MERE</v>
      </c>
      <c r="AF252" s="1" t="str">
        <f ca="1">IFERROR(__xludf.DUMMYFUNCTION("""COMPUTED_VALUE"""),"FRANCE")</f>
        <v>FRANCE</v>
      </c>
      <c r="AG252" s="1" t="str">
        <f ca="1">IFERROR(__xludf.DUMMYFUNCTION("""COMPUTED_VALUE"""),"ITALIE")</f>
        <v>ITALIE</v>
      </c>
      <c r="AH252" s="1" t="str">
        <f ca="1">IFERROR(__xludf.DUMMYFUNCTION("""COMPUTED_VALUE"""),"SENEGAL")</f>
        <v>SENEGAL</v>
      </c>
      <c r="AI252" s="1"/>
      <c r="AJ252" s="1" t="str">
        <f ca="1">IFERROR(__xludf.DUMMYFUNCTION("""COMPUTED_VALUE"""),"F1339")</f>
        <v>F1339</v>
      </c>
      <c r="AK252" s="1" t="str">
        <f ca="1">IFERROR(__xludf.DUMMYFUNCTION("""COMPUTED_VALUE"""),"CONCUBINAGE")</f>
        <v>CONCUBINAGE</v>
      </c>
      <c r="AL252" s="1" t="str">
        <f ca="1">IFERROR(__xludf.DUMMYFUNCTION("""COMPUTED_VALUE"""),"CONCUBINAGE")</f>
        <v>CONCUBINAGE</v>
      </c>
      <c r="AM252" s="1" t="str">
        <f ca="1">IFERROR(__xludf.DUMMYFUNCTION("""COMPUTED_VALUE"""),"F1339")</f>
        <v>F1339</v>
      </c>
    </row>
    <row r="253" spans="1:39" ht="13" x14ac:dyDescent="0.15">
      <c r="A253" s="1" t="str">
        <f ca="1">IFERROR(__xludf.DUMMYFUNCTION("""COMPUTED_VALUE"""),"GNING Maya  Aïssatou")</f>
        <v>GNING Maya  Aïssatou</v>
      </c>
      <c r="B253" s="1" t="str">
        <f ca="1">IFERROR(__xludf.DUMMYFUNCTION("""COMPUTED_VALUE"""),"GNING")</f>
        <v>GNING</v>
      </c>
      <c r="C253" s="1" t="str">
        <f ca="1">IFERROR(__xludf.DUMMYFUNCTION("""COMPUTED_VALUE"""),"Maya  Aïssatou")</f>
        <v>Maya  Aïssatou</v>
      </c>
      <c r="D253" s="1" t="str">
        <f ca="1">IFERROR(__xludf.DUMMYFUNCTION("""COMPUTED_VALUE"""),"1340E1")</f>
        <v>1340E1</v>
      </c>
      <c r="E253" s="2">
        <f ca="1">IFERROR(__xludf.DUMMYFUNCTION("""COMPUTED_VALUE"""),39960)</f>
        <v>39960</v>
      </c>
      <c r="F253" s="1" t="str">
        <f ca="1">IFERROR(__xludf.DUMMYFUNCTION("""COMPUTED_VALUE"""),"1ERE1")</f>
        <v>1ERE1</v>
      </c>
      <c r="G253" s="1" t="str">
        <f ca="1">IFERROR(__xludf.DUMMYFUNCTION("""COMPUTED_VALUE"""),"1ère")</f>
        <v>1ère</v>
      </c>
      <c r="H253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253" s="1" t="str">
        <f ca="1">IFERROR(__xludf.DUMMYFUNCTION("""COMPUTED_VALUE"""),"LVA Anglais")</f>
        <v>LVA Anglais</v>
      </c>
      <c r="J253" s="1" t="str">
        <f ca="1">IFERROR(__xludf.DUMMYFUNCTION("""COMPUTED_VALUE"""),"LVB Espagnol")</f>
        <v>LVB Espagnol</v>
      </c>
      <c r="K253" s="1"/>
      <c r="L253" s="1"/>
      <c r="M253" s="1" t="str">
        <f ca="1">IFERROR(__xludf.DUMMYFUNCTION("""COMPUTED_VALUE"""),"SPE HGGSP, SPE LLCE AMC, SPE MATHS")</f>
        <v>SPE HGGSP, SPE LLCE AMC, SPE MATHS</v>
      </c>
      <c r="N253" s="1" t="str">
        <f ca="1">IFERROR(__xludf.DUMMYFUNCTION("""COMPUTED_VALUE"""),"Fille")</f>
        <v>Fille</v>
      </c>
      <c r="O253" s="1"/>
      <c r="P253" s="1" t="str">
        <f ca="1">IFERROR(__xludf.DUMMYFUNCTION("""COMPUTED_VALUE"""),"FRANCE")</f>
        <v>FRANCE</v>
      </c>
      <c r="Q253" s="1" t="str">
        <f ca="1">IFERROR(__xludf.DUMMYFUNCTION("""COMPUTED_VALUE"""),"SENEGAL")</f>
        <v>SENEGAL</v>
      </c>
      <c r="R253" s="1" t="str">
        <f ca="1">IFERROR(__xludf.DUMMYFUNCTION("""COMPUTED_VALUE"""),"maya.gning@lfjpsaly.org")</f>
        <v>maya.gning@lfjpsaly.org</v>
      </c>
      <c r="S253" s="1" t="str">
        <f ca="1">IFERROR(__xludf.DUMMYFUNCTION("""COMPUTED_VALUE"""),"+221 77 169 83 50")</f>
        <v>+221 77 169 83 50</v>
      </c>
      <c r="T253" s="1" t="str">
        <f ca="1">IFERROR(__xludf.DUMMYFUNCTION("""COMPUTED_VALUE"""),"GNING Abdoulaye")</f>
        <v>GNING Abdoulaye</v>
      </c>
      <c r="U253" s="1" t="str">
        <f ca="1">IFERROR(__xludf.DUMMYFUNCTION("""COMPUTED_VALUE"""),"GNING Marina")</f>
        <v>GNING Marina</v>
      </c>
      <c r="V253" s="1" t="str">
        <f ca="1">IFERROR(__xludf.DUMMYFUNCTION("""COMPUTED_VALUE"""),"layekebe@gmail.com")</f>
        <v>layekebe@gmail.com</v>
      </c>
      <c r="W253" s="1" t="str">
        <f ca="1">IFERROR(__xludf.DUMMYFUNCTION("""COMPUTED_VALUE"""),"marina.gning@gmail.com")</f>
        <v>marina.gning@gmail.com</v>
      </c>
      <c r="X253" s="1" t="str">
        <f ca="1">IFERROR(__xludf.DUMMYFUNCTION("""COMPUTED_VALUE"""),"+221 78 544 93 76")</f>
        <v>+221 78 544 93 76</v>
      </c>
      <c r="Y253" s="1" t="str">
        <f ca="1">IFERROR(__xludf.DUMMYFUNCTION("""COMPUTED_VALUE"""),"+221 77 831 28 08")</f>
        <v>+221 77 831 28 08</v>
      </c>
      <c r="Z253" s="1" t="str">
        <f ca="1">IFERROR(__xludf.DUMMYFUNCTION("""COMPUTED_VALUE"""),"+221")</f>
        <v>+221</v>
      </c>
      <c r="AA253" s="1" t="str">
        <f ca="1">IFERROR(__xludf.DUMMYFUNCTION("""COMPUTED_VALUE"""),"+221")</f>
        <v>+221</v>
      </c>
      <c r="AB253" s="2">
        <f ca="1">IFERROR(__xludf.DUMMYFUNCTION("""COMPUTED_VALUE"""),26755)</f>
        <v>26755</v>
      </c>
      <c r="AC253" s="2">
        <f ca="1">IFERROR(__xludf.DUMMYFUNCTION("""COMPUTED_VALUE"""),28688)</f>
        <v>28688</v>
      </c>
      <c r="AD253" s="1" t="str">
        <f ca="1">IFERROR(__xludf.DUMMYFUNCTION("""COMPUTED_VALUE"""),"PERE")</f>
        <v>PERE</v>
      </c>
      <c r="AE253" s="1" t="str">
        <f ca="1">IFERROR(__xludf.DUMMYFUNCTION("""COMPUTED_VALUE"""),"MERE")</f>
        <v>MERE</v>
      </c>
      <c r="AF253" s="1" t="str">
        <f ca="1">IFERROR(__xludf.DUMMYFUNCTION("""COMPUTED_VALUE"""),"FRANCE")</f>
        <v>FRANCE</v>
      </c>
      <c r="AG253" s="1" t="str">
        <f ca="1">IFERROR(__xludf.DUMMYFUNCTION("""COMPUTED_VALUE"""),"FRANCE")</f>
        <v>FRANCE</v>
      </c>
      <c r="AH253" s="1" t="str">
        <f ca="1">IFERROR(__xludf.DUMMYFUNCTION("""COMPUTED_VALUE"""),"SENEGAL")</f>
        <v>SENEGAL</v>
      </c>
      <c r="AI253" s="1" t="str">
        <f ca="1">IFERROR(__xludf.DUMMYFUNCTION("""COMPUTED_VALUE"""),"SENEGAL")</f>
        <v>SENEGAL</v>
      </c>
      <c r="AJ253" s="1" t="str">
        <f ca="1">IFERROR(__xludf.DUMMYFUNCTION("""COMPUTED_VALUE"""),"F1340")</f>
        <v>F1340</v>
      </c>
      <c r="AK253" s="1" t="str">
        <f ca="1">IFERROR(__xludf.DUMMYFUNCTION("""COMPUTED_VALUE"""),"Marié(e)")</f>
        <v>Marié(e)</v>
      </c>
      <c r="AL253" s="1" t="str">
        <f ca="1">IFERROR(__xludf.DUMMYFUNCTION("""COMPUTED_VALUE"""),"Marié(e)")</f>
        <v>Marié(e)</v>
      </c>
      <c r="AM253" s="1" t="str">
        <f ca="1">IFERROR(__xludf.DUMMYFUNCTION("""COMPUTED_VALUE"""),"F1340")</f>
        <v>F1340</v>
      </c>
    </row>
    <row r="254" spans="1:39" ht="13" x14ac:dyDescent="0.15">
      <c r="A254" s="1" t="str">
        <f ca="1">IFERROR(__xludf.DUMMYFUNCTION("""COMPUTED_VALUE"""),"GOMES Jeanne Geneviève")</f>
        <v>GOMES Jeanne Geneviève</v>
      </c>
      <c r="B254" s="1" t="str">
        <f ca="1">IFERROR(__xludf.DUMMYFUNCTION("""COMPUTED_VALUE"""),"GOMES")</f>
        <v>GOMES</v>
      </c>
      <c r="C254" s="1" t="str">
        <f ca="1">IFERROR(__xludf.DUMMYFUNCTION("""COMPUTED_VALUE"""),"Jeanne Geneviève")</f>
        <v>Jeanne Geneviève</v>
      </c>
      <c r="D254" s="1" t="str">
        <f ca="1">IFERROR(__xludf.DUMMYFUNCTION("""COMPUTED_VALUE"""),"1341E1")</f>
        <v>1341E1</v>
      </c>
      <c r="E254" s="2">
        <f ca="1">IFERROR(__xludf.DUMMYFUNCTION("""COMPUTED_VALUE"""),41796)</f>
        <v>41796</v>
      </c>
      <c r="F254" s="1" t="str">
        <f ca="1">IFERROR(__xludf.DUMMYFUNCTION("""COMPUTED_VALUE"""),"CM2B")</f>
        <v>CM2B</v>
      </c>
      <c r="G254" s="1" t="str">
        <f ca="1">IFERROR(__xludf.DUMMYFUNCTION("""COMPUTED_VALUE"""),"CM2")</f>
        <v>CM2</v>
      </c>
      <c r="H254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254" s="1"/>
      <c r="J254" s="1"/>
      <c r="K254" s="1"/>
      <c r="L254" s="1"/>
      <c r="M254" s="1"/>
      <c r="N254" s="1" t="str">
        <f ca="1">IFERROR(__xludf.DUMMYFUNCTION("""COMPUTED_VALUE"""),"Fille")</f>
        <v>Fille</v>
      </c>
      <c r="O254" s="1"/>
      <c r="P254" s="1" t="str">
        <f ca="1">IFERROR(__xludf.DUMMYFUNCTION("""COMPUTED_VALUE"""),"SENEGAL")</f>
        <v>SENEGAL</v>
      </c>
      <c r="Q254" s="1" t="str">
        <f ca="1">IFERROR(__xludf.DUMMYFUNCTION("""COMPUTED_VALUE"""),"FRANCE")</f>
        <v>FRANCE</v>
      </c>
      <c r="R254" s="1"/>
      <c r="S254" s="1"/>
      <c r="T254" s="1" t="str">
        <f ca="1">IFERROR(__xludf.DUMMYFUNCTION("""COMPUTED_VALUE"""),"GOMES Emile")</f>
        <v>GOMES Emile</v>
      </c>
      <c r="U254" s="1" t="str">
        <f ca="1">IFERROR(__xludf.DUMMYFUNCTION("""COMPUTED_VALUE"""),"SOMMEIL Genevieve")</f>
        <v>SOMMEIL Genevieve</v>
      </c>
      <c r="V254" s="1" t="str">
        <f ca="1">IFERROR(__xludf.DUMMYFUNCTION("""COMPUTED_VALUE"""),"melissakabou.9355@gmail.com")</f>
        <v>melissakabou.9355@gmail.com</v>
      </c>
      <c r="W254" s="1" t="str">
        <f ca="1">IFERROR(__xludf.DUMMYFUNCTION("""COMPUTED_VALUE"""),"genevieve.sommeil@gmail.com")</f>
        <v>genevieve.sommeil@gmail.com</v>
      </c>
      <c r="X254" s="1" t="str">
        <f ca="1">IFERROR(__xludf.DUMMYFUNCTION("""COMPUTED_VALUE"""),"+221 77 646 39 71")</f>
        <v>+221 77 646 39 71</v>
      </c>
      <c r="Y254" s="1" t="str">
        <f ca="1">IFERROR(__xludf.DUMMYFUNCTION("""COMPUTED_VALUE"""),"+33 6 19 76 73 04")</f>
        <v>+33 6 19 76 73 04</v>
      </c>
      <c r="Z254" s="1" t="str">
        <f ca="1">IFERROR(__xludf.DUMMYFUNCTION("""COMPUTED_VALUE"""),"+221")</f>
        <v>+221</v>
      </c>
      <c r="AA254" s="1" t="str">
        <f ca="1">IFERROR(__xludf.DUMMYFUNCTION("""COMPUTED_VALUE"""),"+221 77 646 39 71")</f>
        <v>+221 77 646 39 71</v>
      </c>
      <c r="AB254" s="2">
        <f ca="1">IFERROR(__xludf.DUMMYFUNCTION("""COMPUTED_VALUE"""),32239)</f>
        <v>32239</v>
      </c>
      <c r="AC254" s="2">
        <f ca="1">IFERROR(__xludf.DUMMYFUNCTION("""COMPUTED_VALUE"""),23379)</f>
        <v>23379</v>
      </c>
      <c r="AD254" s="1" t="str">
        <f ca="1">IFERROR(__xludf.DUMMYFUNCTION("""COMPUTED_VALUE"""),"PERE")</f>
        <v>PERE</v>
      </c>
      <c r="AE254" s="1" t="str">
        <f ca="1">IFERROR(__xludf.DUMMYFUNCTION("""COMPUTED_VALUE"""),"MERE")</f>
        <v>MERE</v>
      </c>
      <c r="AF254" s="1" t="str">
        <f ca="1">IFERROR(__xludf.DUMMYFUNCTION("""COMPUTED_VALUE"""),"SENEGAL")</f>
        <v>SENEGAL</v>
      </c>
      <c r="AG254" s="1" t="str">
        <f ca="1">IFERROR(__xludf.DUMMYFUNCTION("""COMPUTED_VALUE"""),"FRANCE")</f>
        <v>FRANCE</v>
      </c>
      <c r="AH254" s="1" t="str">
        <f ca="1">IFERROR(__xludf.DUMMYFUNCTION("""COMPUTED_VALUE"""),"FRANCE")</f>
        <v>FRANCE</v>
      </c>
      <c r="AI254" s="1"/>
      <c r="AJ254" s="1" t="str">
        <f ca="1">IFERROR(__xludf.DUMMYFUNCTION("""COMPUTED_VALUE"""),"F1341")</f>
        <v>F1341</v>
      </c>
      <c r="AK254" s="1" t="str">
        <f ca="1">IFERROR(__xludf.DUMMYFUNCTION("""COMPUTED_VALUE"""),"Célibataire")</f>
        <v>Célibataire</v>
      </c>
      <c r="AL254" s="1" t="str">
        <f ca="1">IFERROR(__xludf.DUMMYFUNCTION("""COMPUTED_VALUE"""),"Marié(e)")</f>
        <v>Marié(e)</v>
      </c>
      <c r="AM254" s="1" t="str">
        <f ca="1">IFERROR(__xludf.DUMMYFUNCTION("""COMPUTED_VALUE"""),"F1341")</f>
        <v>F1341</v>
      </c>
    </row>
    <row r="255" spans="1:39" ht="13" x14ac:dyDescent="0.15">
      <c r="A255" s="1" t="str">
        <f ca="1">IFERROR(__xludf.DUMMYFUNCTION("""COMPUTED_VALUE"""),"GOMIS Antoine")</f>
        <v>GOMIS Antoine</v>
      </c>
      <c r="B255" s="1" t="str">
        <f ca="1">IFERROR(__xludf.DUMMYFUNCTION("""COMPUTED_VALUE"""),"GOMIS")</f>
        <v>GOMIS</v>
      </c>
      <c r="C255" s="1" t="str">
        <f ca="1">IFERROR(__xludf.DUMMYFUNCTION("""COMPUTED_VALUE"""),"Antoine")</f>
        <v>Antoine</v>
      </c>
      <c r="D255" s="1" t="str">
        <f ca="1">IFERROR(__xludf.DUMMYFUNCTION("""COMPUTED_VALUE"""),"1342E1")</f>
        <v>1342E1</v>
      </c>
      <c r="E255" s="2">
        <f ca="1">IFERROR(__xludf.DUMMYFUNCTION("""COMPUTED_VALUE"""),42080)</f>
        <v>42080</v>
      </c>
      <c r="F255" s="1" t="str">
        <f ca="1">IFERROR(__xludf.DUMMYFUNCTION("""COMPUTED_VALUE"""),"CM2B")</f>
        <v>CM2B</v>
      </c>
      <c r="G255" s="1" t="str">
        <f ca="1">IFERROR(__xludf.DUMMYFUNCTION("""COMPUTED_VALUE"""),"CM2")</f>
        <v>CM2</v>
      </c>
      <c r="H255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255" s="1"/>
      <c r="J255" s="1"/>
      <c r="K255" s="1"/>
      <c r="L255" s="1"/>
      <c r="M255" s="1"/>
      <c r="N255" s="1" t="str">
        <f ca="1">IFERROR(__xludf.DUMMYFUNCTION("""COMPUTED_VALUE"""),"Garçon")</f>
        <v>Garçon</v>
      </c>
      <c r="O255" s="1"/>
      <c r="P255" s="1" t="str">
        <f ca="1">IFERROR(__xludf.DUMMYFUNCTION("""COMPUTED_VALUE"""),"FRANCE")</f>
        <v>FRANCE</v>
      </c>
      <c r="Q255" s="1"/>
      <c r="R255" s="1"/>
      <c r="S255" s="1"/>
      <c r="T255" s="1" t="str">
        <f ca="1">IFERROR(__xludf.DUMMYFUNCTION("""COMPUTED_VALUE"""),"GOMIS Charles")</f>
        <v>GOMIS Charles</v>
      </c>
      <c r="U255" s="1" t="str">
        <f ca="1">IFERROR(__xludf.DUMMYFUNCTION("""COMPUTED_VALUE"""),"GOMIS Rokhaya")</f>
        <v>GOMIS Rokhaya</v>
      </c>
      <c r="V255" s="1" t="str">
        <f ca="1">IFERROR(__xludf.DUMMYFUNCTION("""COMPUTED_VALUE"""),"charlesandregomis@gmail.com")</f>
        <v>charlesandregomis@gmail.com</v>
      </c>
      <c r="W255" s="1" t="str">
        <f ca="1">IFERROR(__xludf.DUMMYFUNCTION("""COMPUTED_VALUE"""),"rokhayagomis@gmail.com")</f>
        <v>rokhayagomis@gmail.com</v>
      </c>
      <c r="X255" s="1" t="str">
        <f ca="1">IFERROR(__xludf.DUMMYFUNCTION("""COMPUTED_VALUE"""),"+221 78 521 00 84")</f>
        <v>+221 78 521 00 84</v>
      </c>
      <c r="Y255" s="1" t="str">
        <f ca="1">IFERROR(__xludf.DUMMYFUNCTION("""COMPUTED_VALUE"""),"+33 6 18 25 92 29")</f>
        <v>+33 6 18 25 92 29</v>
      </c>
      <c r="Z255" s="1"/>
      <c r="AA255" s="1"/>
      <c r="AB255" s="2">
        <f ca="1">IFERROR(__xludf.DUMMYFUNCTION("""COMPUTED_VALUE"""),28860)</f>
        <v>28860</v>
      </c>
      <c r="AC255" s="1"/>
      <c r="AD255" s="1" t="str">
        <f ca="1">IFERROR(__xludf.DUMMYFUNCTION("""COMPUTED_VALUE"""),"PERE")</f>
        <v>PERE</v>
      </c>
      <c r="AE255" s="1" t="str">
        <f ca="1">IFERROR(__xludf.DUMMYFUNCTION("""COMPUTED_VALUE"""),"MERE")</f>
        <v>MERE</v>
      </c>
      <c r="AF255" s="1" t="str">
        <f ca="1">IFERROR(__xludf.DUMMYFUNCTION("""COMPUTED_VALUE"""),"FRANCE")</f>
        <v>FRANCE</v>
      </c>
      <c r="AG255" s="1" t="str">
        <f ca="1">IFERROR(__xludf.DUMMYFUNCTION("""COMPUTED_VALUE"""),"FRANCE")</f>
        <v>FRANCE</v>
      </c>
      <c r="AH255" s="1" t="str">
        <f ca="1">IFERROR(__xludf.DUMMYFUNCTION("""COMPUTED_VALUE"""),"SENEGAL")</f>
        <v>SENEGAL</v>
      </c>
      <c r="AI255" s="1" t="str">
        <f ca="1">IFERROR(__xludf.DUMMYFUNCTION("""COMPUTED_VALUE"""),"SENEGAL")</f>
        <v>SENEGAL</v>
      </c>
      <c r="AJ255" s="1" t="str">
        <f ca="1">IFERROR(__xludf.DUMMYFUNCTION("""COMPUTED_VALUE"""),"F1342")</f>
        <v>F1342</v>
      </c>
      <c r="AK255" s="1" t="str">
        <f ca="1">IFERROR(__xludf.DUMMYFUNCTION("""COMPUTED_VALUE"""),"Marié(e)")</f>
        <v>Marié(e)</v>
      </c>
      <c r="AL255" s="1" t="str">
        <f ca="1">IFERROR(__xludf.DUMMYFUNCTION("""COMPUTED_VALUE"""),"Marié(e)")</f>
        <v>Marié(e)</v>
      </c>
      <c r="AM255" s="1" t="str">
        <f ca="1">IFERROR(__xludf.DUMMYFUNCTION("""COMPUTED_VALUE"""),"F1342")</f>
        <v>F1342</v>
      </c>
    </row>
    <row r="256" spans="1:39" ht="13" x14ac:dyDescent="0.15">
      <c r="A256" s="1" t="str">
        <f ca="1">IFERROR(__xludf.DUMMYFUNCTION("""COMPUTED_VALUE"""),"GOMIS Sophie")</f>
        <v>GOMIS Sophie</v>
      </c>
      <c r="B256" s="1" t="str">
        <f ca="1">IFERROR(__xludf.DUMMYFUNCTION("""COMPUTED_VALUE"""),"GOMIS")</f>
        <v>GOMIS</v>
      </c>
      <c r="C256" s="1" t="str">
        <f ca="1">IFERROR(__xludf.DUMMYFUNCTION("""COMPUTED_VALUE"""),"Sophie")</f>
        <v>Sophie</v>
      </c>
      <c r="D256" s="1" t="str">
        <f ca="1">IFERROR(__xludf.DUMMYFUNCTION("""COMPUTED_VALUE"""),"1342E2")</f>
        <v>1342E2</v>
      </c>
      <c r="E256" s="2">
        <f ca="1">IFERROR(__xludf.DUMMYFUNCTION("""COMPUTED_VALUE"""),40955)</f>
        <v>40955</v>
      </c>
      <c r="F256" s="1" t="str">
        <f ca="1">IFERROR(__xludf.DUMMYFUNCTION("""COMPUTED_VALUE"""),"4EME2")</f>
        <v>4EME2</v>
      </c>
      <c r="G256" s="1" t="str">
        <f ca="1">IFERROR(__xludf.DUMMYFUNCTION("""COMPUTED_VALUE"""),"4ème")</f>
        <v>4ème</v>
      </c>
      <c r="H256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256" s="1" t="str">
        <f ca="1">IFERROR(__xludf.DUMMYFUNCTION("""COMPUTED_VALUE"""),"LVA Anglais")</f>
        <v>LVA Anglais</v>
      </c>
      <c r="J256" s="1" t="str">
        <f ca="1">IFERROR(__xludf.DUMMYFUNCTION("""COMPUTED_VALUE"""),"LVB Espagnol")</f>
        <v>LVB Espagnol</v>
      </c>
      <c r="K256" s="1"/>
      <c r="L256" s="1"/>
      <c r="M256" s="1"/>
      <c r="N256" s="1" t="str">
        <f ca="1">IFERROR(__xludf.DUMMYFUNCTION("""COMPUTED_VALUE"""),"Fille")</f>
        <v>Fille</v>
      </c>
      <c r="O256" s="1"/>
      <c r="P256" s="1" t="str">
        <f ca="1">IFERROR(__xludf.DUMMYFUNCTION("""COMPUTED_VALUE"""),"FRANCE")</f>
        <v>FRANCE</v>
      </c>
      <c r="Q256" s="1"/>
      <c r="R256" s="1" t="str">
        <f ca="1">IFERROR(__xludf.DUMMYFUNCTION("""COMPUTED_VALUE"""),"sophie.gomis@lfjpsaly.org")</f>
        <v>sophie.gomis@lfjpsaly.org</v>
      </c>
      <c r="S256" s="1"/>
      <c r="T256" s="1" t="str">
        <f ca="1">IFERROR(__xludf.DUMMYFUNCTION("""COMPUTED_VALUE"""),"GOMIS Charles")</f>
        <v>GOMIS Charles</v>
      </c>
      <c r="U256" s="1" t="str">
        <f ca="1">IFERROR(__xludf.DUMMYFUNCTION("""COMPUTED_VALUE"""),"GOMIS Rokhaya")</f>
        <v>GOMIS Rokhaya</v>
      </c>
      <c r="V256" s="1" t="str">
        <f ca="1">IFERROR(__xludf.DUMMYFUNCTION("""COMPUTED_VALUE"""),"charlesandregomis@gmail.com")</f>
        <v>charlesandregomis@gmail.com</v>
      </c>
      <c r="W256" s="1" t="str">
        <f ca="1">IFERROR(__xludf.DUMMYFUNCTION("""COMPUTED_VALUE"""),"rokhayagomis@gmail.com")</f>
        <v>rokhayagomis@gmail.com</v>
      </c>
      <c r="X256" s="1" t="str">
        <f ca="1">IFERROR(__xludf.DUMMYFUNCTION("""COMPUTED_VALUE"""),"+221 78 521 00 84")</f>
        <v>+221 78 521 00 84</v>
      </c>
      <c r="Y256" s="1" t="str">
        <f ca="1">IFERROR(__xludf.DUMMYFUNCTION("""COMPUTED_VALUE"""),"+33 6 18 25 92 29")</f>
        <v>+33 6 18 25 92 29</v>
      </c>
      <c r="Z256" s="1"/>
      <c r="AA256" s="1"/>
      <c r="AB256" s="2">
        <f ca="1">IFERROR(__xludf.DUMMYFUNCTION("""COMPUTED_VALUE"""),28860)</f>
        <v>28860</v>
      </c>
      <c r="AC256" s="1"/>
      <c r="AD256" s="1" t="str">
        <f ca="1">IFERROR(__xludf.DUMMYFUNCTION("""COMPUTED_VALUE"""),"PERE")</f>
        <v>PERE</v>
      </c>
      <c r="AE256" s="1" t="str">
        <f ca="1">IFERROR(__xludf.DUMMYFUNCTION("""COMPUTED_VALUE"""),"MERE")</f>
        <v>MERE</v>
      </c>
      <c r="AF256" s="1" t="str">
        <f ca="1">IFERROR(__xludf.DUMMYFUNCTION("""COMPUTED_VALUE"""),"FRANCE")</f>
        <v>FRANCE</v>
      </c>
      <c r="AG256" s="1" t="str">
        <f ca="1">IFERROR(__xludf.DUMMYFUNCTION("""COMPUTED_VALUE"""),"FRANCE")</f>
        <v>FRANCE</v>
      </c>
      <c r="AH256" s="1" t="str">
        <f ca="1">IFERROR(__xludf.DUMMYFUNCTION("""COMPUTED_VALUE"""),"SENEGAL")</f>
        <v>SENEGAL</v>
      </c>
      <c r="AI256" s="1" t="str">
        <f ca="1">IFERROR(__xludf.DUMMYFUNCTION("""COMPUTED_VALUE"""),"SENEGAL")</f>
        <v>SENEGAL</v>
      </c>
      <c r="AJ256" s="1" t="str">
        <f ca="1">IFERROR(__xludf.DUMMYFUNCTION("""COMPUTED_VALUE"""),"F1342")</f>
        <v>F1342</v>
      </c>
      <c r="AK256" s="1" t="str">
        <f ca="1">IFERROR(__xludf.DUMMYFUNCTION("""COMPUTED_VALUE"""),"Marié(e)")</f>
        <v>Marié(e)</v>
      </c>
      <c r="AL256" s="1" t="str">
        <f ca="1">IFERROR(__xludf.DUMMYFUNCTION("""COMPUTED_VALUE"""),"Marié(e)")</f>
        <v>Marié(e)</v>
      </c>
      <c r="AM256" s="1" t="str">
        <f ca="1">IFERROR(__xludf.DUMMYFUNCTION("""COMPUTED_VALUE"""),"F1342")</f>
        <v>F1342</v>
      </c>
    </row>
    <row r="257" spans="1:39" ht="13" x14ac:dyDescent="0.15">
      <c r="A257" s="1" t="str">
        <f ca="1">IFERROR(__xludf.DUMMYFUNCTION("""COMPUTED_VALUE"""),"GONZALEZ Diego")</f>
        <v>GONZALEZ Diego</v>
      </c>
      <c r="B257" s="1" t="str">
        <f ca="1">IFERROR(__xludf.DUMMYFUNCTION("""COMPUTED_VALUE"""),"GONZALEZ")</f>
        <v>GONZALEZ</v>
      </c>
      <c r="C257" s="1" t="str">
        <f ca="1">IFERROR(__xludf.DUMMYFUNCTION("""COMPUTED_VALUE"""),"Diego")</f>
        <v>Diego</v>
      </c>
      <c r="D257" s="1" t="str">
        <f ca="1">IFERROR(__xludf.DUMMYFUNCTION("""COMPUTED_VALUE"""),"1343E1")</f>
        <v>1343E1</v>
      </c>
      <c r="E257" s="2">
        <f ca="1">IFERROR(__xludf.DUMMYFUNCTION("""COMPUTED_VALUE"""),42878)</f>
        <v>42878</v>
      </c>
      <c r="F257" s="1" t="str">
        <f ca="1">IFERROR(__xludf.DUMMYFUNCTION("""COMPUTED_VALUE"""),"CE2")</f>
        <v>CE2</v>
      </c>
      <c r="G257" s="1" t="str">
        <f ca="1">IFERROR(__xludf.DUMMYFUNCTION("""COMPUTED_VALUE"""),"CE2")</f>
        <v>CE2</v>
      </c>
      <c r="H257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257" s="1"/>
      <c r="J257" s="1"/>
      <c r="K257" s="1"/>
      <c r="L257" s="1"/>
      <c r="M257" s="1"/>
      <c r="N257" s="1" t="str">
        <f ca="1">IFERROR(__xludf.DUMMYFUNCTION("""COMPUTED_VALUE"""),"Garçon")</f>
        <v>Garçon</v>
      </c>
      <c r="O257" s="1"/>
      <c r="P257" s="1" t="str">
        <f ca="1">IFERROR(__xludf.DUMMYFUNCTION("""COMPUTED_VALUE"""),"FRANCE")</f>
        <v>FRANCE</v>
      </c>
      <c r="Q257" s="1" t="str">
        <f ca="1">IFERROR(__xludf.DUMMYFUNCTION("""COMPUTED_VALUE"""),"ESPAGNE")</f>
        <v>ESPAGNE</v>
      </c>
      <c r="R257" s="1"/>
      <c r="S257" s="1"/>
      <c r="T257" s="1" t="str">
        <f ca="1">IFERROR(__xludf.DUMMYFUNCTION("""COMPUTED_VALUE"""),"KASSEM Mirvette")</f>
        <v>KASSEM Mirvette</v>
      </c>
      <c r="U257" s="1" t="str">
        <f ca="1">IFERROR(__xludf.DUMMYFUNCTION("""COMPUTED_VALUE"""),"GONZALEZ Alfonso")</f>
        <v>GONZALEZ Alfonso</v>
      </c>
      <c r="V257" s="1" t="str">
        <f ca="1">IFERROR(__xludf.DUMMYFUNCTION("""COMPUTED_VALUE"""),"mirvette1905@hotmail.com")</f>
        <v>mirvette1905@hotmail.com</v>
      </c>
      <c r="W257" s="1" t="str">
        <f ca="1">IFERROR(__xludf.DUMMYFUNCTION("""COMPUTED_VALUE"""),"alfonsogleza@yahoo.es")</f>
        <v>alfonsogleza@yahoo.es</v>
      </c>
      <c r="X257" s="1" t="str">
        <f ca="1">IFERROR(__xludf.DUMMYFUNCTION("""COMPUTED_VALUE"""),"776398213")</f>
        <v>776398213</v>
      </c>
      <c r="Y257" s="1" t="str">
        <f ca="1">IFERROR(__xludf.DUMMYFUNCTION("""COMPUTED_VALUE"""),"775692387")</f>
        <v>775692387</v>
      </c>
      <c r="Z257" s="1" t="str">
        <f ca="1">IFERROR(__xludf.DUMMYFUNCTION("""COMPUTED_VALUE"""),"+221 77 639 82 13")</f>
        <v>+221 77 639 82 13</v>
      </c>
      <c r="AA257" s="1" t="str">
        <f ca="1">IFERROR(__xludf.DUMMYFUNCTION("""COMPUTED_VALUE"""),"+221 77 569 23 87")</f>
        <v>+221 77 569 23 87</v>
      </c>
      <c r="AB257" s="2">
        <f ca="1">IFERROR(__xludf.DUMMYFUNCTION("""COMPUTED_VALUE"""),28994)</f>
        <v>28994</v>
      </c>
      <c r="AC257" s="2">
        <f ca="1">IFERROR(__xludf.DUMMYFUNCTION("""COMPUTED_VALUE"""),27355)</f>
        <v>27355</v>
      </c>
      <c r="AD257" s="1" t="str">
        <f ca="1">IFERROR(__xludf.DUMMYFUNCTION("""COMPUTED_VALUE"""),"MERE")</f>
        <v>MERE</v>
      </c>
      <c r="AE257" s="1" t="str">
        <f ca="1">IFERROR(__xludf.DUMMYFUNCTION("""COMPUTED_VALUE"""),"PERE")</f>
        <v>PERE</v>
      </c>
      <c r="AF257" s="1" t="str">
        <f ca="1">IFERROR(__xludf.DUMMYFUNCTION("""COMPUTED_VALUE"""),"FRANCE")</f>
        <v>FRANCE</v>
      </c>
      <c r="AG257" s="1" t="str">
        <f ca="1">IFERROR(__xludf.DUMMYFUNCTION("""COMPUTED_VALUE"""),"ESPAGNE")</f>
        <v>ESPAGNE</v>
      </c>
      <c r="AH257" s="1"/>
      <c r="AI257" s="1"/>
      <c r="AJ257" s="1" t="str">
        <f ca="1">IFERROR(__xludf.DUMMYFUNCTION("""COMPUTED_VALUE"""),"F1343")</f>
        <v>F1343</v>
      </c>
      <c r="AK257" s="1" t="str">
        <f ca="1">IFERROR(__xludf.DUMMYFUNCTION("""COMPUTED_VALUE"""),"Marié(e)")</f>
        <v>Marié(e)</v>
      </c>
      <c r="AL257" s="1" t="str">
        <f ca="1">IFERROR(__xludf.DUMMYFUNCTION("""COMPUTED_VALUE"""),"Marié(e)")</f>
        <v>Marié(e)</v>
      </c>
      <c r="AM257" s="1" t="str">
        <f ca="1">IFERROR(__xludf.DUMMYFUNCTION("""COMPUTED_VALUE"""),"F1343")</f>
        <v>F1343</v>
      </c>
    </row>
    <row r="258" spans="1:39" ht="13" x14ac:dyDescent="0.15">
      <c r="A258" s="1" t="str">
        <f ca="1">IFERROR(__xludf.DUMMYFUNCTION("""COMPUTED_VALUE"""),"GONZALEZ Lorenzo")</f>
        <v>GONZALEZ Lorenzo</v>
      </c>
      <c r="B258" s="1" t="str">
        <f ca="1">IFERROR(__xludf.DUMMYFUNCTION("""COMPUTED_VALUE"""),"GONZALEZ")</f>
        <v>GONZALEZ</v>
      </c>
      <c r="C258" s="1" t="str">
        <f ca="1">IFERROR(__xludf.DUMMYFUNCTION("""COMPUTED_VALUE"""),"Lorenzo")</f>
        <v>Lorenzo</v>
      </c>
      <c r="D258" s="1" t="str">
        <f ca="1">IFERROR(__xludf.DUMMYFUNCTION("""COMPUTED_VALUE"""),"1343E2")</f>
        <v>1343E2</v>
      </c>
      <c r="E258" s="2">
        <f ca="1">IFERROR(__xludf.DUMMYFUNCTION("""COMPUTED_VALUE"""),41905)</f>
        <v>41905</v>
      </c>
      <c r="F258" s="1" t="str">
        <f ca="1">IFERROR(__xludf.DUMMYFUNCTION("""COMPUTED_VALUE"""),"6EME1")</f>
        <v>6EME1</v>
      </c>
      <c r="G258" s="1" t="str">
        <f ca="1">IFERROR(__xludf.DUMMYFUNCTION("""COMPUTED_VALUE"""),"6ème")</f>
        <v>6ème</v>
      </c>
      <c r="H258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258" s="1" t="str">
        <f ca="1">IFERROR(__xludf.DUMMYFUNCTION("""COMPUTED_VALUE"""),"LVA Anglais")</f>
        <v>LVA Anglais</v>
      </c>
      <c r="J258" s="1" t="str">
        <f ca="1">IFERROR(__xludf.DUMMYFUNCTION("""COMPUTED_VALUE"""),"LVB Espagnol")</f>
        <v>LVB Espagnol</v>
      </c>
      <c r="K258" s="1"/>
      <c r="L258" s="1"/>
      <c r="M258" s="1"/>
      <c r="N258" s="1" t="str">
        <f ca="1">IFERROR(__xludf.DUMMYFUNCTION("""COMPUTED_VALUE"""),"Garçon")</f>
        <v>Garçon</v>
      </c>
      <c r="O258" s="1"/>
      <c r="P258" s="1" t="str">
        <f ca="1">IFERROR(__xludf.DUMMYFUNCTION("""COMPUTED_VALUE"""),"FRANCE")</f>
        <v>FRANCE</v>
      </c>
      <c r="Q258" s="1" t="str">
        <f ca="1">IFERROR(__xludf.DUMMYFUNCTION("""COMPUTED_VALUE"""),"ESPAGNE")</f>
        <v>ESPAGNE</v>
      </c>
      <c r="R258" s="1" t="str">
        <f ca="1">IFERROR(__xludf.DUMMYFUNCTION("""COMPUTED_VALUE"""),"lorenzo.gonzalez@lfjpsaly.org")</f>
        <v>lorenzo.gonzalez@lfjpsaly.org</v>
      </c>
      <c r="S258" s="1" t="str">
        <f ca="1">IFERROR(__xludf.DUMMYFUNCTION("""COMPUTED_VALUE"""),"+221 77 639 82 13")</f>
        <v>+221 77 639 82 13</v>
      </c>
      <c r="T258" s="1" t="str">
        <f ca="1">IFERROR(__xludf.DUMMYFUNCTION("""COMPUTED_VALUE"""),"KASSEM Mirvette")</f>
        <v>KASSEM Mirvette</v>
      </c>
      <c r="U258" s="1" t="str">
        <f ca="1">IFERROR(__xludf.DUMMYFUNCTION("""COMPUTED_VALUE"""),"GONZALEZ Alfonso")</f>
        <v>GONZALEZ Alfonso</v>
      </c>
      <c r="V258" s="1" t="str">
        <f ca="1">IFERROR(__xludf.DUMMYFUNCTION("""COMPUTED_VALUE"""),"mirvette1905@hotmail.com")</f>
        <v>mirvette1905@hotmail.com</v>
      </c>
      <c r="W258" s="1" t="str">
        <f ca="1">IFERROR(__xludf.DUMMYFUNCTION("""COMPUTED_VALUE"""),"alfonsogleza@yahoo.es")</f>
        <v>alfonsogleza@yahoo.es</v>
      </c>
      <c r="X258" s="1" t="str">
        <f ca="1">IFERROR(__xludf.DUMMYFUNCTION("""COMPUTED_VALUE"""),"776398213")</f>
        <v>776398213</v>
      </c>
      <c r="Y258" s="1" t="str">
        <f ca="1">IFERROR(__xludf.DUMMYFUNCTION("""COMPUTED_VALUE"""),"775692387")</f>
        <v>775692387</v>
      </c>
      <c r="Z258" s="1" t="str">
        <f ca="1">IFERROR(__xludf.DUMMYFUNCTION("""COMPUTED_VALUE"""),"+221 77 639 82 13")</f>
        <v>+221 77 639 82 13</v>
      </c>
      <c r="AA258" s="1" t="str">
        <f ca="1">IFERROR(__xludf.DUMMYFUNCTION("""COMPUTED_VALUE"""),"+221 77 569 23 87")</f>
        <v>+221 77 569 23 87</v>
      </c>
      <c r="AB258" s="2">
        <f ca="1">IFERROR(__xludf.DUMMYFUNCTION("""COMPUTED_VALUE"""),28994)</f>
        <v>28994</v>
      </c>
      <c r="AC258" s="2">
        <f ca="1">IFERROR(__xludf.DUMMYFUNCTION("""COMPUTED_VALUE"""),27355)</f>
        <v>27355</v>
      </c>
      <c r="AD258" s="1" t="str">
        <f ca="1">IFERROR(__xludf.DUMMYFUNCTION("""COMPUTED_VALUE"""),"MERE")</f>
        <v>MERE</v>
      </c>
      <c r="AE258" s="1" t="str">
        <f ca="1">IFERROR(__xludf.DUMMYFUNCTION("""COMPUTED_VALUE"""),"PERE")</f>
        <v>PERE</v>
      </c>
      <c r="AF258" s="1" t="str">
        <f ca="1">IFERROR(__xludf.DUMMYFUNCTION("""COMPUTED_VALUE"""),"FRANCE")</f>
        <v>FRANCE</v>
      </c>
      <c r="AG258" s="1" t="str">
        <f ca="1">IFERROR(__xludf.DUMMYFUNCTION("""COMPUTED_VALUE"""),"ESPAGNE")</f>
        <v>ESPAGNE</v>
      </c>
      <c r="AH258" s="1"/>
      <c r="AI258" s="1"/>
      <c r="AJ258" s="1" t="str">
        <f ca="1">IFERROR(__xludf.DUMMYFUNCTION("""COMPUTED_VALUE"""),"F1343")</f>
        <v>F1343</v>
      </c>
      <c r="AK258" s="1" t="str">
        <f ca="1">IFERROR(__xludf.DUMMYFUNCTION("""COMPUTED_VALUE"""),"Marié(e)")</f>
        <v>Marié(e)</v>
      </c>
      <c r="AL258" s="1" t="str">
        <f ca="1">IFERROR(__xludf.DUMMYFUNCTION("""COMPUTED_VALUE"""),"Marié(e)")</f>
        <v>Marié(e)</v>
      </c>
      <c r="AM258" s="1" t="str">
        <f ca="1">IFERROR(__xludf.DUMMYFUNCTION("""COMPUTED_VALUE"""),"F1343")</f>
        <v>F1343</v>
      </c>
    </row>
    <row r="259" spans="1:39" ht="13" x14ac:dyDescent="0.15">
      <c r="A259" s="1" t="str">
        <f ca="1">IFERROR(__xludf.DUMMYFUNCTION("""COMPUTED_VALUE"""),"GOUDIABY Joëlle Marie Prisca")</f>
        <v>GOUDIABY Joëlle Marie Prisca</v>
      </c>
      <c r="B259" s="1" t="str">
        <f ca="1">IFERROR(__xludf.DUMMYFUNCTION("""COMPUTED_VALUE"""),"GOUDIABY")</f>
        <v>GOUDIABY</v>
      </c>
      <c r="C259" s="1" t="str">
        <f ca="1">IFERROR(__xludf.DUMMYFUNCTION("""COMPUTED_VALUE"""),"Joëlle Marie Prisca")</f>
        <v>Joëlle Marie Prisca</v>
      </c>
      <c r="D259" s="1" t="str">
        <f ca="1">IFERROR(__xludf.DUMMYFUNCTION("""COMPUTED_VALUE"""),"11904S2801")</f>
        <v>11904S2801</v>
      </c>
      <c r="E259" s="2">
        <f ca="1">IFERROR(__xludf.DUMMYFUNCTION("""COMPUTED_VALUE"""),43730)</f>
        <v>43730</v>
      </c>
      <c r="F259" s="1" t="str">
        <f ca="1">IFERROR(__xludf.DUMMYFUNCTION("""COMPUTED_VALUE"""),"CP-CE2")</f>
        <v>CP-CE2</v>
      </c>
      <c r="G259" s="1" t="str">
        <f ca="1">IFERROR(__xludf.DUMMYFUNCTION("""COMPUTED_VALUE"""),"CP")</f>
        <v>CP</v>
      </c>
      <c r="H259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259" s="1"/>
      <c r="J259" s="1"/>
      <c r="K259" s="1"/>
      <c r="L259" s="1"/>
      <c r="M259" s="1"/>
      <c r="N259" s="1" t="str">
        <f ca="1">IFERROR(__xludf.DUMMYFUNCTION("""COMPUTED_VALUE"""),"Fille")</f>
        <v>Fille</v>
      </c>
      <c r="O259" s="1"/>
      <c r="P259" s="1" t="str">
        <f ca="1">IFERROR(__xludf.DUMMYFUNCTION("""COMPUTED_VALUE"""),"SENEGAL")</f>
        <v>SENEGAL</v>
      </c>
      <c r="Q259" s="1"/>
      <c r="R259" s="1"/>
      <c r="S259" s="1" t="str">
        <f ca="1">IFERROR(__xludf.DUMMYFUNCTION("""COMPUTED_VALUE"""),"+221")</f>
        <v>+221</v>
      </c>
      <c r="T259" s="1" t="str">
        <f ca="1">IFERROR(__xludf.DUMMYFUNCTION("""COMPUTED_VALUE"""),"GOUDIABY Amoul")</f>
        <v>GOUDIABY Amoul</v>
      </c>
      <c r="U259" s="1" t="str">
        <f ca="1">IFERROR(__xludf.DUMMYFUNCTION("""COMPUTED_VALUE"""),"BADIATE Natacha Chantale Tathiana")</f>
        <v>BADIATE Natacha Chantale Tathiana</v>
      </c>
      <c r="V259" s="1" t="str">
        <f ca="1">IFERROR(__xludf.DUMMYFUNCTION("""COMPUTED_VALUE"""),"momogoud1@yahoo.fr")</f>
        <v>momogoud1@yahoo.fr</v>
      </c>
      <c r="W259" s="1" t="str">
        <f ca="1">IFERROR(__xludf.DUMMYFUNCTION("""COMPUTED_VALUE"""),"natchantale25889@icloude.com")</f>
        <v>natchantale25889@icloude.com</v>
      </c>
      <c r="X259" s="1" t="str">
        <f ca="1">IFERROR(__xludf.DUMMYFUNCTION("""COMPUTED_VALUE"""),"+221 77 203 08 15")</f>
        <v>+221 77 203 08 15</v>
      </c>
      <c r="Y259" s="1" t="str">
        <f ca="1">IFERROR(__xludf.DUMMYFUNCTION("""COMPUTED_VALUE"""),"+221 78 292 76 00")</f>
        <v>+221 78 292 76 00</v>
      </c>
      <c r="Z259" s="1" t="str">
        <f ca="1">IFERROR(__xludf.DUMMYFUNCTION("""COMPUTED_VALUE"""),"+221 76 695 77 27")</f>
        <v>+221 76 695 77 27</v>
      </c>
      <c r="AA259" s="1" t="str">
        <f ca="1">IFERROR(__xludf.DUMMYFUNCTION("""COMPUTED_VALUE"""),"+221")</f>
        <v>+221</v>
      </c>
      <c r="AB259" s="2">
        <f ca="1">IFERROR(__xludf.DUMMYFUNCTION("""COMPUTED_VALUE"""),28649)</f>
        <v>28649</v>
      </c>
      <c r="AC259" s="2">
        <f ca="1">IFERROR(__xludf.DUMMYFUNCTION("""COMPUTED_VALUE"""),32745)</f>
        <v>32745</v>
      </c>
      <c r="AD259" s="1" t="str">
        <f ca="1">IFERROR(__xludf.DUMMYFUNCTION("""COMPUTED_VALUE"""),"PERE")</f>
        <v>PERE</v>
      </c>
      <c r="AE259" s="1" t="str">
        <f ca="1">IFERROR(__xludf.DUMMYFUNCTION("""COMPUTED_VALUE"""),"MERE")</f>
        <v>MERE</v>
      </c>
      <c r="AF259" s="1" t="str">
        <f ca="1">IFERROR(__xludf.DUMMYFUNCTION("""COMPUTED_VALUE"""),"SENEGAL")</f>
        <v>SENEGAL</v>
      </c>
      <c r="AG259" s="1" t="str">
        <f ca="1">IFERROR(__xludf.DUMMYFUNCTION("""COMPUTED_VALUE"""),"SENEGAL")</f>
        <v>SENEGAL</v>
      </c>
      <c r="AH259" s="1"/>
      <c r="AI259" s="1"/>
      <c r="AJ259" s="1" t="str">
        <f ca="1">IFERROR(__xludf.DUMMYFUNCTION("""COMPUTED_VALUE"""),"U11904")</f>
        <v>U11904</v>
      </c>
      <c r="AK259" s="1" t="str">
        <f ca="1">IFERROR(__xludf.DUMMYFUNCTION("""COMPUTED_VALUE"""),"Marié(e)")</f>
        <v>Marié(e)</v>
      </c>
      <c r="AL259" s="1" t="str">
        <f ca="1">IFERROR(__xludf.DUMMYFUNCTION("""COMPUTED_VALUE"""),"Marié(e)")</f>
        <v>Marié(e)</v>
      </c>
      <c r="AM259" s="1" t="str">
        <f ca="1">IFERROR(__xludf.DUMMYFUNCTION("""COMPUTED_VALUE"""),"U11904")</f>
        <v>U11904</v>
      </c>
    </row>
    <row r="260" spans="1:39" ht="13" x14ac:dyDescent="0.15">
      <c r="A260" s="1" t="str">
        <f ca="1">IFERROR(__xludf.DUMMYFUNCTION("""COMPUTED_VALUE"""),"GOUDIABY Pierre Clément Waly")</f>
        <v>GOUDIABY Pierre Clément Waly</v>
      </c>
      <c r="B260" s="1" t="str">
        <f ca="1">IFERROR(__xludf.DUMMYFUNCTION("""COMPUTED_VALUE"""),"GOUDIABY")</f>
        <v>GOUDIABY</v>
      </c>
      <c r="C260" s="1" t="str">
        <f ca="1">IFERROR(__xludf.DUMMYFUNCTION("""COMPUTED_VALUE"""),"Pierre Clément Waly")</f>
        <v>Pierre Clément Waly</v>
      </c>
      <c r="D260" s="1" t="str">
        <f ca="1">IFERROR(__xludf.DUMMYFUNCTION("""COMPUTED_VALUE"""),"11904S2800")</f>
        <v>11904S2800</v>
      </c>
      <c r="E260" s="2">
        <f ca="1">IFERROR(__xludf.DUMMYFUNCTION("""COMPUTED_VALUE"""),41601)</f>
        <v>41601</v>
      </c>
      <c r="F260" s="1" t="str">
        <f ca="1">IFERROR(__xludf.DUMMYFUNCTION("""COMPUTED_VALUE"""),"5EME1")</f>
        <v>5EME1</v>
      </c>
      <c r="G260" s="1" t="str">
        <f ca="1">IFERROR(__xludf.DUMMYFUNCTION("""COMPUTED_VALUE"""),"5ème")</f>
        <v>5ème</v>
      </c>
      <c r="H260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260" s="1" t="str">
        <f ca="1">IFERROR(__xludf.DUMMYFUNCTION("""COMPUTED_VALUE"""),"LVA Anglais")</f>
        <v>LVA Anglais</v>
      </c>
      <c r="J260" s="1" t="str">
        <f ca="1">IFERROR(__xludf.DUMMYFUNCTION("""COMPUTED_VALUE"""),"LVB Espagnol")</f>
        <v>LVB Espagnol</v>
      </c>
      <c r="K260" s="1"/>
      <c r="L260" s="1"/>
      <c r="M260" s="1"/>
      <c r="N260" s="1" t="str">
        <f ca="1">IFERROR(__xludf.DUMMYFUNCTION("""COMPUTED_VALUE"""),"Garçon")</f>
        <v>Garçon</v>
      </c>
      <c r="O260" s="1"/>
      <c r="P260" s="1" t="str">
        <f ca="1">IFERROR(__xludf.DUMMYFUNCTION("""COMPUTED_VALUE"""),"SENEGAL")</f>
        <v>SENEGAL</v>
      </c>
      <c r="Q260" s="1"/>
      <c r="R260" s="1" t="str">
        <f ca="1">IFERROR(__xludf.DUMMYFUNCTION("""COMPUTED_VALUE"""),"pierre.goudiaby@lfjpsaly.org")</f>
        <v>pierre.goudiaby@lfjpsaly.org</v>
      </c>
      <c r="S260" s="1" t="str">
        <f ca="1">IFERROR(__xludf.DUMMYFUNCTION("""COMPUTED_VALUE"""),"+221 77 203 08 15")</f>
        <v>+221 77 203 08 15</v>
      </c>
      <c r="T260" s="1" t="str">
        <f ca="1">IFERROR(__xludf.DUMMYFUNCTION("""COMPUTED_VALUE"""),"GOUDIABY Amoul")</f>
        <v>GOUDIABY Amoul</v>
      </c>
      <c r="U260" s="1" t="str">
        <f ca="1">IFERROR(__xludf.DUMMYFUNCTION("""COMPUTED_VALUE"""),"BADIATE Natacha Chantale Tathiana")</f>
        <v>BADIATE Natacha Chantale Tathiana</v>
      </c>
      <c r="V260" s="1" t="str">
        <f ca="1">IFERROR(__xludf.DUMMYFUNCTION("""COMPUTED_VALUE"""),"momogoud1@yahoo.fr")</f>
        <v>momogoud1@yahoo.fr</v>
      </c>
      <c r="W260" s="1" t="str">
        <f ca="1">IFERROR(__xludf.DUMMYFUNCTION("""COMPUTED_VALUE"""),"natchantale25889@icloude.com")</f>
        <v>natchantale25889@icloude.com</v>
      </c>
      <c r="X260" s="1" t="str">
        <f ca="1">IFERROR(__xludf.DUMMYFUNCTION("""COMPUTED_VALUE"""),"+221 77 203 08 15")</f>
        <v>+221 77 203 08 15</v>
      </c>
      <c r="Y260" s="1" t="str">
        <f ca="1">IFERROR(__xludf.DUMMYFUNCTION("""COMPUTED_VALUE"""),"+221 78 292 76 00")</f>
        <v>+221 78 292 76 00</v>
      </c>
      <c r="Z260" s="1" t="str">
        <f ca="1">IFERROR(__xludf.DUMMYFUNCTION("""COMPUTED_VALUE"""),"+221 76 695 77 27")</f>
        <v>+221 76 695 77 27</v>
      </c>
      <c r="AA260" s="1" t="str">
        <f ca="1">IFERROR(__xludf.DUMMYFUNCTION("""COMPUTED_VALUE"""),"+221")</f>
        <v>+221</v>
      </c>
      <c r="AB260" s="2">
        <f ca="1">IFERROR(__xludf.DUMMYFUNCTION("""COMPUTED_VALUE"""),28649)</f>
        <v>28649</v>
      </c>
      <c r="AC260" s="2">
        <f ca="1">IFERROR(__xludf.DUMMYFUNCTION("""COMPUTED_VALUE"""),32745)</f>
        <v>32745</v>
      </c>
      <c r="AD260" s="1" t="str">
        <f ca="1">IFERROR(__xludf.DUMMYFUNCTION("""COMPUTED_VALUE"""),"PERE")</f>
        <v>PERE</v>
      </c>
      <c r="AE260" s="1" t="str">
        <f ca="1">IFERROR(__xludf.DUMMYFUNCTION("""COMPUTED_VALUE"""),"MERE")</f>
        <v>MERE</v>
      </c>
      <c r="AF260" s="1" t="str">
        <f ca="1">IFERROR(__xludf.DUMMYFUNCTION("""COMPUTED_VALUE"""),"SENEGAL")</f>
        <v>SENEGAL</v>
      </c>
      <c r="AG260" s="1" t="str">
        <f ca="1">IFERROR(__xludf.DUMMYFUNCTION("""COMPUTED_VALUE"""),"SENEGAL")</f>
        <v>SENEGAL</v>
      </c>
      <c r="AH260" s="1"/>
      <c r="AI260" s="1"/>
      <c r="AJ260" s="1" t="str">
        <f ca="1">IFERROR(__xludf.DUMMYFUNCTION("""COMPUTED_VALUE"""),"U11904")</f>
        <v>U11904</v>
      </c>
      <c r="AK260" s="1" t="str">
        <f ca="1">IFERROR(__xludf.DUMMYFUNCTION("""COMPUTED_VALUE"""),"Marié(e)")</f>
        <v>Marié(e)</v>
      </c>
      <c r="AL260" s="1" t="str">
        <f ca="1">IFERROR(__xludf.DUMMYFUNCTION("""COMPUTED_VALUE"""),"Marié(e)")</f>
        <v>Marié(e)</v>
      </c>
      <c r="AM260" s="1" t="str">
        <f ca="1">IFERROR(__xludf.DUMMYFUNCTION("""COMPUTED_VALUE"""),"U11904")</f>
        <v>U11904</v>
      </c>
    </row>
    <row r="261" spans="1:39" ht="13" x14ac:dyDescent="0.15">
      <c r="A261" s="1" t="str">
        <f ca="1">IFERROR(__xludf.DUMMYFUNCTION("""COMPUTED_VALUE"""),"GOUSSAUD Shana")</f>
        <v>GOUSSAUD Shana</v>
      </c>
      <c r="B261" s="1" t="str">
        <f ca="1">IFERROR(__xludf.DUMMYFUNCTION("""COMPUTED_VALUE"""),"GOUSSAUD")</f>
        <v>GOUSSAUD</v>
      </c>
      <c r="C261" s="1" t="str">
        <f ca="1">IFERROR(__xludf.DUMMYFUNCTION("""COMPUTED_VALUE"""),"Shana")</f>
        <v>Shana</v>
      </c>
      <c r="D261" s="1" t="str">
        <f ca="1">IFERROR(__xludf.DUMMYFUNCTION("""COMPUTED_VALUE"""),"1345E1")</f>
        <v>1345E1</v>
      </c>
      <c r="E261" s="2">
        <f ca="1">IFERROR(__xludf.DUMMYFUNCTION("""COMPUTED_VALUE"""),42604)</f>
        <v>42604</v>
      </c>
      <c r="F261" s="1" t="str">
        <f ca="1">IFERROR(__xludf.DUMMYFUNCTION("""COMPUTED_VALUE"""),"CM1B")</f>
        <v>CM1B</v>
      </c>
      <c r="G261" s="1" t="str">
        <f ca="1">IFERROR(__xludf.DUMMYFUNCTION("""COMPUTED_VALUE"""),"CM1")</f>
        <v>CM1</v>
      </c>
      <c r="H261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261" s="1"/>
      <c r="J261" s="1"/>
      <c r="K261" s="1"/>
      <c r="L261" s="1"/>
      <c r="M261" s="1"/>
      <c r="N261" s="1" t="str">
        <f ca="1">IFERROR(__xludf.DUMMYFUNCTION("""COMPUTED_VALUE"""),"Fille")</f>
        <v>Fille</v>
      </c>
      <c r="O261" s="1"/>
      <c r="P261" s="1" t="str">
        <f ca="1">IFERROR(__xludf.DUMMYFUNCTION("""COMPUTED_VALUE"""),"FRANCE")</f>
        <v>FRANCE</v>
      </c>
      <c r="Q261" s="1" t="str">
        <f ca="1">IFERROR(__xludf.DUMMYFUNCTION("""COMPUTED_VALUE"""),"SENEGAL")</f>
        <v>SENEGAL</v>
      </c>
      <c r="R261" s="1"/>
      <c r="S261" s="1"/>
      <c r="T261" s="1" t="str">
        <f ca="1">IFERROR(__xludf.DUMMYFUNCTION("""COMPUTED_VALUE"""),"GOUSSAUD Marc")</f>
        <v>GOUSSAUD Marc</v>
      </c>
      <c r="U261" s="1" t="str">
        <f ca="1">IFERROR(__xludf.DUMMYFUNCTION("""COMPUTED_VALUE"""),"GOUSSAUD Joséphine")</f>
        <v>GOUSSAUD Joséphine</v>
      </c>
      <c r="V261" s="1" t="str">
        <f ca="1">IFERROR(__xludf.DUMMYFUNCTION("""COMPUTED_VALUE"""),"mgoussaud@gmail.com")</f>
        <v>mgoussaud@gmail.com</v>
      </c>
      <c r="W261" s="1" t="str">
        <f ca="1">IFERROR(__xludf.DUMMYFUNCTION("""COMPUTED_VALUE"""),"josephinegoussaud@gmail.com")</f>
        <v>josephinegoussaud@gmail.com</v>
      </c>
      <c r="X261" s="1" t="str">
        <f ca="1">IFERROR(__xludf.DUMMYFUNCTION("""COMPUTED_VALUE"""),"+221 77 428 58 54")</f>
        <v>+221 77 428 58 54</v>
      </c>
      <c r="Y261" s="1" t="str">
        <f ca="1">IFERROR(__xludf.DUMMYFUNCTION("""COMPUTED_VALUE"""),"+221 77 428 58 54")</f>
        <v>+221 77 428 58 54</v>
      </c>
      <c r="Z261" s="1" t="str">
        <f ca="1">IFERROR(__xludf.DUMMYFUNCTION("""COMPUTED_VALUE"""),"+221")</f>
        <v>+221</v>
      </c>
      <c r="AA261" s="1" t="str">
        <f ca="1">IFERROR(__xludf.DUMMYFUNCTION("""COMPUTED_VALUE"""),"+221")</f>
        <v>+221</v>
      </c>
      <c r="AB261" s="2">
        <f ca="1">IFERROR(__xludf.DUMMYFUNCTION("""COMPUTED_VALUE"""),25124)</f>
        <v>25124</v>
      </c>
      <c r="AC261" s="2">
        <f ca="1">IFERROR(__xludf.DUMMYFUNCTION("""COMPUTED_VALUE"""),31333)</f>
        <v>31333</v>
      </c>
      <c r="AD261" s="1" t="str">
        <f ca="1">IFERROR(__xludf.DUMMYFUNCTION("""COMPUTED_VALUE"""),"PERE")</f>
        <v>PERE</v>
      </c>
      <c r="AE261" s="1" t="str">
        <f ca="1">IFERROR(__xludf.DUMMYFUNCTION("""COMPUTED_VALUE"""),"MERE")</f>
        <v>MERE</v>
      </c>
      <c r="AF261" s="1" t="str">
        <f ca="1">IFERROR(__xludf.DUMMYFUNCTION("""COMPUTED_VALUE"""),"FRANCE")</f>
        <v>FRANCE</v>
      </c>
      <c r="AG261" s="1" t="str">
        <f ca="1">IFERROR(__xludf.DUMMYFUNCTION("""COMPUTED_VALUE"""),"FRANCE")</f>
        <v>FRANCE</v>
      </c>
      <c r="AH261" s="1"/>
      <c r="AI261" s="1" t="str">
        <f ca="1">IFERROR(__xludf.DUMMYFUNCTION("""COMPUTED_VALUE"""),"SENEGAL")</f>
        <v>SENEGAL</v>
      </c>
      <c r="AJ261" s="1" t="str">
        <f ca="1">IFERROR(__xludf.DUMMYFUNCTION("""COMPUTED_VALUE"""),"F1345")</f>
        <v>F1345</v>
      </c>
      <c r="AK261" s="1" t="str">
        <f ca="1">IFERROR(__xludf.DUMMYFUNCTION("""COMPUTED_VALUE"""),"Marié(e)")</f>
        <v>Marié(e)</v>
      </c>
      <c r="AL261" s="1" t="str">
        <f ca="1">IFERROR(__xludf.DUMMYFUNCTION("""COMPUTED_VALUE"""),"Marié(e)")</f>
        <v>Marié(e)</v>
      </c>
      <c r="AM261" s="1" t="str">
        <f ca="1">IFERROR(__xludf.DUMMYFUNCTION("""COMPUTED_VALUE"""),"F1345")</f>
        <v>F1345</v>
      </c>
    </row>
    <row r="262" spans="1:39" ht="13" x14ac:dyDescent="0.15">
      <c r="A262" s="1" t="str">
        <f ca="1">IFERROR(__xludf.DUMMYFUNCTION("""COMPUTED_VALUE"""),"GRAIL Elisabeth")</f>
        <v>GRAIL Elisabeth</v>
      </c>
      <c r="B262" s="1" t="str">
        <f ca="1">IFERROR(__xludf.DUMMYFUNCTION("""COMPUTED_VALUE"""),"GRAIL")</f>
        <v>GRAIL</v>
      </c>
      <c r="C262" s="1" t="str">
        <f ca="1">IFERROR(__xludf.DUMMYFUNCTION("""COMPUTED_VALUE"""),"Elisabeth")</f>
        <v>Elisabeth</v>
      </c>
      <c r="D262" s="1" t="str">
        <f ca="1">IFERROR(__xludf.DUMMYFUNCTION("""COMPUTED_VALUE"""),"1346E1")</f>
        <v>1346E1</v>
      </c>
      <c r="E262" s="2">
        <f ca="1">IFERROR(__xludf.DUMMYFUNCTION("""COMPUTED_VALUE"""),41748)</f>
        <v>41748</v>
      </c>
      <c r="F262" s="1" t="str">
        <f ca="1">IFERROR(__xludf.DUMMYFUNCTION("""COMPUTED_VALUE"""),"CM2A")</f>
        <v>CM2A</v>
      </c>
      <c r="G262" s="1" t="str">
        <f ca="1">IFERROR(__xludf.DUMMYFUNCTION("""COMPUTED_VALUE"""),"CM2")</f>
        <v>CM2</v>
      </c>
      <c r="H262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262" s="1"/>
      <c r="J262" s="1"/>
      <c r="K262" s="1"/>
      <c r="L262" s="1"/>
      <c r="M262" s="1"/>
      <c r="N262" s="1" t="str">
        <f ca="1">IFERROR(__xludf.DUMMYFUNCTION("""COMPUTED_VALUE"""),"Fille")</f>
        <v>Fille</v>
      </c>
      <c r="O262" s="1"/>
      <c r="P262" s="1" t="str">
        <f ca="1">IFERROR(__xludf.DUMMYFUNCTION("""COMPUTED_VALUE"""),"FRANCE")</f>
        <v>FRANCE</v>
      </c>
      <c r="Q262" s="1"/>
      <c r="R262" s="1"/>
      <c r="S262" s="1" t="str">
        <f ca="1">IFERROR(__xludf.DUMMYFUNCTION("""COMPUTED_VALUE"""),"+221")</f>
        <v>+221</v>
      </c>
      <c r="T262" s="1" t="str">
        <f ca="1">IFERROR(__xludf.DUMMYFUNCTION("""COMPUTED_VALUE"""),"TALL Ndeye Natou")</f>
        <v>TALL Ndeye Natou</v>
      </c>
      <c r="U262" s="1"/>
      <c r="V262" s="1" t="str">
        <f ca="1">IFERROR(__xludf.DUMMYFUNCTION("""COMPUTED_VALUE"""),"natotall93@gmail.com")</f>
        <v>natotall93@gmail.com</v>
      </c>
      <c r="W262" s="1"/>
      <c r="X262" s="1" t="str">
        <f ca="1">IFERROR(__xludf.DUMMYFUNCTION("""COMPUTED_VALUE"""),"+221 78 123 95 09")</f>
        <v>+221 78 123 95 09</v>
      </c>
      <c r="Y262" s="1"/>
      <c r="Z262" s="1" t="str">
        <f ca="1">IFERROR(__xludf.DUMMYFUNCTION("""COMPUTED_VALUE"""),"+33 6 76 59 77 33")</f>
        <v>+33 6 76 59 77 33</v>
      </c>
      <c r="AA262" s="1"/>
      <c r="AB262" s="2">
        <f ca="1">IFERROR(__xludf.DUMMYFUNCTION("""COMPUTED_VALUE"""),34153)</f>
        <v>34153</v>
      </c>
      <c r="AC262" s="1"/>
      <c r="AD262" s="1" t="str">
        <f ca="1">IFERROR(__xludf.DUMMYFUNCTION("""COMPUTED_VALUE"""),"MERE")</f>
        <v>MERE</v>
      </c>
      <c r="AE262" s="1"/>
      <c r="AF262" s="1" t="str">
        <f ca="1">IFERROR(__xludf.DUMMYFUNCTION("""COMPUTED_VALUE"""),"SENEGAL")</f>
        <v>SENEGAL</v>
      </c>
      <c r="AG262" s="1"/>
      <c r="AH262" s="1"/>
      <c r="AI262" s="1"/>
      <c r="AJ262" s="1" t="str">
        <f ca="1">IFERROR(__xludf.DUMMYFUNCTION("""COMPUTED_VALUE"""),"F1346")</f>
        <v>F1346</v>
      </c>
      <c r="AK262" s="1" t="str">
        <f ca="1">IFERROR(__xludf.DUMMYFUNCTION("""COMPUTED_VALUE"""),"Veuf(ve)")</f>
        <v>Veuf(ve)</v>
      </c>
      <c r="AL262" s="1"/>
      <c r="AM262" s="1" t="str">
        <f ca="1">IFERROR(__xludf.DUMMYFUNCTION("""COMPUTED_VALUE"""),"F1346")</f>
        <v>F1346</v>
      </c>
    </row>
    <row r="263" spans="1:39" ht="13" x14ac:dyDescent="0.15">
      <c r="A263" s="1" t="str">
        <f ca="1">IFERROR(__xludf.DUMMYFUNCTION("""COMPUTED_VALUE"""),"GRAIL Lucie")</f>
        <v>GRAIL Lucie</v>
      </c>
      <c r="B263" s="1" t="str">
        <f ca="1">IFERROR(__xludf.DUMMYFUNCTION("""COMPUTED_VALUE"""),"GRAIL")</f>
        <v>GRAIL</v>
      </c>
      <c r="C263" s="1" t="str">
        <f ca="1">IFERROR(__xludf.DUMMYFUNCTION("""COMPUTED_VALUE"""),"Lucie")</f>
        <v>Lucie</v>
      </c>
      <c r="D263" s="1" t="str">
        <f ca="1">IFERROR(__xludf.DUMMYFUNCTION("""COMPUTED_VALUE"""),"1346E2")</f>
        <v>1346E2</v>
      </c>
      <c r="E263" s="2">
        <f ca="1">IFERROR(__xludf.DUMMYFUNCTION("""COMPUTED_VALUE"""),43955)</f>
        <v>43955</v>
      </c>
      <c r="F263" s="1" t="str">
        <f ca="1">IFERROR(__xludf.DUMMYFUNCTION("""COMPUTED_VALUE"""),"Mat 2")</f>
        <v>Mat 2</v>
      </c>
      <c r="G263" s="1" t="str">
        <f ca="1">IFERROR(__xludf.DUMMYFUNCTION("""COMPUTED_VALUE"""),"GS")</f>
        <v>GS</v>
      </c>
      <c r="H263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263" s="1"/>
      <c r="J263" s="1"/>
      <c r="K263" s="1"/>
      <c r="L263" s="1"/>
      <c r="M263" s="1"/>
      <c r="N263" s="1" t="str">
        <f ca="1">IFERROR(__xludf.DUMMYFUNCTION("""COMPUTED_VALUE"""),"Fille")</f>
        <v>Fille</v>
      </c>
      <c r="O263" s="1"/>
      <c r="P263" s="1" t="str">
        <f ca="1">IFERROR(__xludf.DUMMYFUNCTION("""COMPUTED_VALUE"""),"FRANCE")</f>
        <v>FRANCE</v>
      </c>
      <c r="Q263" s="1"/>
      <c r="R263" s="1"/>
      <c r="S263" s="1"/>
      <c r="T263" s="1" t="str">
        <f ca="1">IFERROR(__xludf.DUMMYFUNCTION("""COMPUTED_VALUE"""),"TALL Ndeye Natou")</f>
        <v>TALL Ndeye Natou</v>
      </c>
      <c r="U263" s="1"/>
      <c r="V263" s="1" t="str">
        <f ca="1">IFERROR(__xludf.DUMMYFUNCTION("""COMPUTED_VALUE"""),"natotall93@gmail.com")</f>
        <v>natotall93@gmail.com</v>
      </c>
      <c r="W263" s="1"/>
      <c r="X263" s="1" t="str">
        <f ca="1">IFERROR(__xludf.DUMMYFUNCTION("""COMPUTED_VALUE"""),"+221 78 123 95 09")</f>
        <v>+221 78 123 95 09</v>
      </c>
      <c r="Y263" s="1"/>
      <c r="Z263" s="1" t="str">
        <f ca="1">IFERROR(__xludf.DUMMYFUNCTION("""COMPUTED_VALUE"""),"+33 6 76 59 77 33")</f>
        <v>+33 6 76 59 77 33</v>
      </c>
      <c r="AA263" s="1"/>
      <c r="AB263" s="2">
        <f ca="1">IFERROR(__xludf.DUMMYFUNCTION("""COMPUTED_VALUE"""),34153)</f>
        <v>34153</v>
      </c>
      <c r="AC263" s="1"/>
      <c r="AD263" s="1" t="str">
        <f ca="1">IFERROR(__xludf.DUMMYFUNCTION("""COMPUTED_VALUE"""),"MERE")</f>
        <v>MERE</v>
      </c>
      <c r="AE263" s="1"/>
      <c r="AF263" s="1" t="str">
        <f ca="1">IFERROR(__xludf.DUMMYFUNCTION("""COMPUTED_VALUE"""),"SENEGAL")</f>
        <v>SENEGAL</v>
      </c>
      <c r="AG263" s="1"/>
      <c r="AH263" s="1"/>
      <c r="AI263" s="1"/>
      <c r="AJ263" s="1" t="str">
        <f ca="1">IFERROR(__xludf.DUMMYFUNCTION("""COMPUTED_VALUE"""),"F1346")</f>
        <v>F1346</v>
      </c>
      <c r="AK263" s="1" t="str">
        <f ca="1">IFERROR(__xludf.DUMMYFUNCTION("""COMPUTED_VALUE"""),"Veuf(ve)")</f>
        <v>Veuf(ve)</v>
      </c>
      <c r="AL263" s="1"/>
      <c r="AM263" s="1" t="str">
        <f ca="1">IFERROR(__xludf.DUMMYFUNCTION("""COMPUTED_VALUE"""),"F1346")</f>
        <v>F1346</v>
      </c>
    </row>
    <row r="264" spans="1:39" ht="13" x14ac:dyDescent="0.15">
      <c r="A264" s="1" t="str">
        <f ca="1">IFERROR(__xludf.DUMMYFUNCTION("""COMPUTED_VALUE"""),"GRANATELLI Leila")</f>
        <v>GRANATELLI Leila</v>
      </c>
      <c r="B264" s="1" t="str">
        <f ca="1">IFERROR(__xludf.DUMMYFUNCTION("""COMPUTED_VALUE"""),"GRANATELLI")</f>
        <v>GRANATELLI</v>
      </c>
      <c r="C264" s="1" t="str">
        <f ca="1">IFERROR(__xludf.DUMMYFUNCTION("""COMPUTED_VALUE"""),"Leila")</f>
        <v>Leila</v>
      </c>
      <c r="D264" s="1" t="str">
        <f ca="1">IFERROR(__xludf.DUMMYFUNCTION("""COMPUTED_VALUE"""),"1659E1")</f>
        <v>1659E1</v>
      </c>
      <c r="E264" s="2">
        <f ca="1">IFERROR(__xludf.DUMMYFUNCTION("""COMPUTED_VALUE"""),43332)</f>
        <v>43332</v>
      </c>
      <c r="F264" s="1" t="str">
        <f ca="1">IFERROR(__xludf.DUMMYFUNCTION("""COMPUTED_VALUE"""),"CE1B")</f>
        <v>CE1B</v>
      </c>
      <c r="G264" s="1" t="str">
        <f ca="1">IFERROR(__xludf.DUMMYFUNCTION("""COMPUTED_VALUE"""),"CE1")</f>
        <v>CE1</v>
      </c>
      <c r="H264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264" s="1"/>
      <c r="J264" s="1"/>
      <c r="K264" s="1"/>
      <c r="L264" s="1"/>
      <c r="M264" s="1"/>
      <c r="N264" s="1" t="str">
        <f ca="1">IFERROR(__xludf.DUMMYFUNCTION("""COMPUTED_VALUE"""),"Fille")</f>
        <v>Fille</v>
      </c>
      <c r="O264" s="1"/>
      <c r="P264" s="1" t="str">
        <f ca="1">IFERROR(__xludf.DUMMYFUNCTION("""COMPUTED_VALUE"""),"FRANCE")</f>
        <v>FRANCE</v>
      </c>
      <c r="Q264" s="1" t="str">
        <f ca="1">IFERROR(__xludf.DUMMYFUNCTION("""COMPUTED_VALUE"""),"SENEGAL")</f>
        <v>SENEGAL</v>
      </c>
      <c r="R264" s="1"/>
      <c r="S264" s="1"/>
      <c r="T264" s="1" t="str">
        <f ca="1">IFERROR(__xludf.DUMMYFUNCTION("""COMPUTED_VALUE"""),"GRANATELLI Jean Pierre")</f>
        <v>GRANATELLI Jean Pierre</v>
      </c>
      <c r="U264" s="1" t="str">
        <f ca="1">IFERROR(__xludf.DUMMYFUNCTION("""COMPUTED_VALUE"""),"SOW TOURE Fatoumata")</f>
        <v>SOW TOURE Fatoumata</v>
      </c>
      <c r="V264" s="1" t="str">
        <f ca="1">IFERROR(__xludf.DUMMYFUNCTION("""COMPUTED_VALUE"""),"batigen.jpg@gmail.com")</f>
        <v>batigen.jpg@gmail.com</v>
      </c>
      <c r="W264" s="1" t="str">
        <f ca="1">IFERROR(__xludf.DUMMYFUNCTION("""COMPUTED_VALUE"""),"fatimatoure962@gmail.com")</f>
        <v>fatimatoure962@gmail.com</v>
      </c>
      <c r="X264" s="1" t="str">
        <f ca="1">IFERROR(__xludf.DUMMYFUNCTION("""COMPUTED_VALUE"""),"+221 77 638 75 32")</f>
        <v>+221 77 638 75 32</v>
      </c>
      <c r="Y264" s="1" t="str">
        <f ca="1">IFERROR(__xludf.DUMMYFUNCTION("""COMPUTED_VALUE"""),"+221 77 324 77 85")</f>
        <v>+221 77 324 77 85</v>
      </c>
      <c r="Z264" s="1" t="str">
        <f ca="1">IFERROR(__xludf.DUMMYFUNCTION("""COMPUTED_VALUE"""),"+221 77 638 75 32")</f>
        <v>+221 77 638 75 32</v>
      </c>
      <c r="AA264" s="1" t="str">
        <f ca="1">IFERROR(__xludf.DUMMYFUNCTION("""COMPUTED_VALUE"""),"+221 77 324 77 85")</f>
        <v>+221 77 324 77 85</v>
      </c>
      <c r="AB264" s="2">
        <f ca="1">IFERROR(__xludf.DUMMYFUNCTION("""COMPUTED_VALUE"""),19946)</f>
        <v>19946</v>
      </c>
      <c r="AC264" s="2">
        <f ca="1">IFERROR(__xludf.DUMMYFUNCTION("""COMPUTED_VALUE"""),34384)</f>
        <v>34384</v>
      </c>
      <c r="AD264" s="1" t="str">
        <f ca="1">IFERROR(__xludf.DUMMYFUNCTION("""COMPUTED_VALUE"""),"PERE")</f>
        <v>PERE</v>
      </c>
      <c r="AE264" s="1" t="str">
        <f ca="1">IFERROR(__xludf.DUMMYFUNCTION("""COMPUTED_VALUE"""),"MERE")</f>
        <v>MERE</v>
      </c>
      <c r="AF264" s="1" t="str">
        <f ca="1">IFERROR(__xludf.DUMMYFUNCTION("""COMPUTED_VALUE"""),"FRANCE")</f>
        <v>FRANCE</v>
      </c>
      <c r="AG264" s="1" t="str">
        <f ca="1">IFERROR(__xludf.DUMMYFUNCTION("""COMPUTED_VALUE"""),"SENEGAL")</f>
        <v>SENEGAL</v>
      </c>
      <c r="AH264" s="1" t="str">
        <f ca="1">IFERROR(__xludf.DUMMYFUNCTION("""COMPUTED_VALUE"""),"SENEGAL")</f>
        <v>SENEGAL</v>
      </c>
      <c r="AI264" s="1"/>
      <c r="AJ264" s="1" t="str">
        <f ca="1">IFERROR(__xludf.DUMMYFUNCTION("""COMPUTED_VALUE"""),"F1659")</f>
        <v>F1659</v>
      </c>
      <c r="AK264" s="1" t="str">
        <f ca="1">IFERROR(__xludf.DUMMYFUNCTION("""COMPUTED_VALUE"""),"Marié(e)")</f>
        <v>Marié(e)</v>
      </c>
      <c r="AL264" s="1" t="str">
        <f ca="1">IFERROR(__xludf.DUMMYFUNCTION("""COMPUTED_VALUE"""),"Divorcée")</f>
        <v>Divorcée</v>
      </c>
      <c r="AM264" s="1" t="str">
        <f ca="1">IFERROR(__xludf.DUMMYFUNCTION("""COMPUTED_VALUE"""),"F1659")</f>
        <v>F1659</v>
      </c>
    </row>
    <row r="265" spans="1:39" ht="13" x14ac:dyDescent="0.15">
      <c r="A265" s="1" t="str">
        <f ca="1">IFERROR(__xludf.DUMMYFUNCTION("""COMPUTED_VALUE"""),"GRASSAGLIATA Livia")</f>
        <v>GRASSAGLIATA Livia</v>
      </c>
      <c r="B265" s="1" t="str">
        <f ca="1">IFERROR(__xludf.DUMMYFUNCTION("""COMPUTED_VALUE"""),"GRASSAGLIATA")</f>
        <v>GRASSAGLIATA</v>
      </c>
      <c r="C265" s="1" t="str">
        <f ca="1">IFERROR(__xludf.DUMMYFUNCTION("""COMPUTED_VALUE"""),"Livia")</f>
        <v>Livia</v>
      </c>
      <c r="D265" s="1" t="str">
        <f ca="1">IFERROR(__xludf.DUMMYFUNCTION("""COMPUTED_VALUE"""),"1348E1")</f>
        <v>1348E1</v>
      </c>
      <c r="E265" s="2">
        <f ca="1">IFERROR(__xludf.DUMMYFUNCTION("""COMPUTED_VALUE"""),41660)</f>
        <v>41660</v>
      </c>
      <c r="F265" s="1" t="str">
        <f ca="1">IFERROR(__xludf.DUMMYFUNCTION("""COMPUTED_VALUE"""),"6EME2")</f>
        <v>6EME2</v>
      </c>
      <c r="G265" s="1" t="str">
        <f ca="1">IFERROR(__xludf.DUMMYFUNCTION("""COMPUTED_VALUE"""),"6ème")</f>
        <v>6ème</v>
      </c>
      <c r="H265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265" s="1" t="str">
        <f ca="1">IFERROR(__xludf.DUMMYFUNCTION("""COMPUTED_VALUE"""),"LVA Anglais")</f>
        <v>LVA Anglais</v>
      </c>
      <c r="J265" s="1" t="str">
        <f ca="1">IFERROR(__xludf.DUMMYFUNCTION("""COMPUTED_VALUE"""),"LVB Espagnol")</f>
        <v>LVB Espagnol</v>
      </c>
      <c r="K265" s="1"/>
      <c r="L265" s="1"/>
      <c r="M265" s="1"/>
      <c r="N265" s="1" t="str">
        <f ca="1">IFERROR(__xludf.DUMMYFUNCTION("""COMPUTED_VALUE"""),"Fille")</f>
        <v>Fille</v>
      </c>
      <c r="O265" s="1"/>
      <c r="P265" s="1" t="str">
        <f ca="1">IFERROR(__xludf.DUMMYFUNCTION("""COMPUTED_VALUE"""),"FRANCE")</f>
        <v>FRANCE</v>
      </c>
      <c r="Q265" s="1"/>
      <c r="R265" s="1" t="str">
        <f ca="1">IFERROR(__xludf.DUMMYFUNCTION("""COMPUTED_VALUE"""),"livia.grassagliata@lfjpsaly.org")</f>
        <v>livia.grassagliata@lfjpsaly.org</v>
      </c>
      <c r="S265" s="1"/>
      <c r="T265" s="1" t="str">
        <f ca="1">IFERROR(__xludf.DUMMYFUNCTION("""COMPUTED_VALUE"""),"GRASSAGLIATA Alexandra")</f>
        <v>GRASSAGLIATA Alexandra</v>
      </c>
      <c r="U265" s="1" t="str">
        <f ca="1">IFERROR(__xludf.DUMMYFUNCTION("""COMPUTED_VALUE"""),"GRASSAGLIATA Stephen")</f>
        <v>GRASSAGLIATA Stephen</v>
      </c>
      <c r="V265" s="1" t="str">
        <f ca="1">IFERROR(__xludf.DUMMYFUNCTION("""COMPUTED_VALUE"""),"alexandra.grassagliata86@gmail.com")</f>
        <v>alexandra.grassagliata86@gmail.com</v>
      </c>
      <c r="W265" s="1" t="str">
        <f ca="1">IFERROR(__xludf.DUMMYFUNCTION("""COMPUTED_VALUE"""),"stephen.grassagliata.eiffage@gmail.com")</f>
        <v>stephen.grassagliata.eiffage@gmail.com</v>
      </c>
      <c r="X265" s="1" t="str">
        <f ca="1">IFERROR(__xludf.DUMMYFUNCTION("""COMPUTED_VALUE"""),"+221 77 814 82 73")</f>
        <v>+221 77 814 82 73</v>
      </c>
      <c r="Y265" s="1" t="str">
        <f ca="1">IFERROR(__xludf.DUMMYFUNCTION("""COMPUTED_VALUE"""),"+33 6 48 37 07 94")</f>
        <v>+33 6 48 37 07 94</v>
      </c>
      <c r="Z265" s="1" t="str">
        <f ca="1">IFERROR(__xludf.DUMMYFUNCTION("""COMPUTED_VALUE"""),"+221")</f>
        <v>+221</v>
      </c>
      <c r="AA265" s="1" t="str">
        <f ca="1">IFERROR(__xludf.DUMMYFUNCTION("""COMPUTED_VALUE"""),"+221 77 746 47 74")</f>
        <v>+221 77 746 47 74</v>
      </c>
      <c r="AB265" s="2">
        <f ca="1">IFERROR(__xludf.DUMMYFUNCTION("""COMPUTED_VALUE"""),31548)</f>
        <v>31548</v>
      </c>
      <c r="AC265" s="2">
        <f ca="1">IFERROR(__xludf.DUMMYFUNCTION("""COMPUTED_VALUE"""),31686)</f>
        <v>31686</v>
      </c>
      <c r="AD265" s="1" t="str">
        <f ca="1">IFERROR(__xludf.DUMMYFUNCTION("""COMPUTED_VALUE"""),"MERE")</f>
        <v>MERE</v>
      </c>
      <c r="AE265" s="1" t="str">
        <f ca="1">IFERROR(__xludf.DUMMYFUNCTION("""COMPUTED_VALUE"""),"PERE")</f>
        <v>PERE</v>
      </c>
      <c r="AF265" s="1" t="str">
        <f ca="1">IFERROR(__xludf.DUMMYFUNCTION("""COMPUTED_VALUE"""),"FRANCE")</f>
        <v>FRANCE</v>
      </c>
      <c r="AG265" s="1" t="str">
        <f ca="1">IFERROR(__xludf.DUMMYFUNCTION("""COMPUTED_VALUE"""),"FRANCE")</f>
        <v>FRANCE</v>
      </c>
      <c r="AH265" s="1"/>
      <c r="AI265" s="1"/>
      <c r="AJ265" s="1" t="str">
        <f ca="1">IFERROR(__xludf.DUMMYFUNCTION("""COMPUTED_VALUE"""),"F1348")</f>
        <v>F1348</v>
      </c>
      <c r="AK265" s="1" t="str">
        <f ca="1">IFERROR(__xludf.DUMMYFUNCTION("""COMPUTED_VALUE"""),"Marié(e)")</f>
        <v>Marié(e)</v>
      </c>
      <c r="AL265" s="1" t="str">
        <f ca="1">IFERROR(__xludf.DUMMYFUNCTION("""COMPUTED_VALUE"""),"Marié(e)")</f>
        <v>Marié(e)</v>
      </c>
      <c r="AM265" s="1" t="str">
        <f ca="1">IFERROR(__xludf.DUMMYFUNCTION("""COMPUTED_VALUE"""),"F1348")</f>
        <v>F1348</v>
      </c>
    </row>
    <row r="266" spans="1:39" ht="13" x14ac:dyDescent="0.15">
      <c r="A266" s="1" t="str">
        <f ca="1">IFERROR(__xludf.DUMMYFUNCTION("""COMPUTED_VALUE"""),"GRASSAGLIATA Milena")</f>
        <v>GRASSAGLIATA Milena</v>
      </c>
      <c r="B266" s="1" t="str">
        <f ca="1">IFERROR(__xludf.DUMMYFUNCTION("""COMPUTED_VALUE"""),"GRASSAGLIATA")</f>
        <v>GRASSAGLIATA</v>
      </c>
      <c r="C266" s="1" t="str">
        <f ca="1">IFERROR(__xludf.DUMMYFUNCTION("""COMPUTED_VALUE"""),"Milena")</f>
        <v>Milena</v>
      </c>
      <c r="D266" s="1" t="str">
        <f ca="1">IFERROR(__xludf.DUMMYFUNCTION("""COMPUTED_VALUE"""),"1349E1")</f>
        <v>1349E1</v>
      </c>
      <c r="E266" s="2">
        <f ca="1">IFERROR(__xludf.DUMMYFUNCTION("""COMPUTED_VALUE"""),40741)</f>
        <v>40741</v>
      </c>
      <c r="F266" s="1" t="str">
        <f ca="1">IFERROR(__xludf.DUMMYFUNCTION("""COMPUTED_VALUE"""),"3EME1")</f>
        <v>3EME1</v>
      </c>
      <c r="G266" s="1" t="str">
        <f ca="1">IFERROR(__xludf.DUMMYFUNCTION("""COMPUTED_VALUE"""),"3ème")</f>
        <v>3ème</v>
      </c>
      <c r="H266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266" s="1" t="str">
        <f ca="1">IFERROR(__xludf.DUMMYFUNCTION("""COMPUTED_VALUE"""),"LVA Anglais")</f>
        <v>LVA Anglais</v>
      </c>
      <c r="J266" s="1" t="str">
        <f ca="1">IFERROR(__xludf.DUMMYFUNCTION("""COMPUTED_VALUE"""),"LVB Espagnol")</f>
        <v>LVB Espagnol</v>
      </c>
      <c r="K266" s="1"/>
      <c r="L266" s="1"/>
      <c r="M266" s="1"/>
      <c r="N266" s="1" t="str">
        <f ca="1">IFERROR(__xludf.DUMMYFUNCTION("""COMPUTED_VALUE"""),"Fille")</f>
        <v>Fille</v>
      </c>
      <c r="O266" s="1"/>
      <c r="P266" s="1" t="str">
        <f ca="1">IFERROR(__xludf.DUMMYFUNCTION("""COMPUTED_VALUE"""),"FRANCE")</f>
        <v>FRANCE</v>
      </c>
      <c r="Q266" s="1"/>
      <c r="R266" s="1" t="str">
        <f ca="1">IFERROR(__xludf.DUMMYFUNCTION("""COMPUTED_VALUE"""),"milena.grassagliata@lfjpsaly.org")</f>
        <v>milena.grassagliata@lfjpsaly.org</v>
      </c>
      <c r="S266" s="1"/>
      <c r="T266" s="1" t="str">
        <f ca="1">IFERROR(__xludf.DUMMYFUNCTION("""COMPUTED_VALUE"""),"GRASSAGLIATA Alexandra")</f>
        <v>GRASSAGLIATA Alexandra</v>
      </c>
      <c r="U266" s="1" t="str">
        <f ca="1">IFERROR(__xludf.DUMMYFUNCTION("""COMPUTED_VALUE"""),"GRASSAGLIATA Stephen")</f>
        <v>GRASSAGLIATA Stephen</v>
      </c>
      <c r="V266" s="1" t="str">
        <f ca="1">IFERROR(__xludf.DUMMYFUNCTION("""COMPUTED_VALUE"""),"alexandra.grassagliata86@gmail.com")</f>
        <v>alexandra.grassagliata86@gmail.com</v>
      </c>
      <c r="W266" s="1" t="str">
        <f ca="1">IFERROR(__xludf.DUMMYFUNCTION("""COMPUTED_VALUE"""),"stephen.grassagliata.eiffage@gmail.com")</f>
        <v>stephen.grassagliata.eiffage@gmail.com</v>
      </c>
      <c r="X266" s="1" t="str">
        <f ca="1">IFERROR(__xludf.DUMMYFUNCTION("""COMPUTED_VALUE"""),"+221 77 814 82 73")</f>
        <v>+221 77 814 82 73</v>
      </c>
      <c r="Y266" s="1" t="str">
        <f ca="1">IFERROR(__xludf.DUMMYFUNCTION("""COMPUTED_VALUE"""),"+33 6 48 37 07 94")</f>
        <v>+33 6 48 37 07 94</v>
      </c>
      <c r="Z266" s="1" t="str">
        <f ca="1">IFERROR(__xludf.DUMMYFUNCTION("""COMPUTED_VALUE"""),"+221")</f>
        <v>+221</v>
      </c>
      <c r="AA266" s="1" t="str">
        <f ca="1">IFERROR(__xludf.DUMMYFUNCTION("""COMPUTED_VALUE"""),"+221 77 746 47 74")</f>
        <v>+221 77 746 47 74</v>
      </c>
      <c r="AB266" s="2">
        <f ca="1">IFERROR(__xludf.DUMMYFUNCTION("""COMPUTED_VALUE"""),31548)</f>
        <v>31548</v>
      </c>
      <c r="AC266" s="2">
        <f ca="1">IFERROR(__xludf.DUMMYFUNCTION("""COMPUTED_VALUE"""),31686)</f>
        <v>31686</v>
      </c>
      <c r="AD266" s="1" t="str">
        <f ca="1">IFERROR(__xludf.DUMMYFUNCTION("""COMPUTED_VALUE"""),"MERE")</f>
        <v>MERE</v>
      </c>
      <c r="AE266" s="1" t="str">
        <f ca="1">IFERROR(__xludf.DUMMYFUNCTION("""COMPUTED_VALUE"""),"PERE")</f>
        <v>PERE</v>
      </c>
      <c r="AF266" s="1" t="str">
        <f ca="1">IFERROR(__xludf.DUMMYFUNCTION("""COMPUTED_VALUE"""),"FRANCE")</f>
        <v>FRANCE</v>
      </c>
      <c r="AG266" s="1" t="str">
        <f ca="1">IFERROR(__xludf.DUMMYFUNCTION("""COMPUTED_VALUE"""),"FRANCE")</f>
        <v>FRANCE</v>
      </c>
      <c r="AH266" s="1"/>
      <c r="AI266" s="1"/>
      <c r="AJ266" s="1" t="str">
        <f ca="1">IFERROR(__xludf.DUMMYFUNCTION("""COMPUTED_VALUE"""),"F1348")</f>
        <v>F1348</v>
      </c>
      <c r="AK266" s="1" t="str">
        <f ca="1">IFERROR(__xludf.DUMMYFUNCTION("""COMPUTED_VALUE"""),"Marié(e)")</f>
        <v>Marié(e)</v>
      </c>
      <c r="AL266" s="1" t="str">
        <f ca="1">IFERROR(__xludf.DUMMYFUNCTION("""COMPUTED_VALUE"""),"Marié(e)")</f>
        <v>Marié(e)</v>
      </c>
      <c r="AM266" s="1" t="str">
        <f ca="1">IFERROR(__xludf.DUMMYFUNCTION("""COMPUTED_VALUE"""),"F1348")</f>
        <v>F1348</v>
      </c>
    </row>
    <row r="267" spans="1:39" ht="13" x14ac:dyDescent="0.15">
      <c r="A267" s="1" t="str">
        <f ca="1">IFERROR(__xludf.DUMMYFUNCTION("""COMPUTED_VALUE"""),"GRATALON Jean-Paul Made")</f>
        <v>GRATALON Jean-Paul Made</v>
      </c>
      <c r="B267" s="1" t="str">
        <f ca="1">IFERROR(__xludf.DUMMYFUNCTION("""COMPUTED_VALUE"""),"GRATALON")</f>
        <v>GRATALON</v>
      </c>
      <c r="C267" s="1" t="str">
        <f ca="1">IFERROR(__xludf.DUMMYFUNCTION("""COMPUTED_VALUE"""),"Jean-Paul Made")</f>
        <v>Jean-Paul Made</v>
      </c>
      <c r="D267" s="1" t="str">
        <f ca="1">IFERROR(__xludf.DUMMYFUNCTION("""COMPUTED_VALUE"""),"1350E1")</f>
        <v>1350E1</v>
      </c>
      <c r="E267" s="2">
        <f ca="1">IFERROR(__xludf.DUMMYFUNCTION("""COMPUTED_VALUE"""),41202)</f>
        <v>41202</v>
      </c>
      <c r="F267" s="1" t="str">
        <f ca="1">IFERROR(__xludf.DUMMYFUNCTION("""COMPUTED_VALUE"""),"4EME2")</f>
        <v>4EME2</v>
      </c>
      <c r="G267" s="1" t="str">
        <f ca="1">IFERROR(__xludf.DUMMYFUNCTION("""COMPUTED_VALUE"""),"4ème")</f>
        <v>4ème</v>
      </c>
      <c r="H267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267" s="1" t="str">
        <f ca="1">IFERROR(__xludf.DUMMYFUNCTION("""COMPUTED_VALUE"""),"LVA Anglais")</f>
        <v>LVA Anglais</v>
      </c>
      <c r="J267" s="1" t="str">
        <f ca="1">IFERROR(__xludf.DUMMYFUNCTION("""COMPUTED_VALUE"""),"LVB Espagnol")</f>
        <v>LVB Espagnol</v>
      </c>
      <c r="K267" s="1"/>
      <c r="L267" s="1"/>
      <c r="M267" s="1"/>
      <c r="N267" s="1" t="str">
        <f ca="1">IFERROR(__xludf.DUMMYFUNCTION("""COMPUTED_VALUE"""),"Garçon")</f>
        <v>Garçon</v>
      </c>
      <c r="O267" s="1"/>
      <c r="P267" s="1" t="str">
        <f ca="1">IFERROR(__xludf.DUMMYFUNCTION("""COMPUTED_VALUE"""),"FRANCE")</f>
        <v>FRANCE</v>
      </c>
      <c r="Q267" s="1"/>
      <c r="R267" s="1" t="str">
        <f ca="1">IFERROR(__xludf.DUMMYFUNCTION("""COMPUTED_VALUE"""),"jean-paul.gratalon@lfjpsaly.org")</f>
        <v>jean-paul.gratalon@lfjpsaly.org</v>
      </c>
      <c r="S267" s="1" t="str">
        <f ca="1">IFERROR(__xludf.DUMMYFUNCTION("""COMPUTED_VALUE"""),"+221")</f>
        <v>+221</v>
      </c>
      <c r="T267" s="1" t="str">
        <f ca="1">IFERROR(__xludf.DUMMYFUNCTION("""COMPUTED_VALUE"""),"SARR Khardiata")</f>
        <v>SARR Khardiata</v>
      </c>
      <c r="U267" s="1"/>
      <c r="V267" s="1" t="str">
        <f ca="1">IFERROR(__xludf.DUMMYFUNCTION("""COMPUTED_VALUE"""),"sarrkhardiata5@gmail.com")</f>
        <v>sarrkhardiata5@gmail.com</v>
      </c>
      <c r="W267" s="1"/>
      <c r="X267" s="1" t="str">
        <f ca="1">IFERROR(__xludf.DUMMYFUNCTION("""COMPUTED_VALUE"""),"+221 77 526 23 98")</f>
        <v>+221 77 526 23 98</v>
      </c>
      <c r="Y267" s="1"/>
      <c r="Z267" s="1" t="str">
        <f ca="1">IFERROR(__xludf.DUMMYFUNCTION("""COMPUTED_VALUE"""),"+221")</f>
        <v>+221</v>
      </c>
      <c r="AA267" s="1"/>
      <c r="AB267" s="2">
        <f ca="1">IFERROR(__xludf.DUMMYFUNCTION("""COMPUTED_VALUE"""),29555)</f>
        <v>29555</v>
      </c>
      <c r="AC267" s="1"/>
      <c r="AD267" s="1" t="str">
        <f ca="1">IFERROR(__xludf.DUMMYFUNCTION("""COMPUTED_VALUE"""),"MERE")</f>
        <v>MERE</v>
      </c>
      <c r="AE267" s="1"/>
      <c r="AF267" s="1" t="str">
        <f ca="1">IFERROR(__xludf.DUMMYFUNCTION("""COMPUTED_VALUE"""),"SENEGAL")</f>
        <v>SENEGAL</v>
      </c>
      <c r="AG267" s="1"/>
      <c r="AH267" s="1"/>
      <c r="AI267" s="1"/>
      <c r="AJ267" s="1" t="str">
        <f ca="1">IFERROR(__xludf.DUMMYFUNCTION("""COMPUTED_VALUE"""),"F1350")</f>
        <v>F1350</v>
      </c>
      <c r="AK267" s="1" t="str">
        <f ca="1">IFERROR(__xludf.DUMMYFUNCTION("""COMPUTED_VALUE"""),"Célibataire")</f>
        <v>Célibataire</v>
      </c>
      <c r="AL267" s="1"/>
      <c r="AM267" s="1" t="str">
        <f ca="1">IFERROR(__xludf.DUMMYFUNCTION("""COMPUTED_VALUE"""),"F1350")</f>
        <v>F1350</v>
      </c>
    </row>
    <row r="268" spans="1:39" ht="13" x14ac:dyDescent="0.15">
      <c r="A268" s="1" t="str">
        <f ca="1">IFERROR(__xludf.DUMMYFUNCTION("""COMPUTED_VALUE"""),"GROS-DUBOIS Daniella Fatoumata")</f>
        <v>GROS-DUBOIS Daniella Fatoumata</v>
      </c>
      <c r="B268" s="1" t="str">
        <f ca="1">IFERROR(__xludf.DUMMYFUNCTION("""COMPUTED_VALUE"""),"GROS-DUBOIS")</f>
        <v>GROS-DUBOIS</v>
      </c>
      <c r="C268" s="1" t="str">
        <f ca="1">IFERROR(__xludf.DUMMYFUNCTION("""COMPUTED_VALUE"""),"Daniella Fatoumata")</f>
        <v>Daniella Fatoumata</v>
      </c>
      <c r="D268" s="1" t="str">
        <f ca="1">IFERROR(__xludf.DUMMYFUNCTION("""COMPUTED_VALUE"""),"1351E1")</f>
        <v>1351E1</v>
      </c>
      <c r="E268" s="2">
        <f ca="1">IFERROR(__xludf.DUMMYFUNCTION("""COMPUTED_VALUE"""),40857)</f>
        <v>40857</v>
      </c>
      <c r="F268" s="1" t="str">
        <f ca="1">IFERROR(__xludf.DUMMYFUNCTION("""COMPUTED_VALUE"""),"3EME1")</f>
        <v>3EME1</v>
      </c>
      <c r="G268" s="1" t="str">
        <f ca="1">IFERROR(__xludf.DUMMYFUNCTION("""COMPUTED_VALUE"""),"3ème")</f>
        <v>3ème</v>
      </c>
      <c r="H268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268" s="1" t="str">
        <f ca="1">IFERROR(__xludf.DUMMYFUNCTION("""COMPUTED_VALUE"""),"LVA Anglais")</f>
        <v>LVA Anglais</v>
      </c>
      <c r="J268" s="1" t="str">
        <f ca="1">IFERROR(__xludf.DUMMYFUNCTION("""COMPUTED_VALUE"""),"LVB Espagnol")</f>
        <v>LVB Espagnol</v>
      </c>
      <c r="K268" s="1"/>
      <c r="L268" s="1"/>
      <c r="M268" s="1"/>
      <c r="N268" s="1" t="str">
        <f ca="1">IFERROR(__xludf.DUMMYFUNCTION("""COMPUTED_VALUE"""),"Fille")</f>
        <v>Fille</v>
      </c>
      <c r="O268" s="1"/>
      <c r="P268" s="1" t="str">
        <f ca="1">IFERROR(__xludf.DUMMYFUNCTION("""COMPUTED_VALUE"""),"FRANCE")</f>
        <v>FRANCE</v>
      </c>
      <c r="Q268" s="1" t="str">
        <f ca="1">IFERROR(__xludf.DUMMYFUNCTION("""COMPUTED_VALUE"""),"SENEGAL")</f>
        <v>SENEGAL</v>
      </c>
      <c r="R268" s="1" t="str">
        <f ca="1">IFERROR(__xludf.DUMMYFUNCTION("""COMPUTED_VALUE"""),"daniella.gros-dubois@lfjpsaly.org")</f>
        <v>daniella.gros-dubois@lfjpsaly.org</v>
      </c>
      <c r="S268" s="1"/>
      <c r="T268" s="1" t="str">
        <f ca="1">IFERROR(__xludf.DUMMYFUNCTION("""COMPUTED_VALUE"""),"GROS-DUBOIS Jean")</f>
        <v>GROS-DUBOIS Jean</v>
      </c>
      <c r="U268" s="1" t="str">
        <f ca="1">IFERROR(__xludf.DUMMYFUNCTION("""COMPUTED_VALUE"""),"GROS DUBOIS Mariama")</f>
        <v>GROS DUBOIS Mariama</v>
      </c>
      <c r="V268" s="1" t="str">
        <f ca="1">IFERROR(__xludf.DUMMYFUNCTION("""COMPUTED_VALUE"""),"rianedubois22@gmail.com")</f>
        <v>rianedubois22@gmail.com</v>
      </c>
      <c r="W268" s="1" t="str">
        <f ca="1">IFERROR(__xludf.DUMMYFUNCTION("""COMPUTED_VALUE"""),"rianedubois22@gmail.com")</f>
        <v>rianedubois22@gmail.com</v>
      </c>
      <c r="X268" s="1" t="str">
        <f ca="1">IFERROR(__xludf.DUMMYFUNCTION("""COMPUTED_VALUE"""),"+221 77 616 03 86")</f>
        <v>+221 77 616 03 86</v>
      </c>
      <c r="Y268" s="1" t="str">
        <f ca="1">IFERROR(__xludf.DUMMYFUNCTION("""COMPUTED_VALUE"""),"+221 77 616 03 86")</f>
        <v>+221 77 616 03 86</v>
      </c>
      <c r="Z268" s="1" t="str">
        <f ca="1">IFERROR(__xludf.DUMMYFUNCTION("""COMPUTED_VALUE"""),"+2210033603534940")</f>
        <v>+2210033603534940</v>
      </c>
      <c r="AA268" s="1" t="str">
        <f ca="1">IFERROR(__xludf.DUMMYFUNCTION("""COMPUTED_VALUE"""),"+221 77 616 03 86")</f>
        <v>+221 77 616 03 86</v>
      </c>
      <c r="AB268" s="2">
        <f ca="1">IFERROR(__xludf.DUMMYFUNCTION("""COMPUTED_VALUE"""),21541)</f>
        <v>21541</v>
      </c>
      <c r="AC268" s="2">
        <f ca="1">IFERROR(__xludf.DUMMYFUNCTION("""COMPUTED_VALUE"""),30550)</f>
        <v>30550</v>
      </c>
      <c r="AD268" s="1" t="str">
        <f ca="1">IFERROR(__xludf.DUMMYFUNCTION("""COMPUTED_VALUE"""),"PERE")</f>
        <v>PERE</v>
      </c>
      <c r="AE268" s="1" t="str">
        <f ca="1">IFERROR(__xludf.DUMMYFUNCTION("""COMPUTED_VALUE"""),"MERE")</f>
        <v>MERE</v>
      </c>
      <c r="AF268" s="1" t="str">
        <f ca="1">IFERROR(__xludf.DUMMYFUNCTION("""COMPUTED_VALUE"""),"FRANCE")</f>
        <v>FRANCE</v>
      </c>
      <c r="AG268" s="1" t="str">
        <f ca="1">IFERROR(__xludf.DUMMYFUNCTION("""COMPUTED_VALUE"""),"SENEGAL")</f>
        <v>SENEGAL</v>
      </c>
      <c r="AH268" s="1"/>
      <c r="AI268" s="1"/>
      <c r="AJ268" s="1" t="str">
        <f ca="1">IFERROR(__xludf.DUMMYFUNCTION("""COMPUTED_VALUE"""),"F1351")</f>
        <v>F1351</v>
      </c>
      <c r="AK268" s="1" t="str">
        <f ca="1">IFERROR(__xludf.DUMMYFUNCTION("""COMPUTED_VALUE"""),"Marié(e)")</f>
        <v>Marié(e)</v>
      </c>
      <c r="AL268" s="1" t="str">
        <f ca="1">IFERROR(__xludf.DUMMYFUNCTION("""COMPUTED_VALUE"""),"Marié(e)")</f>
        <v>Marié(e)</v>
      </c>
      <c r="AM268" s="1" t="str">
        <f ca="1">IFERROR(__xludf.DUMMYFUNCTION("""COMPUTED_VALUE"""),"F1351")</f>
        <v>F1351</v>
      </c>
    </row>
    <row r="269" spans="1:39" ht="13" x14ac:dyDescent="0.15">
      <c r="A269" s="1" t="str">
        <f ca="1">IFERROR(__xludf.DUMMYFUNCTION("""COMPUTED_VALUE"""),"GROS-DUBOIS David Mohamed")</f>
        <v>GROS-DUBOIS David Mohamed</v>
      </c>
      <c r="B269" s="1" t="str">
        <f ca="1">IFERROR(__xludf.DUMMYFUNCTION("""COMPUTED_VALUE"""),"GROS-DUBOIS")</f>
        <v>GROS-DUBOIS</v>
      </c>
      <c r="C269" s="1" t="str">
        <f ca="1">IFERROR(__xludf.DUMMYFUNCTION("""COMPUTED_VALUE"""),"David Mohamed")</f>
        <v>David Mohamed</v>
      </c>
      <c r="D269" s="1" t="str">
        <f ca="1">IFERROR(__xludf.DUMMYFUNCTION("""COMPUTED_VALUE"""),"1351E2")</f>
        <v>1351E2</v>
      </c>
      <c r="E269" s="2">
        <f ca="1">IFERROR(__xludf.DUMMYFUNCTION("""COMPUTED_VALUE"""),41985)</f>
        <v>41985</v>
      </c>
      <c r="F269" s="1" t="str">
        <f ca="1">IFERROR(__xludf.DUMMYFUNCTION("""COMPUTED_VALUE"""),"6EME1")</f>
        <v>6EME1</v>
      </c>
      <c r="G269" s="1" t="str">
        <f ca="1">IFERROR(__xludf.DUMMYFUNCTION("""COMPUTED_VALUE"""),"6ème")</f>
        <v>6ème</v>
      </c>
      <c r="H269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269" s="1" t="str">
        <f ca="1">IFERROR(__xludf.DUMMYFUNCTION("""COMPUTED_VALUE"""),"LVA Anglais")</f>
        <v>LVA Anglais</v>
      </c>
      <c r="J269" s="1" t="str">
        <f ca="1">IFERROR(__xludf.DUMMYFUNCTION("""COMPUTED_VALUE"""),"LVB Espagnol")</f>
        <v>LVB Espagnol</v>
      </c>
      <c r="K269" s="1"/>
      <c r="L269" s="1"/>
      <c r="M269" s="1"/>
      <c r="N269" s="1" t="str">
        <f ca="1">IFERROR(__xludf.DUMMYFUNCTION("""COMPUTED_VALUE"""),"Garçon")</f>
        <v>Garçon</v>
      </c>
      <c r="O269" s="1"/>
      <c r="P269" s="1" t="str">
        <f ca="1">IFERROR(__xludf.DUMMYFUNCTION("""COMPUTED_VALUE"""),"FRANCE")</f>
        <v>FRANCE</v>
      </c>
      <c r="Q269" s="1" t="str">
        <f ca="1">IFERROR(__xludf.DUMMYFUNCTION("""COMPUTED_VALUE"""),"SENEGAL")</f>
        <v>SENEGAL</v>
      </c>
      <c r="R269" s="1" t="str">
        <f ca="1">IFERROR(__xludf.DUMMYFUNCTION("""COMPUTED_VALUE"""),"david.gros-dubois@lfjpsaly.org")</f>
        <v>david.gros-dubois@lfjpsaly.org</v>
      </c>
      <c r="S269" s="1"/>
      <c r="T269" s="1" t="str">
        <f ca="1">IFERROR(__xludf.DUMMYFUNCTION("""COMPUTED_VALUE"""),"GROS-DUBOIS Jean")</f>
        <v>GROS-DUBOIS Jean</v>
      </c>
      <c r="U269" s="1" t="str">
        <f ca="1">IFERROR(__xludf.DUMMYFUNCTION("""COMPUTED_VALUE"""),"GROS DUBOIS Mariama")</f>
        <v>GROS DUBOIS Mariama</v>
      </c>
      <c r="V269" s="1" t="str">
        <f ca="1">IFERROR(__xludf.DUMMYFUNCTION("""COMPUTED_VALUE"""),"rianedubois22@gmail.com")</f>
        <v>rianedubois22@gmail.com</v>
      </c>
      <c r="W269" s="1" t="str">
        <f ca="1">IFERROR(__xludf.DUMMYFUNCTION("""COMPUTED_VALUE"""),"rianedubois22@gmail.com")</f>
        <v>rianedubois22@gmail.com</v>
      </c>
      <c r="X269" s="1" t="str">
        <f ca="1">IFERROR(__xludf.DUMMYFUNCTION("""COMPUTED_VALUE"""),"+221 77 616 03 86")</f>
        <v>+221 77 616 03 86</v>
      </c>
      <c r="Y269" s="1" t="str">
        <f ca="1">IFERROR(__xludf.DUMMYFUNCTION("""COMPUTED_VALUE"""),"+221 77 616 03 86")</f>
        <v>+221 77 616 03 86</v>
      </c>
      <c r="Z269" s="1" t="str">
        <f ca="1">IFERROR(__xludf.DUMMYFUNCTION("""COMPUTED_VALUE"""),"+2210033603534940")</f>
        <v>+2210033603534940</v>
      </c>
      <c r="AA269" s="1" t="str">
        <f ca="1">IFERROR(__xludf.DUMMYFUNCTION("""COMPUTED_VALUE"""),"+221 77 616 03 86")</f>
        <v>+221 77 616 03 86</v>
      </c>
      <c r="AB269" s="2">
        <f ca="1">IFERROR(__xludf.DUMMYFUNCTION("""COMPUTED_VALUE"""),21541)</f>
        <v>21541</v>
      </c>
      <c r="AC269" s="2">
        <f ca="1">IFERROR(__xludf.DUMMYFUNCTION("""COMPUTED_VALUE"""),30550)</f>
        <v>30550</v>
      </c>
      <c r="AD269" s="1" t="str">
        <f ca="1">IFERROR(__xludf.DUMMYFUNCTION("""COMPUTED_VALUE"""),"PERE")</f>
        <v>PERE</v>
      </c>
      <c r="AE269" s="1" t="str">
        <f ca="1">IFERROR(__xludf.DUMMYFUNCTION("""COMPUTED_VALUE"""),"MERE")</f>
        <v>MERE</v>
      </c>
      <c r="AF269" s="1" t="str">
        <f ca="1">IFERROR(__xludf.DUMMYFUNCTION("""COMPUTED_VALUE"""),"FRANCE")</f>
        <v>FRANCE</v>
      </c>
      <c r="AG269" s="1" t="str">
        <f ca="1">IFERROR(__xludf.DUMMYFUNCTION("""COMPUTED_VALUE"""),"SENEGAL")</f>
        <v>SENEGAL</v>
      </c>
      <c r="AH269" s="1"/>
      <c r="AI269" s="1"/>
      <c r="AJ269" s="1" t="str">
        <f ca="1">IFERROR(__xludf.DUMMYFUNCTION("""COMPUTED_VALUE"""),"F1351")</f>
        <v>F1351</v>
      </c>
      <c r="AK269" s="1" t="str">
        <f ca="1">IFERROR(__xludf.DUMMYFUNCTION("""COMPUTED_VALUE"""),"Marié(e)")</f>
        <v>Marié(e)</v>
      </c>
      <c r="AL269" s="1" t="str">
        <f ca="1">IFERROR(__xludf.DUMMYFUNCTION("""COMPUTED_VALUE"""),"Marié(e)")</f>
        <v>Marié(e)</v>
      </c>
      <c r="AM269" s="1" t="str">
        <f ca="1">IFERROR(__xludf.DUMMYFUNCTION("""COMPUTED_VALUE"""),"F1351")</f>
        <v>F1351</v>
      </c>
    </row>
    <row r="270" spans="1:39" ht="13" x14ac:dyDescent="0.15">
      <c r="A270" s="1" t="str">
        <f ca="1">IFERROR(__xludf.DUMMYFUNCTION("""COMPUTED_VALUE"""),"GUEYE Aïcha Françoise")</f>
        <v>GUEYE Aïcha Françoise</v>
      </c>
      <c r="B270" s="1" t="str">
        <f ca="1">IFERROR(__xludf.DUMMYFUNCTION("""COMPUTED_VALUE"""),"GUEYE")</f>
        <v>GUEYE</v>
      </c>
      <c r="C270" s="1" t="str">
        <f ca="1">IFERROR(__xludf.DUMMYFUNCTION("""COMPUTED_VALUE"""),"Aïcha Françoise")</f>
        <v>Aïcha Françoise</v>
      </c>
      <c r="D270" s="1" t="str">
        <f ca="1">IFERROR(__xludf.DUMMYFUNCTION("""COMPUTED_VALUE"""),"1354E1")</f>
        <v>1354E1</v>
      </c>
      <c r="E270" s="2">
        <f ca="1">IFERROR(__xludf.DUMMYFUNCTION("""COMPUTED_VALUE"""),42114)</f>
        <v>42114</v>
      </c>
      <c r="F270" s="1" t="str">
        <f ca="1">IFERROR(__xludf.DUMMYFUNCTION("""COMPUTED_VALUE"""),"CM2B")</f>
        <v>CM2B</v>
      </c>
      <c r="G270" s="1" t="str">
        <f ca="1">IFERROR(__xludf.DUMMYFUNCTION("""COMPUTED_VALUE"""),"CM2")</f>
        <v>CM2</v>
      </c>
      <c r="H270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270" s="1"/>
      <c r="J270" s="1"/>
      <c r="K270" s="1"/>
      <c r="L270" s="1"/>
      <c r="M270" s="1"/>
      <c r="N270" s="1" t="str">
        <f ca="1">IFERROR(__xludf.DUMMYFUNCTION("""COMPUTED_VALUE"""),"Fille")</f>
        <v>Fille</v>
      </c>
      <c r="O270" s="1"/>
      <c r="P270" s="1" t="str">
        <f ca="1">IFERROR(__xludf.DUMMYFUNCTION("""COMPUTED_VALUE"""),"SENEGAL")</f>
        <v>SENEGAL</v>
      </c>
      <c r="Q270" s="1"/>
      <c r="R270" s="1"/>
      <c r="S270" s="1"/>
      <c r="T270" s="1" t="str">
        <f ca="1">IFERROR(__xludf.DUMMYFUNCTION("""COMPUTED_VALUE"""),"DIOUF Ngone")</f>
        <v>DIOUF Ngone</v>
      </c>
      <c r="U270" s="1"/>
      <c r="V270" s="1" t="str">
        <f ca="1">IFERROR(__xludf.DUMMYFUNCTION("""COMPUTED_VALUE"""),"ngoneteranga@gmail.com")</f>
        <v>ngoneteranga@gmail.com</v>
      </c>
      <c r="W270" s="1"/>
      <c r="X270" s="1" t="str">
        <f ca="1">IFERROR(__xludf.DUMMYFUNCTION("""COMPUTED_VALUE"""),"+221 77 631 79 99")</f>
        <v>+221 77 631 79 99</v>
      </c>
      <c r="Y270" s="1"/>
      <c r="Z270" s="1" t="str">
        <f ca="1">IFERROR(__xludf.DUMMYFUNCTION("""COMPUTED_VALUE"""),"+221")</f>
        <v>+221</v>
      </c>
      <c r="AA270" s="1"/>
      <c r="AB270" s="2">
        <f ca="1">IFERROR(__xludf.DUMMYFUNCTION("""COMPUTED_VALUE"""),27335)</f>
        <v>27335</v>
      </c>
      <c r="AC270" s="1"/>
      <c r="AD270" s="1" t="str">
        <f ca="1">IFERROR(__xludf.DUMMYFUNCTION("""COMPUTED_VALUE"""),"MERE")</f>
        <v>MERE</v>
      </c>
      <c r="AE270" s="1"/>
      <c r="AF270" s="1" t="str">
        <f ca="1">IFERROR(__xludf.DUMMYFUNCTION("""COMPUTED_VALUE"""),"SENEGAL")</f>
        <v>SENEGAL</v>
      </c>
      <c r="AG270" s="1"/>
      <c r="AH270" s="1"/>
      <c r="AI270" s="1"/>
      <c r="AJ270" s="1" t="str">
        <f ca="1">IFERROR(__xludf.DUMMYFUNCTION("""COMPUTED_VALUE"""),"F1354")</f>
        <v>F1354</v>
      </c>
      <c r="AK270" s="1" t="str">
        <f ca="1">IFERROR(__xludf.DUMMYFUNCTION("""COMPUTED_VALUE"""),"Célibataire")</f>
        <v>Célibataire</v>
      </c>
      <c r="AL270" s="1"/>
      <c r="AM270" s="1" t="str">
        <f ca="1">IFERROR(__xludf.DUMMYFUNCTION("""COMPUTED_VALUE"""),"F1354")</f>
        <v>F1354</v>
      </c>
    </row>
    <row r="271" spans="1:39" ht="13" x14ac:dyDescent="0.15">
      <c r="A271" s="1" t="str">
        <f ca="1">IFERROR(__xludf.DUMMYFUNCTION("""COMPUTED_VALUE"""),"GUEYE Ismaël Ousmane")</f>
        <v>GUEYE Ismaël Ousmane</v>
      </c>
      <c r="B271" s="1" t="str">
        <f ca="1">IFERROR(__xludf.DUMMYFUNCTION("""COMPUTED_VALUE"""),"GUEYE")</f>
        <v>GUEYE</v>
      </c>
      <c r="C271" s="1" t="str">
        <f ca="1">IFERROR(__xludf.DUMMYFUNCTION("""COMPUTED_VALUE"""),"Ismaël Ousmane")</f>
        <v>Ismaël Ousmane</v>
      </c>
      <c r="D271" s="1" t="str">
        <f ca="1">IFERROR(__xludf.DUMMYFUNCTION("""COMPUTED_VALUE"""),"1564E2")</f>
        <v>1564E2</v>
      </c>
      <c r="E271" s="2">
        <f ca="1">IFERROR(__xludf.DUMMYFUNCTION("""COMPUTED_VALUE"""),41125)</f>
        <v>41125</v>
      </c>
      <c r="F271" s="1" t="str">
        <f ca="1">IFERROR(__xludf.DUMMYFUNCTION("""COMPUTED_VALUE"""),"4EME2")</f>
        <v>4EME2</v>
      </c>
      <c r="G271" s="1" t="str">
        <f ca="1">IFERROR(__xludf.DUMMYFUNCTION("""COMPUTED_VALUE"""),"4ème")</f>
        <v>4ème</v>
      </c>
      <c r="H271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271" s="1" t="str">
        <f ca="1">IFERROR(__xludf.DUMMYFUNCTION("""COMPUTED_VALUE"""),"LVA Anglais")</f>
        <v>LVA Anglais</v>
      </c>
      <c r="J271" s="1" t="str">
        <f ca="1">IFERROR(__xludf.DUMMYFUNCTION("""COMPUTED_VALUE"""),"LVB Espagnol")</f>
        <v>LVB Espagnol</v>
      </c>
      <c r="K271" s="1"/>
      <c r="L271" s="1"/>
      <c r="M271" s="1"/>
      <c r="N271" s="1" t="str">
        <f ca="1">IFERROR(__xludf.DUMMYFUNCTION("""COMPUTED_VALUE"""),"Garçon")</f>
        <v>Garçon</v>
      </c>
      <c r="O271" s="1"/>
      <c r="P271" s="1" t="str">
        <f ca="1">IFERROR(__xludf.DUMMYFUNCTION("""COMPUTED_VALUE"""),"FRANCE")</f>
        <v>FRANCE</v>
      </c>
      <c r="Q271" s="1" t="str">
        <f ca="1">IFERROR(__xludf.DUMMYFUNCTION("""COMPUTED_VALUE"""),"SENEGAL")</f>
        <v>SENEGAL</v>
      </c>
      <c r="R271" s="1" t="str">
        <f ca="1">IFERROR(__xludf.DUMMYFUNCTION("""COMPUTED_VALUE"""),"ismael.gueye@lfjpsaly.org")</f>
        <v>ismael.gueye@lfjpsaly.org</v>
      </c>
      <c r="S271" s="1"/>
      <c r="T271" s="1" t="str">
        <f ca="1">IFERROR(__xludf.DUMMYFUNCTION("""COMPUTED_VALUE"""),"STRIVE Valérie Raphoz")</f>
        <v>STRIVE Valérie Raphoz</v>
      </c>
      <c r="U271" s="1" t="str">
        <f ca="1">IFERROR(__xludf.DUMMYFUNCTION("""COMPUTED_VALUE"""),"SOUMAHORO Djenebou")</f>
        <v>SOUMAHORO Djenebou</v>
      </c>
      <c r="V271" s="1" t="str">
        <f ca="1">IFERROR(__xludf.DUMMYFUNCTION("""COMPUTED_VALUE"""),"vraphoz@strivefootballgroup.com")</f>
        <v>vraphoz@strivefootballgroup.com</v>
      </c>
      <c r="W271" s="1" t="str">
        <f ca="1">IFERROR(__xludf.DUMMYFUNCTION("""COMPUTED_VALUE"""),"soumahorozeinab2@gmail.com")</f>
        <v>soumahorozeinab2@gmail.com</v>
      </c>
      <c r="X271" s="1" t="str">
        <f ca="1">IFERROR(__xludf.DUMMYFUNCTION("""COMPUTED_VALUE"""),"+33 6 50 85 20 71")</f>
        <v>+33 6 50 85 20 71</v>
      </c>
      <c r="Y271" s="1" t="str">
        <f ca="1">IFERROR(__xludf.DUMMYFUNCTION("""COMPUTED_VALUE"""),"+221 78 733 82 89")</f>
        <v>+221 78 733 82 89</v>
      </c>
      <c r="Z271" s="1" t="str">
        <f ca="1">IFERROR(__xludf.DUMMYFUNCTION("""COMPUTED_VALUE"""),"+221")</f>
        <v>+221</v>
      </c>
      <c r="AA271" s="1" t="str">
        <f ca="1">IFERROR(__xludf.DUMMYFUNCTION("""COMPUTED_VALUE"""),"+221")</f>
        <v>+221</v>
      </c>
      <c r="AB271" s="2">
        <f ca="1">IFERROR(__xludf.DUMMYFUNCTION("""COMPUTED_VALUE"""),44754)</f>
        <v>44754</v>
      </c>
      <c r="AC271" s="2">
        <f ca="1">IFERROR(__xludf.DUMMYFUNCTION("""COMPUTED_VALUE"""),35883)</f>
        <v>35883</v>
      </c>
      <c r="AD271" s="1" t="str">
        <f ca="1">IFERROR(__xludf.DUMMYFUNCTION("""COMPUTED_VALUE"""),"TUTEUR")</f>
        <v>TUTEUR</v>
      </c>
      <c r="AE271" s="1" t="str">
        <f ca="1">IFERROR(__xludf.DUMMYFUNCTION("""COMPUTED_VALUE"""),"TUTEUR")</f>
        <v>TUTEUR</v>
      </c>
      <c r="AF271" s="1" t="str">
        <f ca="1">IFERROR(__xludf.DUMMYFUNCTION("""COMPUTED_VALUE"""),"FRANCE")</f>
        <v>FRANCE</v>
      </c>
      <c r="AG271" s="1" t="str">
        <f ca="1">IFERROR(__xludf.DUMMYFUNCTION("""COMPUTED_VALUE"""),"COTE D'IVOIRE")</f>
        <v>COTE D'IVOIRE</v>
      </c>
      <c r="AH271" s="1" t="str">
        <f ca="1">IFERROR(__xludf.DUMMYFUNCTION("""COMPUTED_VALUE"""),"FRANCE")</f>
        <v>FRANCE</v>
      </c>
      <c r="AI271" s="1"/>
      <c r="AJ271" s="1" t="str">
        <f ca="1">IFERROR(__xludf.DUMMYFUNCTION("""COMPUTED_VALUE"""),"F1575")</f>
        <v>F1575</v>
      </c>
      <c r="AK271" s="1" t="str">
        <f ca="1">IFERROR(__xludf.DUMMYFUNCTION("""COMPUTED_VALUE"""),"Marié(e)")</f>
        <v>Marié(e)</v>
      </c>
      <c r="AL271" s="1" t="str">
        <f ca="1">IFERROR(__xludf.DUMMYFUNCTION("""COMPUTED_VALUE"""),"Marié(e)")</f>
        <v>Marié(e)</v>
      </c>
      <c r="AM271" s="1" t="str">
        <f ca="1">IFERROR(__xludf.DUMMYFUNCTION("""COMPUTED_VALUE"""),"F1575")</f>
        <v>F1575</v>
      </c>
    </row>
    <row r="272" spans="1:39" ht="13" x14ac:dyDescent="0.15">
      <c r="A272" s="1" t="str">
        <f ca="1">IFERROR(__xludf.DUMMYFUNCTION("""COMPUTED_VALUE"""),"GUEYE Ramatoulaye")</f>
        <v>GUEYE Ramatoulaye</v>
      </c>
      <c r="B272" s="1" t="str">
        <f ca="1">IFERROR(__xludf.DUMMYFUNCTION("""COMPUTED_VALUE"""),"GUEYE")</f>
        <v>GUEYE</v>
      </c>
      <c r="C272" s="1" t="str">
        <f ca="1">IFERROR(__xludf.DUMMYFUNCTION("""COMPUTED_VALUE"""),"Ramatoulaye")</f>
        <v>Ramatoulaye</v>
      </c>
      <c r="D272" s="1" t="str">
        <f ca="1">IFERROR(__xludf.DUMMYFUNCTION("""COMPUTED_VALUE"""),"11853S2693")</f>
        <v>11853S2693</v>
      </c>
      <c r="E272" s="2">
        <f ca="1">IFERROR(__xludf.DUMMYFUNCTION("""COMPUTED_VALUE"""),43488)</f>
        <v>43488</v>
      </c>
      <c r="F272" s="1" t="str">
        <f ca="1">IFERROR(__xludf.DUMMYFUNCTION("""COMPUTED_VALUE"""),"CP")</f>
        <v>CP</v>
      </c>
      <c r="G272" s="1" t="str">
        <f ca="1">IFERROR(__xludf.DUMMYFUNCTION("""COMPUTED_VALUE"""),"CP")</f>
        <v>CP</v>
      </c>
      <c r="H272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272" s="1"/>
      <c r="J272" s="1"/>
      <c r="K272" s="1"/>
      <c r="L272" s="1"/>
      <c r="M272" s="1"/>
      <c r="N272" s="1" t="str">
        <f ca="1">IFERROR(__xludf.DUMMYFUNCTION("""COMPUTED_VALUE"""),"Fille")</f>
        <v>Fille</v>
      </c>
      <c r="O272" s="1"/>
      <c r="P272" s="1" t="str">
        <f ca="1">IFERROR(__xludf.DUMMYFUNCTION("""COMPUTED_VALUE"""),"SENEGAL")</f>
        <v>SENEGAL</v>
      </c>
      <c r="Q272" s="1" t="str">
        <f ca="1">IFERROR(__xludf.DUMMYFUNCTION("""COMPUTED_VALUE"""),"SENEGAL")</f>
        <v>SENEGAL</v>
      </c>
      <c r="R272" s="1"/>
      <c r="S272" s="1" t="str">
        <f ca="1">IFERROR(__xludf.DUMMYFUNCTION("""COMPUTED_VALUE"""),"+221")</f>
        <v>+221</v>
      </c>
      <c r="T272" s="1" t="str">
        <f ca="1">IFERROR(__xludf.DUMMYFUNCTION("""COMPUTED_VALUE"""),"MARONE Fatou")</f>
        <v>MARONE Fatou</v>
      </c>
      <c r="U272" s="1" t="str">
        <f ca="1">IFERROR(__xludf.DUMMYFUNCTION("""COMPUTED_VALUE"""),"LUMINA Corrado")</f>
        <v>LUMINA Corrado</v>
      </c>
      <c r="V272" s="1" t="str">
        <f ca="1">IFERROR(__xludf.DUMMYFUNCTION("""COMPUTED_VALUE"""),"maronef923@gmail.com")</f>
        <v>maronef923@gmail.com</v>
      </c>
      <c r="W272" s="1" t="str">
        <f ca="1">IFERROR(__xludf.DUMMYFUNCTION("""COMPUTED_VALUE"""),"luminacorrado1@gmail.com")</f>
        <v>luminacorrado1@gmail.com</v>
      </c>
      <c r="X272" s="1" t="str">
        <f ca="1">IFERROR(__xludf.DUMMYFUNCTION("""COMPUTED_VALUE"""),"+221 78 868 25 65")</f>
        <v>+221 78 868 25 65</v>
      </c>
      <c r="Y272" s="1" t="str">
        <f ca="1">IFERROR(__xludf.DUMMYFUNCTION("""COMPUTED_VALUE"""),"+221 78 868 25 65")</f>
        <v>+221 78 868 25 65</v>
      </c>
      <c r="Z272" s="1" t="str">
        <f ca="1">IFERROR(__xludf.DUMMYFUNCTION("""COMPUTED_VALUE"""),"+221 78 868 25 65")</f>
        <v>+221 78 868 25 65</v>
      </c>
      <c r="AA272" s="1" t="str">
        <f ca="1">IFERROR(__xludf.DUMMYFUNCTION("""COMPUTED_VALUE"""),"+39 375 808 2159")</f>
        <v>+39 375 808 2159</v>
      </c>
      <c r="AB272" s="2">
        <f ca="1">IFERROR(__xludf.DUMMYFUNCTION("""COMPUTED_VALUE"""),36954)</f>
        <v>36954</v>
      </c>
      <c r="AC272" s="2">
        <f ca="1">IFERROR(__xludf.DUMMYFUNCTION("""COMPUTED_VALUE"""),23864)</f>
        <v>23864</v>
      </c>
      <c r="AD272" s="1" t="str">
        <f ca="1">IFERROR(__xludf.DUMMYFUNCTION("""COMPUTED_VALUE"""),"MERE")</f>
        <v>MERE</v>
      </c>
      <c r="AE272" s="1" t="str">
        <f ca="1">IFERROR(__xludf.DUMMYFUNCTION("""COMPUTED_VALUE"""),"AUTRE LIEN")</f>
        <v>AUTRE LIEN</v>
      </c>
      <c r="AF272" s="1" t="str">
        <f ca="1">IFERROR(__xludf.DUMMYFUNCTION("""COMPUTED_VALUE"""),"SENEGAL")</f>
        <v>SENEGAL</v>
      </c>
      <c r="AG272" s="1" t="str">
        <f ca="1">IFERROR(__xludf.DUMMYFUNCTION("""COMPUTED_VALUE"""),"ITALIE")</f>
        <v>ITALIE</v>
      </c>
      <c r="AH272" s="1" t="str">
        <f ca="1">IFERROR(__xludf.DUMMYFUNCTION("""COMPUTED_VALUE"""),"SENEGAL")</f>
        <v>SENEGAL</v>
      </c>
      <c r="AI272" s="1" t="str">
        <f ca="1">IFERROR(__xludf.DUMMYFUNCTION("""COMPUTED_VALUE"""),"ITALIE")</f>
        <v>ITALIE</v>
      </c>
      <c r="AJ272" s="1" t="str">
        <f ca="1">IFERROR(__xludf.DUMMYFUNCTION("""COMPUTED_VALUE"""),"U11853")</f>
        <v>U11853</v>
      </c>
      <c r="AK272" s="1" t="str">
        <f ca="1">IFERROR(__xludf.DUMMYFUNCTION("""COMPUTED_VALUE"""),"Marié(e)")</f>
        <v>Marié(e)</v>
      </c>
      <c r="AL272" s="1" t="str">
        <f ca="1">IFERROR(__xludf.DUMMYFUNCTION("""COMPUTED_VALUE"""),"Marié(e)")</f>
        <v>Marié(e)</v>
      </c>
      <c r="AM272" s="1" t="str">
        <f ca="1">IFERROR(__xludf.DUMMYFUNCTION("""COMPUTED_VALUE"""),"U11853")</f>
        <v>U11853</v>
      </c>
    </row>
    <row r="273" spans="1:39" ht="13" x14ac:dyDescent="0.15">
      <c r="A273" s="1" t="str">
        <f ca="1">IFERROR(__xludf.DUMMYFUNCTION("""COMPUTED_VALUE"""),"GUEYE Serigne Béthio")</f>
        <v>GUEYE Serigne Béthio</v>
      </c>
      <c r="B273" s="1" t="str">
        <f ca="1">IFERROR(__xludf.DUMMYFUNCTION("""COMPUTED_VALUE"""),"GUEYE")</f>
        <v>GUEYE</v>
      </c>
      <c r="C273" s="1" t="str">
        <f ca="1">IFERROR(__xludf.DUMMYFUNCTION("""COMPUTED_VALUE"""),"Serigne Béthio")</f>
        <v>Serigne Béthio</v>
      </c>
      <c r="D273" s="1" t="str">
        <f ca="1">IFERROR(__xludf.DUMMYFUNCTION("""COMPUTED_VALUE"""),"11882S2735")</f>
        <v>11882S2735</v>
      </c>
      <c r="E273" s="2">
        <f ca="1">IFERROR(__xludf.DUMMYFUNCTION("""COMPUTED_VALUE"""),42794)</f>
        <v>42794</v>
      </c>
      <c r="F273" s="1" t="str">
        <f ca="1">IFERROR(__xludf.DUMMYFUNCTION("""COMPUTED_VALUE"""),"CP-CE2")</f>
        <v>CP-CE2</v>
      </c>
      <c r="G273" s="1" t="str">
        <f ca="1">IFERROR(__xludf.DUMMYFUNCTION("""COMPUTED_VALUE"""),"CE2")</f>
        <v>CE2</v>
      </c>
      <c r="H273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273" s="1"/>
      <c r="J273" s="1"/>
      <c r="K273" s="1"/>
      <c r="L273" s="1"/>
      <c r="M273" s="1"/>
      <c r="N273" s="1" t="str">
        <f ca="1">IFERROR(__xludf.DUMMYFUNCTION("""COMPUTED_VALUE"""),"Garçon")</f>
        <v>Garçon</v>
      </c>
      <c r="O273" s="1"/>
      <c r="P273" s="1" t="str">
        <f ca="1">IFERROR(__xludf.DUMMYFUNCTION("""COMPUTED_VALUE"""),"SENEGAL")</f>
        <v>SENEGAL</v>
      </c>
      <c r="Q273" s="1"/>
      <c r="R273" s="1"/>
      <c r="S273" s="1" t="str">
        <f ca="1">IFERROR(__xludf.DUMMYFUNCTION("""COMPUTED_VALUE"""),"+221")</f>
        <v>+221</v>
      </c>
      <c r="T273" s="1" t="str">
        <f ca="1">IFERROR(__xludf.DUMMYFUNCTION("""COMPUTED_VALUE"""),"DIACK Fatoumata Bintou")</f>
        <v>DIACK Fatoumata Bintou</v>
      </c>
      <c r="U273" s="1" t="str">
        <f ca="1">IFERROR(__xludf.DUMMYFUNCTION("""COMPUTED_VALUE"""),"GUEYE Limamoul Djouneyni")</f>
        <v>GUEYE Limamoul Djouneyni</v>
      </c>
      <c r="V273" s="1" t="str">
        <f ca="1">IFERROR(__xludf.DUMMYFUNCTION("""COMPUTED_VALUE"""),"fabidiack@gmail.com")</f>
        <v>fabidiack@gmail.com</v>
      </c>
      <c r="W273" s="1" t="str">
        <f ca="1">IFERROR(__xludf.DUMMYFUNCTION("""COMPUTED_VALUE"""),"fabidiack@icloud.com")</f>
        <v>fabidiack@icloud.com</v>
      </c>
      <c r="X273" s="1" t="str">
        <f ca="1">IFERROR(__xludf.DUMMYFUNCTION("""COMPUTED_VALUE"""),"+221 77 391 53 58")</f>
        <v>+221 77 391 53 58</v>
      </c>
      <c r="Y273" s="1" t="str">
        <f ca="1">IFERROR(__xludf.DUMMYFUNCTION("""COMPUTED_VALUE"""),"+221 78 382 00 89")</f>
        <v>+221 78 382 00 89</v>
      </c>
      <c r="Z273" s="1" t="str">
        <f ca="1">IFERROR(__xludf.DUMMYFUNCTION("""COMPUTED_VALUE"""),"+33 7 86 06 94 85")</f>
        <v>+33 7 86 06 94 85</v>
      </c>
      <c r="AA273" s="1" t="str">
        <f ca="1">IFERROR(__xludf.DUMMYFUNCTION("""COMPUTED_VALUE"""),"+33 6 98 28 11 22")</f>
        <v>+33 6 98 28 11 22</v>
      </c>
      <c r="AB273" s="2">
        <f ca="1">IFERROR(__xludf.DUMMYFUNCTION("""COMPUTED_VALUE"""),34435)</f>
        <v>34435</v>
      </c>
      <c r="AC273" s="2">
        <f ca="1">IFERROR(__xludf.DUMMYFUNCTION("""COMPUTED_VALUE"""),26990)</f>
        <v>26990</v>
      </c>
      <c r="AD273" s="1" t="str">
        <f ca="1">IFERROR(__xludf.DUMMYFUNCTION("""COMPUTED_VALUE"""),"MERE")</f>
        <v>MERE</v>
      </c>
      <c r="AE273" s="1" t="str">
        <f ca="1">IFERROR(__xludf.DUMMYFUNCTION("""COMPUTED_VALUE"""),"PERE")</f>
        <v>PERE</v>
      </c>
      <c r="AF273" s="1" t="str">
        <f ca="1">IFERROR(__xludf.DUMMYFUNCTION("""COMPUTED_VALUE"""),"SENEGAL")</f>
        <v>SENEGAL</v>
      </c>
      <c r="AG273" s="1" t="str">
        <f ca="1">IFERROR(__xludf.DUMMYFUNCTION("""COMPUTED_VALUE"""),"SENEGAL")</f>
        <v>SENEGAL</v>
      </c>
      <c r="AH273" s="1"/>
      <c r="AI273" s="1"/>
      <c r="AJ273" s="1" t="str">
        <f ca="1">IFERROR(__xludf.DUMMYFUNCTION("""COMPUTED_VALUE"""),"U11882")</f>
        <v>U11882</v>
      </c>
      <c r="AK273" s="1" t="str">
        <f ca="1">IFERROR(__xludf.DUMMYFUNCTION("""COMPUTED_VALUE"""),"CONCUBINAGE")</f>
        <v>CONCUBINAGE</v>
      </c>
      <c r="AL273" s="1" t="str">
        <f ca="1">IFERROR(__xludf.DUMMYFUNCTION("""COMPUTED_VALUE"""),"CONCUBINAGE")</f>
        <v>CONCUBINAGE</v>
      </c>
      <c r="AM273" s="1" t="str">
        <f ca="1">IFERROR(__xludf.DUMMYFUNCTION("""COMPUTED_VALUE"""),"U11882")</f>
        <v>U11882</v>
      </c>
    </row>
    <row r="274" spans="1:39" ht="13" x14ac:dyDescent="0.15">
      <c r="A274" s="1" t="str">
        <f ca="1">IFERROR(__xludf.DUMMYFUNCTION("""COMPUTED_VALUE"""),"GUEYE Serigne Béthiou Saliou")</f>
        <v>GUEYE Serigne Béthiou Saliou</v>
      </c>
      <c r="B274" s="1" t="str">
        <f ca="1">IFERROR(__xludf.DUMMYFUNCTION("""COMPUTED_VALUE"""),"GUEYE")</f>
        <v>GUEYE</v>
      </c>
      <c r="C274" s="1" t="str">
        <f ca="1">IFERROR(__xludf.DUMMYFUNCTION("""COMPUTED_VALUE"""),"Serigne Béthiou Saliou")</f>
        <v>Serigne Béthiou Saliou</v>
      </c>
      <c r="D274" s="1" t="str">
        <f ca="1">IFERROR(__xludf.DUMMYFUNCTION("""COMPUTED_VALUE"""),"11882S2754")</f>
        <v>11882S2754</v>
      </c>
      <c r="E274" s="2">
        <f ca="1">IFERROR(__xludf.DUMMYFUNCTION("""COMPUTED_VALUE"""),43939)</f>
        <v>43939</v>
      </c>
      <c r="F274" s="1" t="str">
        <f ca="1">IFERROR(__xludf.DUMMYFUNCTION("""COMPUTED_VALUE"""),"CP")</f>
        <v>CP</v>
      </c>
      <c r="G274" s="1" t="str">
        <f ca="1">IFERROR(__xludf.DUMMYFUNCTION("""COMPUTED_VALUE"""),"CP")</f>
        <v>CP</v>
      </c>
      <c r="H274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274" s="1"/>
      <c r="J274" s="1"/>
      <c r="K274" s="1"/>
      <c r="L274" s="1"/>
      <c r="M274" s="1"/>
      <c r="N274" s="1" t="str">
        <f ca="1">IFERROR(__xludf.DUMMYFUNCTION("""COMPUTED_VALUE"""),"Garçon")</f>
        <v>Garçon</v>
      </c>
      <c r="O274" s="1"/>
      <c r="P274" s="1" t="str">
        <f ca="1">IFERROR(__xludf.DUMMYFUNCTION("""COMPUTED_VALUE"""),"SENEGAL")</f>
        <v>SENEGAL</v>
      </c>
      <c r="Q274" s="1"/>
      <c r="R274" s="1"/>
      <c r="S274" s="1" t="str">
        <f ca="1">IFERROR(__xludf.DUMMYFUNCTION("""COMPUTED_VALUE"""),"+221")</f>
        <v>+221</v>
      </c>
      <c r="T274" s="1" t="str">
        <f ca="1">IFERROR(__xludf.DUMMYFUNCTION("""COMPUTED_VALUE"""),"DIACK Fatoumata Bintou")</f>
        <v>DIACK Fatoumata Bintou</v>
      </c>
      <c r="U274" s="1" t="str">
        <f ca="1">IFERROR(__xludf.DUMMYFUNCTION("""COMPUTED_VALUE"""),"GUEYE Limamoul Djouneyni")</f>
        <v>GUEYE Limamoul Djouneyni</v>
      </c>
      <c r="V274" s="1" t="str">
        <f ca="1">IFERROR(__xludf.DUMMYFUNCTION("""COMPUTED_VALUE"""),"fabidiack@gmail.com")</f>
        <v>fabidiack@gmail.com</v>
      </c>
      <c r="W274" s="1" t="str">
        <f ca="1">IFERROR(__xludf.DUMMYFUNCTION("""COMPUTED_VALUE"""),"fabidiack@icloud.com")</f>
        <v>fabidiack@icloud.com</v>
      </c>
      <c r="X274" s="1" t="str">
        <f ca="1">IFERROR(__xludf.DUMMYFUNCTION("""COMPUTED_VALUE"""),"+221 77 391 53 58")</f>
        <v>+221 77 391 53 58</v>
      </c>
      <c r="Y274" s="1" t="str">
        <f ca="1">IFERROR(__xludf.DUMMYFUNCTION("""COMPUTED_VALUE"""),"+221 78 382 00 89")</f>
        <v>+221 78 382 00 89</v>
      </c>
      <c r="Z274" s="1" t="str">
        <f ca="1">IFERROR(__xludf.DUMMYFUNCTION("""COMPUTED_VALUE"""),"+33 7 86 06 94 85")</f>
        <v>+33 7 86 06 94 85</v>
      </c>
      <c r="AA274" s="1" t="str">
        <f ca="1">IFERROR(__xludf.DUMMYFUNCTION("""COMPUTED_VALUE"""),"+33 6 98 28 11 22")</f>
        <v>+33 6 98 28 11 22</v>
      </c>
      <c r="AB274" s="2">
        <f ca="1">IFERROR(__xludf.DUMMYFUNCTION("""COMPUTED_VALUE"""),34435)</f>
        <v>34435</v>
      </c>
      <c r="AC274" s="2">
        <f ca="1">IFERROR(__xludf.DUMMYFUNCTION("""COMPUTED_VALUE"""),26990)</f>
        <v>26990</v>
      </c>
      <c r="AD274" s="1" t="str">
        <f ca="1">IFERROR(__xludf.DUMMYFUNCTION("""COMPUTED_VALUE"""),"MERE")</f>
        <v>MERE</v>
      </c>
      <c r="AE274" s="1" t="str">
        <f ca="1">IFERROR(__xludf.DUMMYFUNCTION("""COMPUTED_VALUE"""),"PERE")</f>
        <v>PERE</v>
      </c>
      <c r="AF274" s="1" t="str">
        <f ca="1">IFERROR(__xludf.DUMMYFUNCTION("""COMPUTED_VALUE"""),"SENEGAL")</f>
        <v>SENEGAL</v>
      </c>
      <c r="AG274" s="1" t="str">
        <f ca="1">IFERROR(__xludf.DUMMYFUNCTION("""COMPUTED_VALUE"""),"SENEGAL")</f>
        <v>SENEGAL</v>
      </c>
      <c r="AH274" s="1"/>
      <c r="AI274" s="1"/>
      <c r="AJ274" s="1" t="str">
        <f ca="1">IFERROR(__xludf.DUMMYFUNCTION("""COMPUTED_VALUE"""),"U11882")</f>
        <v>U11882</v>
      </c>
      <c r="AK274" s="1" t="str">
        <f ca="1">IFERROR(__xludf.DUMMYFUNCTION("""COMPUTED_VALUE"""),"CONCUBINAGE")</f>
        <v>CONCUBINAGE</v>
      </c>
      <c r="AL274" s="1" t="str">
        <f ca="1">IFERROR(__xludf.DUMMYFUNCTION("""COMPUTED_VALUE"""),"CONCUBINAGE")</f>
        <v>CONCUBINAGE</v>
      </c>
      <c r="AM274" s="1" t="str">
        <f ca="1">IFERROR(__xludf.DUMMYFUNCTION("""COMPUTED_VALUE"""),"U11882")</f>
        <v>U11882</v>
      </c>
    </row>
    <row r="275" spans="1:39" ht="13" x14ac:dyDescent="0.15">
      <c r="A275" s="1" t="str">
        <f ca="1">IFERROR(__xludf.DUMMYFUNCTION("""COMPUTED_VALUE"""),"GUEYE Sokhna Coumba Rose")</f>
        <v>GUEYE Sokhna Coumba Rose</v>
      </c>
      <c r="B275" s="1" t="str">
        <f ca="1">IFERROR(__xludf.DUMMYFUNCTION("""COMPUTED_VALUE"""),"GUEYE")</f>
        <v>GUEYE</v>
      </c>
      <c r="C275" s="1" t="str">
        <f ca="1">IFERROR(__xludf.DUMMYFUNCTION("""COMPUTED_VALUE"""),"Sokhna Coumba Rose")</f>
        <v>Sokhna Coumba Rose</v>
      </c>
      <c r="D275" s="1" t="str">
        <f ca="1">IFERROR(__xludf.DUMMYFUNCTION("""COMPUTED_VALUE"""),"11882S2763")</f>
        <v>11882S2763</v>
      </c>
      <c r="E275" s="2">
        <f ca="1">IFERROR(__xludf.DUMMYFUNCTION("""COMPUTED_VALUE"""),41432)</f>
        <v>41432</v>
      </c>
      <c r="F275" s="1" t="str">
        <f ca="1">IFERROR(__xludf.DUMMYFUNCTION("""COMPUTED_VALUE"""),"5EME2")</f>
        <v>5EME2</v>
      </c>
      <c r="G275" s="1" t="str">
        <f ca="1">IFERROR(__xludf.DUMMYFUNCTION("""COMPUTED_VALUE"""),"5ème")</f>
        <v>5ème</v>
      </c>
      <c r="H275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275" s="1" t="str">
        <f ca="1">IFERROR(__xludf.DUMMYFUNCTION("""COMPUTED_VALUE"""),"LVA Anglais")</f>
        <v>LVA Anglais</v>
      </c>
      <c r="J275" s="1" t="str">
        <f ca="1">IFERROR(__xludf.DUMMYFUNCTION("""COMPUTED_VALUE"""),"LVB Espagnol")</f>
        <v>LVB Espagnol</v>
      </c>
      <c r="K275" s="1"/>
      <c r="L275" s="1"/>
      <c r="M275" s="1"/>
      <c r="N275" s="1" t="str">
        <f ca="1">IFERROR(__xludf.DUMMYFUNCTION("""COMPUTED_VALUE"""),"Fille")</f>
        <v>Fille</v>
      </c>
      <c r="O275" s="1"/>
      <c r="P275" s="1" t="str">
        <f ca="1">IFERROR(__xludf.DUMMYFUNCTION("""COMPUTED_VALUE"""),"SENEGAL")</f>
        <v>SENEGAL</v>
      </c>
      <c r="Q275" s="1"/>
      <c r="R275" s="1" t="str">
        <f ca="1">IFERROR(__xludf.DUMMYFUNCTION("""COMPUTED_VALUE"""),"sokhna.gueye@lfjpsaly.org")</f>
        <v>sokhna.gueye@lfjpsaly.org</v>
      </c>
      <c r="S275" s="1" t="str">
        <f ca="1">IFERROR(__xludf.DUMMYFUNCTION("""COMPUTED_VALUE"""),"+221")</f>
        <v>+221</v>
      </c>
      <c r="T275" s="1" t="str">
        <f ca="1">IFERROR(__xludf.DUMMYFUNCTION("""COMPUTED_VALUE"""),"DIACK Fatoumata Bintou")</f>
        <v>DIACK Fatoumata Bintou</v>
      </c>
      <c r="U275" s="1" t="str">
        <f ca="1">IFERROR(__xludf.DUMMYFUNCTION("""COMPUTED_VALUE"""),"GUEYE Limamoul Djouneyni")</f>
        <v>GUEYE Limamoul Djouneyni</v>
      </c>
      <c r="V275" s="1" t="str">
        <f ca="1">IFERROR(__xludf.DUMMYFUNCTION("""COMPUTED_VALUE"""),"fabidiack@gmail.com")</f>
        <v>fabidiack@gmail.com</v>
      </c>
      <c r="W275" s="1" t="str">
        <f ca="1">IFERROR(__xludf.DUMMYFUNCTION("""COMPUTED_VALUE"""),"fabidiack@icloud.com")</f>
        <v>fabidiack@icloud.com</v>
      </c>
      <c r="X275" s="1" t="str">
        <f ca="1">IFERROR(__xludf.DUMMYFUNCTION("""COMPUTED_VALUE"""),"+221 77 391 53 58")</f>
        <v>+221 77 391 53 58</v>
      </c>
      <c r="Y275" s="1" t="str">
        <f ca="1">IFERROR(__xludf.DUMMYFUNCTION("""COMPUTED_VALUE"""),"+221 78 382 00 89")</f>
        <v>+221 78 382 00 89</v>
      </c>
      <c r="Z275" s="1" t="str">
        <f ca="1">IFERROR(__xludf.DUMMYFUNCTION("""COMPUTED_VALUE"""),"+33 7 86 06 94 85")</f>
        <v>+33 7 86 06 94 85</v>
      </c>
      <c r="AA275" s="1" t="str">
        <f ca="1">IFERROR(__xludf.DUMMYFUNCTION("""COMPUTED_VALUE"""),"+33 6 98 28 11 22")</f>
        <v>+33 6 98 28 11 22</v>
      </c>
      <c r="AB275" s="2">
        <f ca="1">IFERROR(__xludf.DUMMYFUNCTION("""COMPUTED_VALUE"""),34435)</f>
        <v>34435</v>
      </c>
      <c r="AC275" s="2">
        <f ca="1">IFERROR(__xludf.DUMMYFUNCTION("""COMPUTED_VALUE"""),26990)</f>
        <v>26990</v>
      </c>
      <c r="AD275" s="1" t="str">
        <f ca="1">IFERROR(__xludf.DUMMYFUNCTION("""COMPUTED_VALUE"""),"MERE")</f>
        <v>MERE</v>
      </c>
      <c r="AE275" s="1" t="str">
        <f ca="1">IFERROR(__xludf.DUMMYFUNCTION("""COMPUTED_VALUE"""),"PERE")</f>
        <v>PERE</v>
      </c>
      <c r="AF275" s="1" t="str">
        <f ca="1">IFERROR(__xludf.DUMMYFUNCTION("""COMPUTED_VALUE"""),"SENEGAL")</f>
        <v>SENEGAL</v>
      </c>
      <c r="AG275" s="1" t="str">
        <f ca="1">IFERROR(__xludf.DUMMYFUNCTION("""COMPUTED_VALUE"""),"SENEGAL")</f>
        <v>SENEGAL</v>
      </c>
      <c r="AH275" s="1"/>
      <c r="AI275" s="1"/>
      <c r="AJ275" s="1" t="str">
        <f ca="1">IFERROR(__xludf.DUMMYFUNCTION("""COMPUTED_VALUE"""),"U11882")</f>
        <v>U11882</v>
      </c>
      <c r="AK275" s="1" t="str">
        <f ca="1">IFERROR(__xludf.DUMMYFUNCTION("""COMPUTED_VALUE"""),"CONCUBINAGE")</f>
        <v>CONCUBINAGE</v>
      </c>
      <c r="AL275" s="1" t="str">
        <f ca="1">IFERROR(__xludf.DUMMYFUNCTION("""COMPUTED_VALUE"""),"CONCUBINAGE")</f>
        <v>CONCUBINAGE</v>
      </c>
      <c r="AM275" s="1" t="str">
        <f ca="1">IFERROR(__xludf.DUMMYFUNCTION("""COMPUTED_VALUE"""),"U11882")</f>
        <v>U11882</v>
      </c>
    </row>
    <row r="276" spans="1:39" ht="13" x14ac:dyDescent="0.15">
      <c r="A276" s="1" t="str">
        <f ca="1">IFERROR(__xludf.DUMMYFUNCTION("""COMPUTED_VALUE"""),"GUINET Ethan Yancouba")</f>
        <v>GUINET Ethan Yancouba</v>
      </c>
      <c r="B276" s="1" t="str">
        <f ca="1">IFERROR(__xludf.DUMMYFUNCTION("""COMPUTED_VALUE"""),"GUINET")</f>
        <v>GUINET</v>
      </c>
      <c r="C276" s="1" t="str">
        <f ca="1">IFERROR(__xludf.DUMMYFUNCTION("""COMPUTED_VALUE"""),"Ethan Yancouba")</f>
        <v>Ethan Yancouba</v>
      </c>
      <c r="D276" s="1" t="str">
        <f ca="1">IFERROR(__xludf.DUMMYFUNCTION("""COMPUTED_VALUE"""),"1660E1")</f>
        <v>1660E1</v>
      </c>
      <c r="E276" s="2">
        <f ca="1">IFERROR(__xludf.DUMMYFUNCTION("""COMPUTED_VALUE"""),43322)</f>
        <v>43322</v>
      </c>
      <c r="F276" s="1" t="str">
        <f ca="1">IFERROR(__xludf.DUMMYFUNCTION("""COMPUTED_VALUE"""),"CP")</f>
        <v>CP</v>
      </c>
      <c r="G276" s="1" t="str">
        <f ca="1">IFERROR(__xludf.DUMMYFUNCTION("""COMPUTED_VALUE"""),"CP")</f>
        <v>CP</v>
      </c>
      <c r="H276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276" s="1"/>
      <c r="J276" s="1"/>
      <c r="K276" s="1"/>
      <c r="L276" s="1"/>
      <c r="M276" s="1"/>
      <c r="N276" s="1" t="str">
        <f ca="1">IFERROR(__xludf.DUMMYFUNCTION("""COMPUTED_VALUE"""),"Garçon")</f>
        <v>Garçon</v>
      </c>
      <c r="O276" s="1"/>
      <c r="P276" s="1" t="str">
        <f ca="1">IFERROR(__xludf.DUMMYFUNCTION("""COMPUTED_VALUE"""),"SENEGAL")</f>
        <v>SENEGAL</v>
      </c>
      <c r="Q276" s="1" t="str">
        <f ca="1">IFERROR(__xludf.DUMMYFUNCTION("""COMPUTED_VALUE"""),"FRANCE")</f>
        <v>FRANCE</v>
      </c>
      <c r="R276" s="1"/>
      <c r="S276" s="1"/>
      <c r="T276" s="1" t="str">
        <f ca="1">IFERROR(__xludf.DUMMYFUNCTION("""COMPUTED_VALUE"""),"GUINET Jean Pierre")</f>
        <v>GUINET Jean Pierre</v>
      </c>
      <c r="U276" s="1" t="str">
        <f ca="1">IFERROR(__xludf.DUMMYFUNCTION("""COMPUTED_VALUE"""),"DIEDHIOU Aïssatou")</f>
        <v>DIEDHIOU Aïssatou</v>
      </c>
      <c r="V276" s="1" t="str">
        <f ca="1">IFERROR(__xludf.DUMMYFUNCTION("""COMPUTED_VALUE"""),"gjp44000@gmail.com")</f>
        <v>gjp44000@gmail.com</v>
      </c>
      <c r="W276" s="1" t="str">
        <f ca="1">IFERROR(__xludf.DUMMYFUNCTION("""COMPUTED_VALUE"""),"dividjp@gmail.com")</f>
        <v>dividjp@gmail.com</v>
      </c>
      <c r="X276" s="1" t="str">
        <f ca="1">IFERROR(__xludf.DUMMYFUNCTION("""COMPUTED_VALUE"""),"771664574")</f>
        <v>771664574</v>
      </c>
      <c r="Y276" s="1" t="str">
        <f ca="1">IFERROR(__xludf.DUMMYFUNCTION("""COMPUTED_VALUE"""),"778616461")</f>
        <v>778616461</v>
      </c>
      <c r="Z276" s="1"/>
      <c r="AA276" s="1"/>
      <c r="AB276" s="2">
        <f ca="1">IFERROR(__xludf.DUMMYFUNCTION("""COMPUTED_VALUE"""),21946)</f>
        <v>21946</v>
      </c>
      <c r="AC276" s="2">
        <f ca="1">IFERROR(__xludf.DUMMYFUNCTION("""COMPUTED_VALUE"""),35387)</f>
        <v>35387</v>
      </c>
      <c r="AD276" s="1" t="str">
        <f ca="1">IFERROR(__xludf.DUMMYFUNCTION("""COMPUTED_VALUE"""),"PERE")</f>
        <v>PERE</v>
      </c>
      <c r="AE276" s="1" t="str">
        <f ca="1">IFERROR(__xludf.DUMMYFUNCTION("""COMPUTED_VALUE"""),"MERE")</f>
        <v>MERE</v>
      </c>
      <c r="AF276" s="1" t="str">
        <f ca="1">IFERROR(__xludf.DUMMYFUNCTION("""COMPUTED_VALUE"""),"FRANCE")</f>
        <v>FRANCE</v>
      </c>
      <c r="AG276" s="1" t="str">
        <f ca="1">IFERROR(__xludf.DUMMYFUNCTION("""COMPUTED_VALUE"""),"SENEGAL")</f>
        <v>SENEGAL</v>
      </c>
      <c r="AH276" s="1"/>
      <c r="AI276" s="1"/>
      <c r="AJ276" s="1" t="str">
        <f ca="1">IFERROR(__xludf.DUMMYFUNCTION("""COMPUTED_VALUE"""),"F1660")</f>
        <v>F1660</v>
      </c>
      <c r="AK276" s="1" t="str">
        <f ca="1">IFERROR(__xludf.DUMMYFUNCTION("""COMPUTED_VALUE"""),"Séparé(e)")</f>
        <v>Séparé(e)</v>
      </c>
      <c r="AL276" s="1" t="str">
        <f ca="1">IFERROR(__xludf.DUMMYFUNCTION("""COMPUTED_VALUE"""),"Séparé(e)")</f>
        <v>Séparé(e)</v>
      </c>
      <c r="AM276" s="1" t="str">
        <f ca="1">IFERROR(__xludf.DUMMYFUNCTION("""COMPUTED_VALUE"""),"F1660")</f>
        <v>F1660</v>
      </c>
    </row>
    <row r="277" spans="1:39" ht="13" x14ac:dyDescent="0.15">
      <c r="A277" s="1" t="str">
        <f ca="1">IFERROR(__xludf.DUMMYFUNCTION("""COMPUTED_VALUE"""),"HABEILLON Enzo")</f>
        <v>HABEILLON Enzo</v>
      </c>
      <c r="B277" s="1" t="str">
        <f ca="1">IFERROR(__xludf.DUMMYFUNCTION("""COMPUTED_VALUE"""),"HABEILLON")</f>
        <v>HABEILLON</v>
      </c>
      <c r="C277" s="1" t="str">
        <f ca="1">IFERROR(__xludf.DUMMYFUNCTION("""COMPUTED_VALUE"""),"Enzo")</f>
        <v>Enzo</v>
      </c>
      <c r="D277" s="1" t="str">
        <f ca="1">IFERROR(__xludf.DUMMYFUNCTION("""COMPUTED_VALUE"""),"1357E1")</f>
        <v>1357E1</v>
      </c>
      <c r="E277" s="2">
        <f ca="1">IFERROR(__xludf.DUMMYFUNCTION("""COMPUTED_VALUE"""),41836)</f>
        <v>41836</v>
      </c>
      <c r="F277" s="1" t="str">
        <f ca="1">IFERROR(__xludf.DUMMYFUNCTION("""COMPUTED_VALUE"""),"6EME1")</f>
        <v>6EME1</v>
      </c>
      <c r="G277" s="1" t="str">
        <f ca="1">IFERROR(__xludf.DUMMYFUNCTION("""COMPUTED_VALUE"""),"6ème")</f>
        <v>6ème</v>
      </c>
      <c r="H277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277" s="1" t="str">
        <f ca="1">IFERROR(__xludf.DUMMYFUNCTION("""COMPUTED_VALUE"""),"LVA Anglais")</f>
        <v>LVA Anglais</v>
      </c>
      <c r="J277" s="1" t="str">
        <f ca="1">IFERROR(__xludf.DUMMYFUNCTION("""COMPUTED_VALUE"""),"LVB Espagnol")</f>
        <v>LVB Espagnol</v>
      </c>
      <c r="K277" s="1"/>
      <c r="L277" s="1"/>
      <c r="M277" s="1"/>
      <c r="N277" s="1" t="str">
        <f ca="1">IFERROR(__xludf.DUMMYFUNCTION("""COMPUTED_VALUE"""),"Garçon")</f>
        <v>Garçon</v>
      </c>
      <c r="O277" s="1"/>
      <c r="P277" s="1" t="str">
        <f ca="1">IFERROR(__xludf.DUMMYFUNCTION("""COMPUTED_VALUE"""),"FRANCE")</f>
        <v>FRANCE</v>
      </c>
      <c r="Q277" s="1"/>
      <c r="R277" s="1" t="str">
        <f ca="1">IFERROR(__xludf.DUMMYFUNCTION("""COMPUTED_VALUE"""),"enzo.habeillon@lfjpsaly.org")</f>
        <v>enzo.habeillon@lfjpsaly.org</v>
      </c>
      <c r="S277" s="1"/>
      <c r="T277" s="1" t="str">
        <f ca="1">IFERROR(__xludf.DUMMYFUNCTION("""COMPUTED_VALUE"""),"KA Maïmouna Fall")</f>
        <v>KA Maïmouna Fall</v>
      </c>
      <c r="U277" s="1" t="str">
        <f ca="1">IFERROR(__xludf.DUMMYFUNCTION("""COMPUTED_VALUE"""),"TRAORÉ Khady")</f>
        <v>TRAORÉ Khady</v>
      </c>
      <c r="V277" s="1" t="str">
        <f ca="1">IFERROR(__xludf.DUMMYFUNCTION("""COMPUTED_VALUE"""),"ycineka1981@gmail.com")</f>
        <v>ycineka1981@gmail.com</v>
      </c>
      <c r="W277" s="1" t="str">
        <f ca="1">IFERROR(__xludf.DUMMYFUNCTION("""COMPUTED_VALUE"""),"ycineka1981@gmail.com")</f>
        <v>ycineka1981@gmail.com</v>
      </c>
      <c r="X277" s="1" t="str">
        <f ca="1">IFERROR(__xludf.DUMMYFUNCTION("""COMPUTED_VALUE"""),"+221 78 192 85 03")</f>
        <v>+221 78 192 85 03</v>
      </c>
      <c r="Y277" s="1" t="str">
        <f ca="1">IFERROR(__xludf.DUMMYFUNCTION("""COMPUTED_VALUE"""),"77 534 36 37")</f>
        <v>77 534 36 37</v>
      </c>
      <c r="Z277" s="1" t="str">
        <f ca="1">IFERROR(__xludf.DUMMYFUNCTION("""COMPUTED_VALUE"""),"+221")</f>
        <v>+221</v>
      </c>
      <c r="AA277" s="1"/>
      <c r="AB277" s="2">
        <f ca="1">IFERROR(__xludf.DUMMYFUNCTION("""COMPUTED_VALUE"""),29677)</f>
        <v>29677</v>
      </c>
      <c r="AC277" s="2">
        <f ca="1">IFERROR(__xludf.DUMMYFUNCTION("""COMPUTED_VALUE"""),37505)</f>
        <v>37505</v>
      </c>
      <c r="AD277" s="1" t="str">
        <f ca="1">IFERROR(__xludf.DUMMYFUNCTION("""COMPUTED_VALUE"""),"MERE")</f>
        <v>MERE</v>
      </c>
      <c r="AE277" s="1" t="str">
        <f ca="1">IFERROR(__xludf.DUMMYFUNCTION("""COMPUTED_VALUE"""),"SŒUR")</f>
        <v>SŒUR</v>
      </c>
      <c r="AF277" s="1" t="str">
        <f ca="1">IFERROR(__xludf.DUMMYFUNCTION("""COMPUTED_VALUE"""),"SENEGAL")</f>
        <v>SENEGAL</v>
      </c>
      <c r="AG277" s="1" t="str">
        <f ca="1">IFERROR(__xludf.DUMMYFUNCTION("""COMPUTED_VALUE"""),"SENEGAL")</f>
        <v>SENEGAL</v>
      </c>
      <c r="AH277" s="1"/>
      <c r="AI277" s="1"/>
      <c r="AJ277" s="1" t="str">
        <f ca="1">IFERROR(__xludf.DUMMYFUNCTION("""COMPUTED_VALUE"""),"F1357")</f>
        <v>F1357</v>
      </c>
      <c r="AK277" s="1" t="str">
        <f ca="1">IFERROR(__xludf.DUMMYFUNCTION("""COMPUTED_VALUE"""),"Célibataire")</f>
        <v>Célibataire</v>
      </c>
      <c r="AL277" s="1" t="str">
        <f ca="1">IFERROR(__xludf.DUMMYFUNCTION("""COMPUTED_VALUE"""),"Célibataire")</f>
        <v>Célibataire</v>
      </c>
      <c r="AM277" s="1" t="str">
        <f ca="1">IFERROR(__xludf.DUMMYFUNCTION("""COMPUTED_VALUE"""),"F1357")</f>
        <v>F1357</v>
      </c>
    </row>
    <row r="278" spans="1:39" ht="13" x14ac:dyDescent="0.15">
      <c r="A278" s="1" t="str">
        <f ca="1">IFERROR(__xludf.DUMMYFUNCTION("""COMPUTED_VALUE"""),"HACHIM Hussein")</f>
        <v>HACHIM Hussein</v>
      </c>
      <c r="B278" s="1" t="str">
        <f ca="1">IFERROR(__xludf.DUMMYFUNCTION("""COMPUTED_VALUE"""),"HACHIM")</f>
        <v>HACHIM</v>
      </c>
      <c r="C278" s="1" t="str">
        <f ca="1">IFERROR(__xludf.DUMMYFUNCTION("""COMPUTED_VALUE"""),"Hussein")</f>
        <v>Hussein</v>
      </c>
      <c r="D278" s="1" t="str">
        <f ca="1">IFERROR(__xludf.DUMMYFUNCTION("""COMPUTED_VALUE"""),"1661E1")</f>
        <v>1661E1</v>
      </c>
      <c r="E278" s="2">
        <f ca="1">IFERROR(__xludf.DUMMYFUNCTION("""COMPUTED_VALUE"""),43314)</f>
        <v>43314</v>
      </c>
      <c r="F278" s="1" t="str">
        <f ca="1">IFERROR(__xludf.DUMMYFUNCTION("""COMPUTED_VALUE"""),"CE1A")</f>
        <v>CE1A</v>
      </c>
      <c r="G278" s="1" t="str">
        <f ca="1">IFERROR(__xludf.DUMMYFUNCTION("""COMPUTED_VALUE"""),"CE1")</f>
        <v>CE1</v>
      </c>
      <c r="H278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278" s="1"/>
      <c r="J278" s="1"/>
      <c r="K278" s="1"/>
      <c r="L278" s="1"/>
      <c r="M278" s="1"/>
      <c r="N278" s="1" t="str">
        <f ca="1">IFERROR(__xludf.DUMMYFUNCTION("""COMPUTED_VALUE"""),"Garçon")</f>
        <v>Garçon</v>
      </c>
      <c r="O278" s="1"/>
      <c r="P278" s="1" t="str">
        <f ca="1">IFERROR(__xludf.DUMMYFUNCTION("""COMPUTED_VALUE"""),"FRANCE")</f>
        <v>FRANCE</v>
      </c>
      <c r="Q278" s="1" t="str">
        <f ca="1">IFERROR(__xludf.DUMMYFUNCTION("""COMPUTED_VALUE"""),"SENEGAL")</f>
        <v>SENEGAL</v>
      </c>
      <c r="R278" s="1"/>
      <c r="S278" s="1"/>
      <c r="T278" s="1" t="str">
        <f ca="1">IFERROR(__xludf.DUMMYFUNCTION("""COMPUTED_VALUE"""),"BADER Zarifa")</f>
        <v>BADER Zarifa</v>
      </c>
      <c r="U278" s="1" t="str">
        <f ca="1">IFERROR(__xludf.DUMMYFUNCTION("""COMPUTED_VALUE"""),"HACHIM Mohamed")</f>
        <v>HACHIM Mohamed</v>
      </c>
      <c r="V278" s="1" t="str">
        <f ca="1">IFERROR(__xludf.DUMMYFUNCTION("""COMPUTED_VALUE"""),"baderzarifa@gmail.com")</f>
        <v>baderzarifa@gmail.com</v>
      </c>
      <c r="W278" s="1" t="str">
        <f ca="1">IFERROR(__xludf.DUMMYFUNCTION("""COMPUTED_VALUE"""),"hachim21@gmail.com")</f>
        <v>hachim21@gmail.com</v>
      </c>
      <c r="X278" s="1" t="str">
        <f ca="1">IFERROR(__xludf.DUMMYFUNCTION("""COMPUTED_VALUE"""),"+221 71 018 47 56")</f>
        <v>+221 71 018 47 56</v>
      </c>
      <c r="Y278" s="1" t="str">
        <f ca="1">IFERROR(__xludf.DUMMYFUNCTION("""COMPUTED_VALUE"""),"+223 92 11 11 72")</f>
        <v>+223 92 11 11 72</v>
      </c>
      <c r="Z278" s="1" t="str">
        <f ca="1">IFERROR(__xludf.DUMMYFUNCTION("""COMPUTED_VALUE"""),"+221 71 018 47 56")</f>
        <v>+221 71 018 47 56</v>
      </c>
      <c r="AA278" s="1" t="str">
        <f ca="1">IFERROR(__xludf.DUMMYFUNCTION("""COMPUTED_VALUE"""),"+221")</f>
        <v>+221</v>
      </c>
      <c r="AB278" s="2">
        <f ca="1">IFERROR(__xludf.DUMMYFUNCTION("""COMPUTED_VALUE"""),34439)</f>
        <v>34439</v>
      </c>
      <c r="AC278" s="2">
        <f ca="1">IFERROR(__xludf.DUMMYFUNCTION("""COMPUTED_VALUE"""),32437)</f>
        <v>32437</v>
      </c>
      <c r="AD278" s="1" t="str">
        <f ca="1">IFERROR(__xludf.DUMMYFUNCTION("""COMPUTED_VALUE"""),"MERE")</f>
        <v>MERE</v>
      </c>
      <c r="AE278" s="1" t="str">
        <f ca="1">IFERROR(__xludf.DUMMYFUNCTION("""COMPUTED_VALUE"""),"PERE")</f>
        <v>PERE</v>
      </c>
      <c r="AF278" s="1" t="str">
        <f ca="1">IFERROR(__xludf.DUMMYFUNCTION("""COMPUTED_VALUE"""),"FRANCE")</f>
        <v>FRANCE</v>
      </c>
      <c r="AG278" s="1" t="str">
        <f ca="1">IFERROR(__xludf.DUMMYFUNCTION("""COMPUTED_VALUE"""),"SENEGAL")</f>
        <v>SENEGAL</v>
      </c>
      <c r="AH278" s="1" t="str">
        <f ca="1">IFERROR(__xludf.DUMMYFUNCTION("""COMPUTED_VALUE"""),"SENEGAL")</f>
        <v>SENEGAL</v>
      </c>
      <c r="AI278" s="1"/>
      <c r="AJ278" s="1" t="str">
        <f ca="1">IFERROR(__xludf.DUMMYFUNCTION("""COMPUTED_VALUE"""),"F1661")</f>
        <v>F1661</v>
      </c>
      <c r="AK278" s="1" t="str">
        <f ca="1">IFERROR(__xludf.DUMMYFUNCTION("""COMPUTED_VALUE"""),"Marié(e)")</f>
        <v>Marié(e)</v>
      </c>
      <c r="AL278" s="1" t="str">
        <f ca="1">IFERROR(__xludf.DUMMYFUNCTION("""COMPUTED_VALUE"""),"Marié(e)")</f>
        <v>Marié(e)</v>
      </c>
      <c r="AM278" s="1" t="str">
        <f ca="1">IFERROR(__xludf.DUMMYFUNCTION("""COMPUTED_VALUE"""),"F1661")</f>
        <v>F1661</v>
      </c>
    </row>
    <row r="279" spans="1:39" ht="13" x14ac:dyDescent="0.15">
      <c r="A279" s="1" t="str">
        <f ca="1">IFERROR(__xludf.DUMMYFUNCTION("""COMPUTED_VALUE"""),"HACHIM Louane")</f>
        <v>HACHIM Louane</v>
      </c>
      <c r="B279" s="1" t="str">
        <f ca="1">IFERROR(__xludf.DUMMYFUNCTION("""COMPUTED_VALUE"""),"HACHIM")</f>
        <v>HACHIM</v>
      </c>
      <c r="C279" s="1" t="str">
        <f ca="1">IFERROR(__xludf.DUMMYFUNCTION("""COMPUTED_VALUE"""),"Louane")</f>
        <v>Louane</v>
      </c>
      <c r="D279" s="1" t="str">
        <f ca="1">IFERROR(__xludf.DUMMYFUNCTION("""COMPUTED_VALUE"""),"1661E2")</f>
        <v>1661E2</v>
      </c>
      <c r="E279" s="2">
        <f ca="1">IFERROR(__xludf.DUMMYFUNCTION("""COMPUTED_VALUE"""),43309)</f>
        <v>43309</v>
      </c>
      <c r="F279" s="1" t="str">
        <f ca="1">IFERROR(__xludf.DUMMYFUNCTION("""COMPUTED_VALUE"""),"CM1B")</f>
        <v>CM1B</v>
      </c>
      <c r="G279" s="1" t="str">
        <f ca="1">IFERROR(__xludf.DUMMYFUNCTION("""COMPUTED_VALUE"""),"CM1")</f>
        <v>CM1</v>
      </c>
      <c r="H279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279" s="1"/>
      <c r="J279" s="1"/>
      <c r="K279" s="1"/>
      <c r="L279" s="1"/>
      <c r="M279" s="1"/>
      <c r="N279" s="1" t="str">
        <f ca="1">IFERROR(__xludf.DUMMYFUNCTION("""COMPUTED_VALUE"""),"Fille")</f>
        <v>Fille</v>
      </c>
      <c r="O279" s="1"/>
      <c r="P279" s="1" t="str">
        <f ca="1">IFERROR(__xludf.DUMMYFUNCTION("""COMPUTED_VALUE"""),"FRANCE")</f>
        <v>FRANCE</v>
      </c>
      <c r="Q279" s="1" t="str">
        <f ca="1">IFERROR(__xludf.DUMMYFUNCTION("""COMPUTED_VALUE"""),"SENEGAL")</f>
        <v>SENEGAL</v>
      </c>
      <c r="R279" s="1"/>
      <c r="S279" s="1"/>
      <c r="T279" s="1" t="str">
        <f ca="1">IFERROR(__xludf.DUMMYFUNCTION("""COMPUTED_VALUE"""),"BADER Zarifa")</f>
        <v>BADER Zarifa</v>
      </c>
      <c r="U279" s="1" t="str">
        <f ca="1">IFERROR(__xludf.DUMMYFUNCTION("""COMPUTED_VALUE"""),"HACHIM Mohamed")</f>
        <v>HACHIM Mohamed</v>
      </c>
      <c r="V279" s="1" t="str">
        <f ca="1">IFERROR(__xludf.DUMMYFUNCTION("""COMPUTED_VALUE"""),"baderzarifa@gmail.com")</f>
        <v>baderzarifa@gmail.com</v>
      </c>
      <c r="W279" s="1" t="str">
        <f ca="1">IFERROR(__xludf.DUMMYFUNCTION("""COMPUTED_VALUE"""),"hachim21@gmail.com")</f>
        <v>hachim21@gmail.com</v>
      </c>
      <c r="X279" s="1" t="str">
        <f ca="1">IFERROR(__xludf.DUMMYFUNCTION("""COMPUTED_VALUE"""),"+221 71 018 47 56")</f>
        <v>+221 71 018 47 56</v>
      </c>
      <c r="Y279" s="1" t="str">
        <f ca="1">IFERROR(__xludf.DUMMYFUNCTION("""COMPUTED_VALUE"""),"+223 92 11 11 72")</f>
        <v>+223 92 11 11 72</v>
      </c>
      <c r="Z279" s="1" t="str">
        <f ca="1">IFERROR(__xludf.DUMMYFUNCTION("""COMPUTED_VALUE"""),"+221 71 018 47 56")</f>
        <v>+221 71 018 47 56</v>
      </c>
      <c r="AA279" s="1" t="str">
        <f ca="1">IFERROR(__xludf.DUMMYFUNCTION("""COMPUTED_VALUE"""),"+221")</f>
        <v>+221</v>
      </c>
      <c r="AB279" s="2">
        <f ca="1">IFERROR(__xludf.DUMMYFUNCTION("""COMPUTED_VALUE"""),34439)</f>
        <v>34439</v>
      </c>
      <c r="AC279" s="2">
        <f ca="1">IFERROR(__xludf.DUMMYFUNCTION("""COMPUTED_VALUE"""),32437)</f>
        <v>32437</v>
      </c>
      <c r="AD279" s="1" t="str">
        <f ca="1">IFERROR(__xludf.DUMMYFUNCTION("""COMPUTED_VALUE"""),"MERE")</f>
        <v>MERE</v>
      </c>
      <c r="AE279" s="1" t="str">
        <f ca="1">IFERROR(__xludf.DUMMYFUNCTION("""COMPUTED_VALUE"""),"PERE")</f>
        <v>PERE</v>
      </c>
      <c r="AF279" s="1" t="str">
        <f ca="1">IFERROR(__xludf.DUMMYFUNCTION("""COMPUTED_VALUE"""),"FRANCE")</f>
        <v>FRANCE</v>
      </c>
      <c r="AG279" s="1" t="str">
        <f ca="1">IFERROR(__xludf.DUMMYFUNCTION("""COMPUTED_VALUE"""),"SENEGAL")</f>
        <v>SENEGAL</v>
      </c>
      <c r="AH279" s="1" t="str">
        <f ca="1">IFERROR(__xludf.DUMMYFUNCTION("""COMPUTED_VALUE"""),"SENEGAL")</f>
        <v>SENEGAL</v>
      </c>
      <c r="AI279" s="1"/>
      <c r="AJ279" s="1" t="str">
        <f ca="1">IFERROR(__xludf.DUMMYFUNCTION("""COMPUTED_VALUE"""),"F1661")</f>
        <v>F1661</v>
      </c>
      <c r="AK279" s="1" t="str">
        <f ca="1">IFERROR(__xludf.DUMMYFUNCTION("""COMPUTED_VALUE"""),"Marié(e)")</f>
        <v>Marié(e)</v>
      </c>
      <c r="AL279" s="1" t="str">
        <f ca="1">IFERROR(__xludf.DUMMYFUNCTION("""COMPUTED_VALUE"""),"Marié(e)")</f>
        <v>Marié(e)</v>
      </c>
      <c r="AM279" s="1" t="str">
        <f ca="1">IFERROR(__xludf.DUMMYFUNCTION("""COMPUTED_VALUE"""),"F1661")</f>
        <v>F1661</v>
      </c>
    </row>
    <row r="280" spans="1:39" ht="13" x14ac:dyDescent="0.15">
      <c r="A280" s="1" t="str">
        <f ca="1">IFERROR(__xludf.DUMMYFUNCTION("""COMPUTED_VALUE"""),"HACHIM Mehdi")</f>
        <v>HACHIM Mehdi</v>
      </c>
      <c r="B280" s="1" t="str">
        <f ca="1">IFERROR(__xludf.DUMMYFUNCTION("""COMPUTED_VALUE"""),"HACHIM")</f>
        <v>HACHIM</v>
      </c>
      <c r="C280" s="1" t="str">
        <f ca="1">IFERROR(__xludf.DUMMYFUNCTION("""COMPUTED_VALUE"""),"Mehdi")</f>
        <v>Mehdi</v>
      </c>
      <c r="D280" s="1" t="str">
        <f ca="1">IFERROR(__xludf.DUMMYFUNCTION("""COMPUTED_VALUE"""),"1358E2")</f>
        <v>1358E2</v>
      </c>
      <c r="E280" s="2">
        <f ca="1">IFERROR(__xludf.DUMMYFUNCTION("""COMPUTED_VALUE"""),41972)</f>
        <v>41972</v>
      </c>
      <c r="F280" s="1" t="str">
        <f ca="1">IFERROR(__xludf.DUMMYFUNCTION("""COMPUTED_VALUE"""),"6EME1")</f>
        <v>6EME1</v>
      </c>
      <c r="G280" s="1" t="str">
        <f ca="1">IFERROR(__xludf.DUMMYFUNCTION("""COMPUTED_VALUE"""),"6ème")</f>
        <v>6ème</v>
      </c>
      <c r="H280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280" s="1" t="str">
        <f ca="1">IFERROR(__xludf.DUMMYFUNCTION("""COMPUTED_VALUE"""),"LVA Anglais")</f>
        <v>LVA Anglais</v>
      </c>
      <c r="J280" s="1" t="str">
        <f ca="1">IFERROR(__xludf.DUMMYFUNCTION("""COMPUTED_VALUE"""),"LVB Espagnol")</f>
        <v>LVB Espagnol</v>
      </c>
      <c r="K280" s="1"/>
      <c r="L280" s="1"/>
      <c r="M280" s="1"/>
      <c r="N280" s="1" t="str">
        <f ca="1">IFERROR(__xludf.DUMMYFUNCTION("""COMPUTED_VALUE"""),"Garçon")</f>
        <v>Garçon</v>
      </c>
      <c r="O280" s="1"/>
      <c r="P280" s="1" t="str">
        <f ca="1">IFERROR(__xludf.DUMMYFUNCTION("""COMPUTED_VALUE"""),"FRANCE")</f>
        <v>FRANCE</v>
      </c>
      <c r="Q280" s="1" t="str">
        <f ca="1">IFERROR(__xludf.DUMMYFUNCTION("""COMPUTED_VALUE"""),"SENEGAL")</f>
        <v>SENEGAL</v>
      </c>
      <c r="R280" s="1" t="str">
        <f ca="1">IFERROR(__xludf.DUMMYFUNCTION("""COMPUTED_VALUE"""),"mehdi.hachim@lfjpsaly.org")</f>
        <v>mehdi.hachim@lfjpsaly.org</v>
      </c>
      <c r="S280" s="1" t="str">
        <f ca="1">IFERROR(__xludf.DUMMYFUNCTION("""COMPUTED_VALUE"""),"+221 77 165 54 17")</f>
        <v>+221 77 165 54 17</v>
      </c>
      <c r="T280" s="1" t="str">
        <f ca="1">IFERROR(__xludf.DUMMYFUNCTION("""COMPUTED_VALUE"""),"HACHIM Fadi")</f>
        <v>HACHIM Fadi</v>
      </c>
      <c r="U280" s="1" t="str">
        <f ca="1">IFERROR(__xludf.DUMMYFUNCTION("""COMPUTED_VALUE"""),"ABOUD Solange")</f>
        <v>ABOUD Solange</v>
      </c>
      <c r="V280" s="1" t="str">
        <f ca="1">IFERROR(__xludf.DUMMYFUNCTION("""COMPUTED_VALUE"""),"solfa2005@hotmail.com")</f>
        <v>solfa2005@hotmail.com</v>
      </c>
      <c r="W280" s="1" t="str">
        <f ca="1">IFERROR(__xludf.DUMMYFUNCTION("""COMPUTED_VALUE"""),"solfa2005@hotmail.com")</f>
        <v>solfa2005@hotmail.com</v>
      </c>
      <c r="X280" s="1" t="str">
        <f ca="1">IFERROR(__xludf.DUMMYFUNCTION("""COMPUTED_VALUE"""),"+221 77 165 54 17")</f>
        <v>+221 77 165 54 17</v>
      </c>
      <c r="Y280" s="1" t="str">
        <f ca="1">IFERROR(__xludf.DUMMYFUNCTION("""COMPUTED_VALUE"""),"+221 77 165 54 17")</f>
        <v>+221 77 165 54 17</v>
      </c>
      <c r="Z280" s="1" t="str">
        <f ca="1">IFERROR(__xludf.DUMMYFUNCTION("""COMPUTED_VALUE"""),"+221")</f>
        <v>+221</v>
      </c>
      <c r="AA280" s="1" t="str">
        <f ca="1">IFERROR(__xludf.DUMMYFUNCTION("""COMPUTED_VALUE"""),"+221")</f>
        <v>+221</v>
      </c>
      <c r="AB280" s="2">
        <f ca="1">IFERROR(__xludf.DUMMYFUNCTION("""COMPUTED_VALUE"""),30005)</f>
        <v>30005</v>
      </c>
      <c r="AC280" s="2">
        <f ca="1">IFERROR(__xludf.DUMMYFUNCTION("""COMPUTED_VALUE"""),30146)</f>
        <v>30146</v>
      </c>
      <c r="AD280" s="1" t="str">
        <f ca="1">IFERROR(__xludf.DUMMYFUNCTION("""COMPUTED_VALUE"""),"PERE")</f>
        <v>PERE</v>
      </c>
      <c r="AE280" s="1" t="str">
        <f ca="1">IFERROR(__xludf.DUMMYFUNCTION("""COMPUTED_VALUE"""),"MERE")</f>
        <v>MERE</v>
      </c>
      <c r="AF280" s="1" t="str">
        <f ca="1">IFERROR(__xludf.DUMMYFUNCTION("""COMPUTED_VALUE"""),"FRANCE")</f>
        <v>FRANCE</v>
      </c>
      <c r="AG280" s="1" t="str">
        <f ca="1">IFERROR(__xludf.DUMMYFUNCTION("""COMPUTED_VALUE"""),"FRANCE")</f>
        <v>FRANCE</v>
      </c>
      <c r="AH280" s="1" t="str">
        <f ca="1">IFERROR(__xludf.DUMMYFUNCTION("""COMPUTED_VALUE"""),"SENEGAL")</f>
        <v>SENEGAL</v>
      </c>
      <c r="AI280" s="1" t="str">
        <f ca="1">IFERROR(__xludf.DUMMYFUNCTION("""COMPUTED_VALUE"""),"SENEGAL")</f>
        <v>SENEGAL</v>
      </c>
      <c r="AJ280" s="1" t="str">
        <f ca="1">IFERROR(__xludf.DUMMYFUNCTION("""COMPUTED_VALUE"""),"F1358")</f>
        <v>F1358</v>
      </c>
      <c r="AK280" s="1" t="str">
        <f ca="1">IFERROR(__xludf.DUMMYFUNCTION("""COMPUTED_VALUE"""),"Marié(e)")</f>
        <v>Marié(e)</v>
      </c>
      <c r="AL280" s="1" t="str">
        <f ca="1">IFERROR(__xludf.DUMMYFUNCTION("""COMPUTED_VALUE"""),"Marié(e)")</f>
        <v>Marié(e)</v>
      </c>
      <c r="AM280" s="1" t="str">
        <f ca="1">IFERROR(__xludf.DUMMYFUNCTION("""COMPUTED_VALUE"""),"F1358")</f>
        <v>F1358</v>
      </c>
    </row>
    <row r="281" spans="1:39" ht="13" x14ac:dyDescent="0.15">
      <c r="A281" s="1" t="str">
        <f ca="1">IFERROR(__xludf.DUMMYFUNCTION("""COMPUTED_VALUE"""),"HACHIM Rayan")</f>
        <v>HACHIM Rayan</v>
      </c>
      <c r="B281" s="1" t="str">
        <f ca="1">IFERROR(__xludf.DUMMYFUNCTION("""COMPUTED_VALUE"""),"HACHIM")</f>
        <v>HACHIM</v>
      </c>
      <c r="C281" s="1" t="str">
        <f ca="1">IFERROR(__xludf.DUMMYFUNCTION("""COMPUTED_VALUE"""),"Rayan")</f>
        <v>Rayan</v>
      </c>
      <c r="D281" s="1" t="str">
        <f ca="1">IFERROR(__xludf.DUMMYFUNCTION("""COMPUTED_VALUE"""),"1358E3")</f>
        <v>1358E3</v>
      </c>
      <c r="E281" s="2">
        <f ca="1">IFERROR(__xludf.DUMMYFUNCTION("""COMPUTED_VALUE"""),39913)</f>
        <v>39913</v>
      </c>
      <c r="F281" s="1" t="str">
        <f ca="1">IFERROR(__xludf.DUMMYFUNCTION("""COMPUTED_VALUE"""),"1ERE2")</f>
        <v>1ERE2</v>
      </c>
      <c r="G281" s="1" t="str">
        <f ca="1">IFERROR(__xludf.DUMMYFUNCTION("""COMPUTED_VALUE"""),"1ère")</f>
        <v>1ère</v>
      </c>
      <c r="H281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281" s="1" t="str">
        <f ca="1">IFERROR(__xludf.DUMMYFUNCTION("""COMPUTED_VALUE"""),"LVA Anglais")</f>
        <v>LVA Anglais</v>
      </c>
      <c r="J281" s="1" t="str">
        <f ca="1">IFERROR(__xludf.DUMMYFUNCTION("""COMPUTED_VALUE"""),"LVB Espagnol")</f>
        <v>LVB Espagnol</v>
      </c>
      <c r="K281" s="1"/>
      <c r="L281" s="1"/>
      <c r="M281" s="1" t="str">
        <f ca="1">IFERROR(__xludf.DUMMYFUNCTION("""COMPUTED_VALUE"""),"SPE MATHS, SPE SES, SPE SPC")</f>
        <v>SPE MATHS, SPE SES, SPE SPC</v>
      </c>
      <c r="N281" s="1" t="str">
        <f ca="1">IFERROR(__xludf.DUMMYFUNCTION("""COMPUTED_VALUE"""),"Garçon")</f>
        <v>Garçon</v>
      </c>
      <c r="O281" s="1"/>
      <c r="P281" s="1" t="str">
        <f ca="1">IFERROR(__xludf.DUMMYFUNCTION("""COMPUTED_VALUE"""),"FRANCE")</f>
        <v>FRANCE</v>
      </c>
      <c r="Q281" s="1" t="str">
        <f ca="1">IFERROR(__xludf.DUMMYFUNCTION("""COMPUTED_VALUE"""),"SENEGAL")</f>
        <v>SENEGAL</v>
      </c>
      <c r="R281" s="1" t="str">
        <f ca="1">IFERROR(__xludf.DUMMYFUNCTION("""COMPUTED_VALUE"""),"rayan.hachim@lfjpsaly.org")</f>
        <v>rayan.hachim@lfjpsaly.org</v>
      </c>
      <c r="S281" s="1"/>
      <c r="T281" s="1" t="str">
        <f ca="1">IFERROR(__xludf.DUMMYFUNCTION("""COMPUTED_VALUE"""),"HACHIM Fadi")</f>
        <v>HACHIM Fadi</v>
      </c>
      <c r="U281" s="1" t="str">
        <f ca="1">IFERROR(__xludf.DUMMYFUNCTION("""COMPUTED_VALUE"""),"ABOUD Solange")</f>
        <v>ABOUD Solange</v>
      </c>
      <c r="V281" s="1" t="str">
        <f ca="1">IFERROR(__xludf.DUMMYFUNCTION("""COMPUTED_VALUE"""),"solfa2005@hotmail.com")</f>
        <v>solfa2005@hotmail.com</v>
      </c>
      <c r="W281" s="1" t="str">
        <f ca="1">IFERROR(__xludf.DUMMYFUNCTION("""COMPUTED_VALUE"""),"solfa2005@hotmail.com")</f>
        <v>solfa2005@hotmail.com</v>
      </c>
      <c r="X281" s="1" t="str">
        <f ca="1">IFERROR(__xludf.DUMMYFUNCTION("""COMPUTED_VALUE"""),"+221 77 165 54 17")</f>
        <v>+221 77 165 54 17</v>
      </c>
      <c r="Y281" s="1" t="str">
        <f ca="1">IFERROR(__xludf.DUMMYFUNCTION("""COMPUTED_VALUE"""),"+221 77 165 54 17")</f>
        <v>+221 77 165 54 17</v>
      </c>
      <c r="Z281" s="1" t="str">
        <f ca="1">IFERROR(__xludf.DUMMYFUNCTION("""COMPUTED_VALUE"""),"+221")</f>
        <v>+221</v>
      </c>
      <c r="AA281" s="1" t="str">
        <f ca="1">IFERROR(__xludf.DUMMYFUNCTION("""COMPUTED_VALUE"""),"+221")</f>
        <v>+221</v>
      </c>
      <c r="AB281" s="2">
        <f ca="1">IFERROR(__xludf.DUMMYFUNCTION("""COMPUTED_VALUE"""),30005)</f>
        <v>30005</v>
      </c>
      <c r="AC281" s="2">
        <f ca="1">IFERROR(__xludf.DUMMYFUNCTION("""COMPUTED_VALUE"""),30146)</f>
        <v>30146</v>
      </c>
      <c r="AD281" s="1" t="str">
        <f ca="1">IFERROR(__xludf.DUMMYFUNCTION("""COMPUTED_VALUE"""),"PERE")</f>
        <v>PERE</v>
      </c>
      <c r="AE281" s="1" t="str">
        <f ca="1">IFERROR(__xludf.DUMMYFUNCTION("""COMPUTED_VALUE"""),"MERE")</f>
        <v>MERE</v>
      </c>
      <c r="AF281" s="1" t="str">
        <f ca="1">IFERROR(__xludf.DUMMYFUNCTION("""COMPUTED_VALUE"""),"FRANCE")</f>
        <v>FRANCE</v>
      </c>
      <c r="AG281" s="1" t="str">
        <f ca="1">IFERROR(__xludf.DUMMYFUNCTION("""COMPUTED_VALUE"""),"FRANCE")</f>
        <v>FRANCE</v>
      </c>
      <c r="AH281" s="1" t="str">
        <f ca="1">IFERROR(__xludf.DUMMYFUNCTION("""COMPUTED_VALUE"""),"SENEGAL")</f>
        <v>SENEGAL</v>
      </c>
      <c r="AI281" s="1" t="str">
        <f ca="1">IFERROR(__xludf.DUMMYFUNCTION("""COMPUTED_VALUE"""),"SENEGAL")</f>
        <v>SENEGAL</v>
      </c>
      <c r="AJ281" s="1" t="str">
        <f ca="1">IFERROR(__xludf.DUMMYFUNCTION("""COMPUTED_VALUE"""),"F1358")</f>
        <v>F1358</v>
      </c>
      <c r="AK281" s="1" t="str">
        <f ca="1">IFERROR(__xludf.DUMMYFUNCTION("""COMPUTED_VALUE"""),"Marié(e)")</f>
        <v>Marié(e)</v>
      </c>
      <c r="AL281" s="1" t="str">
        <f ca="1">IFERROR(__xludf.DUMMYFUNCTION("""COMPUTED_VALUE"""),"Marié(e)")</f>
        <v>Marié(e)</v>
      </c>
      <c r="AM281" s="1" t="str">
        <f ca="1">IFERROR(__xludf.DUMMYFUNCTION("""COMPUTED_VALUE"""),"F1358")</f>
        <v>F1358</v>
      </c>
    </row>
    <row r="282" spans="1:39" ht="13" x14ac:dyDescent="0.15">
      <c r="A282" s="1" t="str">
        <f ca="1">IFERROR(__xludf.DUMMYFUNCTION("""COMPUTED_VALUE"""),"HAEDAR Taim")</f>
        <v>HAEDAR Taim</v>
      </c>
      <c r="B282" s="1" t="str">
        <f ca="1">IFERROR(__xludf.DUMMYFUNCTION("""COMPUTED_VALUE"""),"HAEDAR")</f>
        <v>HAEDAR</v>
      </c>
      <c r="C282" s="1" t="str">
        <f ca="1">IFERROR(__xludf.DUMMYFUNCTION("""COMPUTED_VALUE"""),"Taim")</f>
        <v>Taim</v>
      </c>
      <c r="D282" s="1" t="str">
        <f ca="1">IFERROR(__xludf.DUMMYFUNCTION("""COMPUTED_VALUE"""),"1359E1")</f>
        <v>1359E1</v>
      </c>
      <c r="E282" s="2">
        <f ca="1">IFERROR(__xludf.DUMMYFUNCTION("""COMPUTED_VALUE"""),44324)</f>
        <v>44324</v>
      </c>
      <c r="F282" s="1" t="str">
        <f ca="1">IFERROR(__xludf.DUMMYFUNCTION("""COMPUTED_VALUE"""),"Mat 2")</f>
        <v>Mat 2</v>
      </c>
      <c r="G282" s="1" t="str">
        <f ca="1">IFERROR(__xludf.DUMMYFUNCTION("""COMPUTED_VALUE"""),"MS")</f>
        <v>MS</v>
      </c>
      <c r="H282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282" s="1"/>
      <c r="J282" s="1"/>
      <c r="K282" s="1"/>
      <c r="L282" s="1"/>
      <c r="M282" s="1"/>
      <c r="N282" s="1" t="str">
        <f ca="1">IFERROR(__xludf.DUMMYFUNCTION("""COMPUTED_VALUE"""),"Fille")</f>
        <v>Fille</v>
      </c>
      <c r="O282" s="1"/>
      <c r="P282" s="1" t="str">
        <f ca="1">IFERROR(__xludf.DUMMYFUNCTION("""COMPUTED_VALUE"""),"SYRIE")</f>
        <v>SYRIE</v>
      </c>
      <c r="Q282" s="1"/>
      <c r="R282" s="1"/>
      <c r="S282" s="1"/>
      <c r="T282" s="1" t="str">
        <f ca="1">IFERROR(__xludf.DUMMYFUNCTION("""COMPUTED_VALUE"""),"BALKIS BAIROUTI Marwa")</f>
        <v>BALKIS BAIROUTI Marwa</v>
      </c>
      <c r="U282" s="1" t="str">
        <f ca="1">IFERROR(__xludf.DUMMYFUNCTION("""COMPUTED_VALUE"""),"HAEDAR Mazen")</f>
        <v>HAEDAR Mazen</v>
      </c>
      <c r="V282" s="1" t="str">
        <f ca="1">IFERROR(__xludf.DUMMYFUNCTION("""COMPUTED_VALUE"""),"balqies4444@gmail.com")</f>
        <v>balqies4444@gmail.com</v>
      </c>
      <c r="W282" s="1" t="str">
        <f ca="1">IFERROR(__xludf.DUMMYFUNCTION("""COMPUTED_VALUE"""),"MAZEN_H_H@hotmail.com")</f>
        <v>MAZEN_H_H@hotmail.com</v>
      </c>
      <c r="X282" s="1" t="str">
        <f ca="1">IFERROR(__xludf.DUMMYFUNCTION("""COMPUTED_VALUE"""),"+221 78 168 72 70")</f>
        <v>+221 78 168 72 70</v>
      </c>
      <c r="Y282" s="1" t="str">
        <f ca="1">IFERROR(__xludf.DUMMYFUNCTION("""COMPUTED_VALUE"""),"+221 77 405 61 21")</f>
        <v>+221 77 405 61 21</v>
      </c>
      <c r="Z282" s="1" t="str">
        <f ca="1">IFERROR(__xludf.DUMMYFUNCTION("""COMPUTED_VALUE"""),"+221")</f>
        <v>+221</v>
      </c>
      <c r="AA282" s="1" t="str">
        <f ca="1">IFERROR(__xludf.DUMMYFUNCTION("""COMPUTED_VALUE"""),"+221")</f>
        <v>+221</v>
      </c>
      <c r="AB282" s="2">
        <f ca="1">IFERROR(__xludf.DUMMYFUNCTION("""COMPUTED_VALUE"""),34141)</f>
        <v>34141</v>
      </c>
      <c r="AC282" s="2">
        <f ca="1">IFERROR(__xludf.DUMMYFUNCTION("""COMPUTED_VALUE"""),33969)</f>
        <v>33969</v>
      </c>
      <c r="AD282" s="1" t="str">
        <f ca="1">IFERROR(__xludf.DUMMYFUNCTION("""COMPUTED_VALUE"""),"MERE")</f>
        <v>MERE</v>
      </c>
      <c r="AE282" s="1" t="str">
        <f ca="1">IFERROR(__xludf.DUMMYFUNCTION("""COMPUTED_VALUE"""),"PERE")</f>
        <v>PERE</v>
      </c>
      <c r="AF282" s="1" t="str">
        <f ca="1">IFERROR(__xludf.DUMMYFUNCTION("""COMPUTED_VALUE"""),"SYRIE")</f>
        <v>SYRIE</v>
      </c>
      <c r="AG282" s="1" t="str">
        <f ca="1">IFERROR(__xludf.DUMMYFUNCTION("""COMPUTED_VALUE"""),"SYRIE")</f>
        <v>SYRIE</v>
      </c>
      <c r="AH282" s="1"/>
      <c r="AI282" s="1"/>
      <c r="AJ282" s="1" t="str">
        <f ca="1">IFERROR(__xludf.DUMMYFUNCTION("""COMPUTED_VALUE"""),"F1359")</f>
        <v>F1359</v>
      </c>
      <c r="AK282" s="1" t="str">
        <f ca="1">IFERROR(__xludf.DUMMYFUNCTION("""COMPUTED_VALUE"""),"Marié(e)")</f>
        <v>Marié(e)</v>
      </c>
      <c r="AL282" s="1" t="str">
        <f ca="1">IFERROR(__xludf.DUMMYFUNCTION("""COMPUTED_VALUE"""),"Marié(e)")</f>
        <v>Marié(e)</v>
      </c>
      <c r="AM282" s="1" t="str">
        <f ca="1">IFERROR(__xludf.DUMMYFUNCTION("""COMPUTED_VALUE"""),"F1359")</f>
        <v>F1359</v>
      </c>
    </row>
    <row r="283" spans="1:39" ht="13" x14ac:dyDescent="0.15">
      <c r="A283" s="1" t="str">
        <f ca="1">IFERROR(__xludf.DUMMYFUNCTION("""COMPUTED_VALUE"""),"HAFFNER Juliette")</f>
        <v>HAFFNER Juliette</v>
      </c>
      <c r="B283" s="1" t="str">
        <f ca="1">IFERROR(__xludf.DUMMYFUNCTION("""COMPUTED_VALUE"""),"HAFFNER")</f>
        <v>HAFFNER</v>
      </c>
      <c r="C283" s="1" t="str">
        <f ca="1">IFERROR(__xludf.DUMMYFUNCTION("""COMPUTED_VALUE"""),"Juliette")</f>
        <v>Juliette</v>
      </c>
      <c r="D283" s="1" t="str">
        <f ca="1">IFERROR(__xludf.DUMMYFUNCTION("""COMPUTED_VALUE"""),"1360E1")</f>
        <v>1360E1</v>
      </c>
      <c r="E283" s="2">
        <f ca="1">IFERROR(__xludf.DUMMYFUNCTION("""COMPUTED_VALUE"""),40129)</f>
        <v>40129</v>
      </c>
      <c r="F283" s="1" t="str">
        <f ca="1">IFERROR(__xludf.DUMMYFUNCTION("""COMPUTED_VALUE"""),"1ERE1")</f>
        <v>1ERE1</v>
      </c>
      <c r="G283" s="1" t="str">
        <f ca="1">IFERROR(__xludf.DUMMYFUNCTION("""COMPUTED_VALUE"""),"1ère")</f>
        <v>1ère</v>
      </c>
      <c r="H283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283" s="1" t="str">
        <f ca="1">IFERROR(__xludf.DUMMYFUNCTION("""COMPUTED_VALUE"""),"LVA Anglais")</f>
        <v>LVA Anglais</v>
      </c>
      <c r="J283" s="1" t="str">
        <f ca="1">IFERROR(__xludf.DUMMYFUNCTION("""COMPUTED_VALUE"""),"LVB Espagnol")</f>
        <v>LVB Espagnol</v>
      </c>
      <c r="K283" s="1"/>
      <c r="L283" s="1"/>
      <c r="M283" s="1" t="str">
        <f ca="1">IFERROR(__xludf.DUMMYFUNCTION("""COMPUTED_VALUE"""),"SPE HGGSP, SPE LLCE AMC, SPE SES")</f>
        <v>SPE HGGSP, SPE LLCE AMC, SPE SES</v>
      </c>
      <c r="N283" s="1" t="str">
        <f ca="1">IFERROR(__xludf.DUMMYFUNCTION("""COMPUTED_VALUE"""),"Fille")</f>
        <v>Fille</v>
      </c>
      <c r="O283" s="1"/>
      <c r="P283" s="1" t="str">
        <f ca="1">IFERROR(__xludf.DUMMYFUNCTION("""COMPUTED_VALUE"""),"FRANCE")</f>
        <v>FRANCE</v>
      </c>
      <c r="Q283" s="1" t="str">
        <f ca="1">IFERROR(__xludf.DUMMYFUNCTION("""COMPUTED_VALUE"""),"SENEGAL")</f>
        <v>SENEGAL</v>
      </c>
      <c r="R283" s="1" t="str">
        <f ca="1">IFERROR(__xludf.DUMMYFUNCTION("""COMPUTED_VALUE"""),"juliette.haffner@lfjpsaly.org")</f>
        <v>juliette.haffner@lfjpsaly.org</v>
      </c>
      <c r="S283" s="1"/>
      <c r="T283" s="1" t="str">
        <f ca="1">IFERROR(__xludf.DUMMYFUNCTION("""COMPUTED_VALUE"""),"COLY Awa")</f>
        <v>COLY Awa</v>
      </c>
      <c r="U283" s="1"/>
      <c r="V283" s="1" t="str">
        <f ca="1">IFERROR(__xludf.DUMMYFUNCTION("""COMPUTED_VALUE"""),"awacoly@yahoo.com")</f>
        <v>awacoly@yahoo.com</v>
      </c>
      <c r="W283" s="1"/>
      <c r="X283" s="1" t="str">
        <f ca="1">IFERROR(__xludf.DUMMYFUNCTION("""COMPUTED_VALUE"""),"+221 33 957 92 66")</f>
        <v>+221 33 957 92 66</v>
      </c>
      <c r="Y283" s="1"/>
      <c r="Z283" s="1"/>
      <c r="AA283" s="1"/>
      <c r="AB283" s="2">
        <f ca="1">IFERROR(__xludf.DUMMYFUNCTION("""COMPUTED_VALUE"""),30601)</f>
        <v>30601</v>
      </c>
      <c r="AC283" s="1"/>
      <c r="AD283" s="1" t="str">
        <f ca="1">IFERROR(__xludf.DUMMYFUNCTION("""COMPUTED_VALUE"""),"MERE")</f>
        <v>MERE</v>
      </c>
      <c r="AE283" s="1"/>
      <c r="AF283" s="1" t="str">
        <f ca="1">IFERROR(__xludf.DUMMYFUNCTION("""COMPUTED_VALUE"""),"SENEGAL")</f>
        <v>SENEGAL</v>
      </c>
      <c r="AG283" s="1"/>
      <c r="AH283" s="1"/>
      <c r="AI283" s="1"/>
      <c r="AJ283" s="1" t="str">
        <f ca="1">IFERROR(__xludf.DUMMYFUNCTION("""COMPUTED_VALUE"""),"F1360")</f>
        <v>F1360</v>
      </c>
      <c r="AK283" s="1" t="str">
        <f ca="1">IFERROR(__xludf.DUMMYFUNCTION("""COMPUTED_VALUE"""),"Veuf(ve)")</f>
        <v>Veuf(ve)</v>
      </c>
      <c r="AL283" s="1"/>
      <c r="AM283" s="1" t="str">
        <f ca="1">IFERROR(__xludf.DUMMYFUNCTION("""COMPUTED_VALUE"""),"F1360")</f>
        <v>F1360</v>
      </c>
    </row>
    <row r="284" spans="1:39" ht="13" x14ac:dyDescent="0.15">
      <c r="A284" s="1" t="str">
        <f ca="1">IFERROR(__xludf.DUMMYFUNCTION("""COMPUTED_VALUE"""),"HAIDAR Karim")</f>
        <v>HAIDAR Karim</v>
      </c>
      <c r="B284" s="1" t="str">
        <f ca="1">IFERROR(__xludf.DUMMYFUNCTION("""COMPUTED_VALUE"""),"HAIDAR")</f>
        <v>HAIDAR</v>
      </c>
      <c r="C284" s="1" t="str">
        <f ca="1">IFERROR(__xludf.DUMMYFUNCTION("""COMPUTED_VALUE"""),"Karim")</f>
        <v>Karim</v>
      </c>
      <c r="D284" s="1" t="str">
        <f ca="1">IFERROR(__xludf.DUMMYFUNCTION("""COMPUTED_VALUE"""),"1361E1")</f>
        <v>1361E1</v>
      </c>
      <c r="E284" s="2">
        <f ca="1">IFERROR(__xludf.DUMMYFUNCTION("""COMPUTED_VALUE"""),43403)</f>
        <v>43403</v>
      </c>
      <c r="F284" s="1" t="str">
        <f ca="1">IFERROR(__xludf.DUMMYFUNCTION("""COMPUTED_VALUE"""),"CE1A")</f>
        <v>CE1A</v>
      </c>
      <c r="G284" s="1" t="str">
        <f ca="1">IFERROR(__xludf.DUMMYFUNCTION("""COMPUTED_VALUE"""),"CE1")</f>
        <v>CE1</v>
      </c>
      <c r="H284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284" s="1"/>
      <c r="J284" s="1"/>
      <c r="K284" s="1"/>
      <c r="L284" s="1"/>
      <c r="M284" s="1"/>
      <c r="N284" s="1" t="str">
        <f ca="1">IFERROR(__xludf.DUMMYFUNCTION("""COMPUTED_VALUE"""),"Garçon")</f>
        <v>Garçon</v>
      </c>
      <c r="O284" s="1"/>
      <c r="P284" s="1" t="str">
        <f ca="1">IFERROR(__xludf.DUMMYFUNCTION("""COMPUTED_VALUE"""),"SYRIE")</f>
        <v>SYRIE</v>
      </c>
      <c r="Q284" s="1"/>
      <c r="R284" s="1"/>
      <c r="S284" s="1"/>
      <c r="T284" s="1" t="str">
        <f ca="1">IFERROR(__xludf.DUMMYFUNCTION("""COMPUTED_VALUE"""),"HAIDAR Waël")</f>
        <v>HAIDAR Waël</v>
      </c>
      <c r="U284" s="1" t="str">
        <f ca="1">IFERROR(__xludf.DUMMYFUNCTION("""COMPUTED_VALUE"""),"AMAM Lina")</f>
        <v>AMAM Lina</v>
      </c>
      <c r="V284" s="1" t="str">
        <f ca="1">IFERROR(__xludf.DUMMYFUNCTION("""COMPUTED_VALUE"""),"autotech.saly@gmail.com")</f>
        <v>autotech.saly@gmail.com</v>
      </c>
      <c r="W284" s="1" t="str">
        <f ca="1">IFERROR(__xludf.DUMMYFUNCTION("""COMPUTED_VALUE"""),"autotech.saly@gmail.com")</f>
        <v>autotech.saly@gmail.com</v>
      </c>
      <c r="X284" s="1" t="str">
        <f ca="1">IFERROR(__xludf.DUMMYFUNCTION("""COMPUTED_VALUE"""),"+221 77 790 55 66")</f>
        <v>+221 77 790 55 66</v>
      </c>
      <c r="Y284" s="1" t="str">
        <f ca="1">IFERROR(__xludf.DUMMYFUNCTION("""COMPUTED_VALUE"""),"+221 77 820 41 89")</f>
        <v>+221 77 820 41 89</v>
      </c>
      <c r="Z284" s="1"/>
      <c r="AA284" s="1"/>
      <c r="AB284" s="2">
        <f ca="1">IFERROR(__xludf.DUMMYFUNCTION("""COMPUTED_VALUE"""),31637)</f>
        <v>31637</v>
      </c>
      <c r="AC284" s="2">
        <f ca="1">IFERROR(__xludf.DUMMYFUNCTION("""COMPUTED_VALUE"""),30833)</f>
        <v>30833</v>
      </c>
      <c r="AD284" s="1" t="str">
        <f ca="1">IFERROR(__xludf.DUMMYFUNCTION("""COMPUTED_VALUE"""),"PERE")</f>
        <v>PERE</v>
      </c>
      <c r="AE284" s="1" t="str">
        <f ca="1">IFERROR(__xludf.DUMMYFUNCTION("""COMPUTED_VALUE"""),"MERE")</f>
        <v>MERE</v>
      </c>
      <c r="AF284" s="1" t="str">
        <f ca="1">IFERROR(__xludf.DUMMYFUNCTION("""COMPUTED_VALUE"""),"SYRIE")</f>
        <v>SYRIE</v>
      </c>
      <c r="AG284" s="1" t="str">
        <f ca="1">IFERROR(__xludf.DUMMYFUNCTION("""COMPUTED_VALUE"""),"SYRIE")</f>
        <v>SYRIE</v>
      </c>
      <c r="AH284" s="1"/>
      <c r="AI284" s="1"/>
      <c r="AJ284" s="1" t="str">
        <f ca="1">IFERROR(__xludf.DUMMYFUNCTION("""COMPUTED_VALUE"""),"F1361")</f>
        <v>F1361</v>
      </c>
      <c r="AK284" s="1" t="str">
        <f ca="1">IFERROR(__xludf.DUMMYFUNCTION("""COMPUTED_VALUE"""),"Marié(e)")</f>
        <v>Marié(e)</v>
      </c>
      <c r="AL284" s="1" t="str">
        <f ca="1">IFERROR(__xludf.DUMMYFUNCTION("""COMPUTED_VALUE"""),"Marié(e)")</f>
        <v>Marié(e)</v>
      </c>
      <c r="AM284" s="1" t="str">
        <f ca="1">IFERROR(__xludf.DUMMYFUNCTION("""COMPUTED_VALUE"""),"F1361")</f>
        <v>F1361</v>
      </c>
    </row>
    <row r="285" spans="1:39" ht="13" x14ac:dyDescent="0.15">
      <c r="A285" s="1" t="str">
        <f ca="1">IFERROR(__xludf.DUMMYFUNCTION("""COMPUTED_VALUE"""),"HAIDAR Zein")</f>
        <v>HAIDAR Zein</v>
      </c>
      <c r="B285" s="1" t="str">
        <f ca="1">IFERROR(__xludf.DUMMYFUNCTION("""COMPUTED_VALUE"""),"HAIDAR")</f>
        <v>HAIDAR</v>
      </c>
      <c r="C285" s="1" t="str">
        <f ca="1">IFERROR(__xludf.DUMMYFUNCTION("""COMPUTED_VALUE"""),"Zein")</f>
        <v>Zein</v>
      </c>
      <c r="D285" s="1" t="str">
        <f ca="1">IFERROR(__xludf.DUMMYFUNCTION("""COMPUTED_VALUE"""),"1362E1")</f>
        <v>1362E1</v>
      </c>
      <c r="E285" s="2">
        <f ca="1">IFERROR(__xludf.DUMMYFUNCTION("""COMPUTED_VALUE"""),40453)</f>
        <v>40453</v>
      </c>
      <c r="F285" s="1" t="str">
        <f ca="1">IFERROR(__xludf.DUMMYFUNCTION("""COMPUTED_VALUE"""),"2NDE2")</f>
        <v>2NDE2</v>
      </c>
      <c r="G285" s="1" t="str">
        <f ca="1">IFERROR(__xludf.DUMMYFUNCTION("""COMPUTED_VALUE"""),"2nde")</f>
        <v>2nde</v>
      </c>
      <c r="H285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285" s="1" t="str">
        <f ca="1">IFERROR(__xludf.DUMMYFUNCTION("""COMPUTED_VALUE"""),"LVA Anglais")</f>
        <v>LVA Anglais</v>
      </c>
      <c r="J285" s="1" t="str">
        <f ca="1">IFERROR(__xludf.DUMMYFUNCTION("""COMPUTED_VALUE"""),"LVB Espagnol")</f>
        <v>LVB Espagnol</v>
      </c>
      <c r="K285" s="1"/>
      <c r="L285" s="1"/>
      <c r="M285" s="1"/>
      <c r="N285" s="1" t="str">
        <f ca="1">IFERROR(__xludf.DUMMYFUNCTION("""COMPUTED_VALUE"""),"Garçon")</f>
        <v>Garçon</v>
      </c>
      <c r="O285" s="1"/>
      <c r="P285" s="1" t="str">
        <f ca="1">IFERROR(__xludf.DUMMYFUNCTION("""COMPUTED_VALUE"""),"SYRIE")</f>
        <v>SYRIE</v>
      </c>
      <c r="Q285" s="1"/>
      <c r="R285" s="1" t="str">
        <f ca="1">IFERROR(__xludf.DUMMYFUNCTION("""COMPUTED_VALUE"""),"zain.haidar@lfjpsaly.org")</f>
        <v>zain.haidar@lfjpsaly.org</v>
      </c>
      <c r="S285" s="1"/>
      <c r="T285" s="1" t="str">
        <f ca="1">IFERROR(__xludf.DUMMYFUNCTION("""COMPUTED_VALUE"""),"HAIDAR Waël")</f>
        <v>HAIDAR Waël</v>
      </c>
      <c r="U285" s="1" t="str">
        <f ca="1">IFERROR(__xludf.DUMMYFUNCTION("""COMPUTED_VALUE"""),"AMAM Lina")</f>
        <v>AMAM Lina</v>
      </c>
      <c r="V285" s="1" t="str">
        <f ca="1">IFERROR(__xludf.DUMMYFUNCTION("""COMPUTED_VALUE"""),"autotech.saly@gmail.com")</f>
        <v>autotech.saly@gmail.com</v>
      </c>
      <c r="W285" s="1" t="str">
        <f ca="1">IFERROR(__xludf.DUMMYFUNCTION("""COMPUTED_VALUE"""),"autotech.saly@gmail.com")</f>
        <v>autotech.saly@gmail.com</v>
      </c>
      <c r="X285" s="1" t="str">
        <f ca="1">IFERROR(__xludf.DUMMYFUNCTION("""COMPUTED_VALUE"""),"+221 77 790 55 66")</f>
        <v>+221 77 790 55 66</v>
      </c>
      <c r="Y285" s="1" t="str">
        <f ca="1">IFERROR(__xludf.DUMMYFUNCTION("""COMPUTED_VALUE"""),"+221 77 820 41 89")</f>
        <v>+221 77 820 41 89</v>
      </c>
      <c r="Z285" s="1"/>
      <c r="AA285" s="1"/>
      <c r="AB285" s="2">
        <f ca="1">IFERROR(__xludf.DUMMYFUNCTION("""COMPUTED_VALUE"""),31637)</f>
        <v>31637</v>
      </c>
      <c r="AC285" s="2">
        <f ca="1">IFERROR(__xludf.DUMMYFUNCTION("""COMPUTED_VALUE"""),30833)</f>
        <v>30833</v>
      </c>
      <c r="AD285" s="1" t="str">
        <f ca="1">IFERROR(__xludf.DUMMYFUNCTION("""COMPUTED_VALUE"""),"PERE")</f>
        <v>PERE</v>
      </c>
      <c r="AE285" s="1" t="str">
        <f ca="1">IFERROR(__xludf.DUMMYFUNCTION("""COMPUTED_VALUE"""),"MERE")</f>
        <v>MERE</v>
      </c>
      <c r="AF285" s="1" t="str">
        <f ca="1">IFERROR(__xludf.DUMMYFUNCTION("""COMPUTED_VALUE"""),"SYRIE")</f>
        <v>SYRIE</v>
      </c>
      <c r="AG285" s="1" t="str">
        <f ca="1">IFERROR(__xludf.DUMMYFUNCTION("""COMPUTED_VALUE"""),"SYRIE")</f>
        <v>SYRIE</v>
      </c>
      <c r="AH285" s="1"/>
      <c r="AI285" s="1"/>
      <c r="AJ285" s="1" t="str">
        <f ca="1">IFERROR(__xludf.DUMMYFUNCTION("""COMPUTED_VALUE"""),"F1361")</f>
        <v>F1361</v>
      </c>
      <c r="AK285" s="1" t="str">
        <f ca="1">IFERROR(__xludf.DUMMYFUNCTION("""COMPUTED_VALUE"""),"Marié(e)")</f>
        <v>Marié(e)</v>
      </c>
      <c r="AL285" s="1" t="str">
        <f ca="1">IFERROR(__xludf.DUMMYFUNCTION("""COMPUTED_VALUE"""),"Marié(e)")</f>
        <v>Marié(e)</v>
      </c>
      <c r="AM285" s="1" t="str">
        <f ca="1">IFERROR(__xludf.DUMMYFUNCTION("""COMPUTED_VALUE"""),"F1361")</f>
        <v>F1361</v>
      </c>
    </row>
    <row r="286" spans="1:39" ht="13" x14ac:dyDescent="0.15">
      <c r="A286" s="1" t="str">
        <f ca="1">IFERROR(__xludf.DUMMYFUNCTION("""COMPUTED_VALUE"""),"HAMARD Anais")</f>
        <v>HAMARD Anais</v>
      </c>
      <c r="B286" s="1" t="str">
        <f ca="1">IFERROR(__xludf.DUMMYFUNCTION("""COMPUTED_VALUE"""),"HAMARD")</f>
        <v>HAMARD</v>
      </c>
      <c r="C286" s="1" t="str">
        <f ca="1">IFERROR(__xludf.DUMMYFUNCTION("""COMPUTED_VALUE"""),"Anais")</f>
        <v>Anais</v>
      </c>
      <c r="D286" s="1" t="str">
        <f ca="1">IFERROR(__xludf.DUMMYFUNCTION("""COMPUTED_VALUE"""),"1363E1")</f>
        <v>1363E1</v>
      </c>
      <c r="E286" s="2">
        <f ca="1">IFERROR(__xludf.DUMMYFUNCTION("""COMPUTED_VALUE"""),42438)</f>
        <v>42438</v>
      </c>
      <c r="F286" s="1" t="str">
        <f ca="1">IFERROR(__xludf.DUMMYFUNCTION("""COMPUTED_VALUE"""),"CM2B")</f>
        <v>CM2B</v>
      </c>
      <c r="G286" s="1" t="str">
        <f ca="1">IFERROR(__xludf.DUMMYFUNCTION("""COMPUTED_VALUE"""),"CM2")</f>
        <v>CM2</v>
      </c>
      <c r="H286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286" s="1"/>
      <c r="J286" s="1"/>
      <c r="K286" s="1"/>
      <c r="L286" s="1"/>
      <c r="M286" s="1"/>
      <c r="N286" s="1" t="str">
        <f ca="1">IFERROR(__xludf.DUMMYFUNCTION("""COMPUTED_VALUE"""),"Fille")</f>
        <v>Fille</v>
      </c>
      <c r="O286" s="1"/>
      <c r="P286" s="1" t="str">
        <f ca="1">IFERROR(__xludf.DUMMYFUNCTION("""COMPUTED_VALUE"""),"FRANCE")</f>
        <v>FRANCE</v>
      </c>
      <c r="Q286" s="1" t="str">
        <f ca="1">IFERROR(__xludf.DUMMYFUNCTION("""COMPUTED_VALUE"""),"SENEGAL")</f>
        <v>SENEGAL</v>
      </c>
      <c r="R286" s="1"/>
      <c r="S286" s="1" t="str">
        <f ca="1">IFERROR(__xludf.DUMMYFUNCTION("""COMPUTED_VALUE"""),"+221 78 958 04 33")</f>
        <v>+221 78 958 04 33</v>
      </c>
      <c r="T286" s="1" t="str">
        <f ca="1">IFERROR(__xludf.DUMMYFUNCTION("""COMPUTED_VALUE"""),"HAMARD Stephane")</f>
        <v>HAMARD Stephane</v>
      </c>
      <c r="U286" s="1" t="str">
        <f ca="1">IFERROR(__xludf.DUMMYFUNCTION("""COMPUTED_VALUE"""),"NIANE Ndeye Marie Astou")</f>
        <v>NIANE Ndeye Marie Astou</v>
      </c>
      <c r="V286" s="1" t="str">
        <f ca="1">IFERROR(__xludf.DUMMYFUNCTION("""COMPUTED_VALUE"""),"stephane1707@orange.fr")</f>
        <v>stephane1707@orange.fr</v>
      </c>
      <c r="W286" s="1" t="str">
        <f ca="1">IFERROR(__xludf.DUMMYFUNCTION("""COMPUTED_VALUE"""),"lokelany86@gmail.com")</f>
        <v>lokelany86@gmail.com</v>
      </c>
      <c r="X286" s="1" t="str">
        <f ca="1">IFERROR(__xludf.DUMMYFUNCTION("""COMPUTED_VALUE"""),"772325376")</f>
        <v>772325376</v>
      </c>
      <c r="Y286" s="1" t="str">
        <f ca="1">IFERROR(__xludf.DUMMYFUNCTION("""COMPUTED_VALUE"""),"+221 78 958 04 33")</f>
        <v>+221 78 958 04 33</v>
      </c>
      <c r="Z286" s="1"/>
      <c r="AA286" s="1" t="str">
        <f ca="1">IFERROR(__xludf.DUMMYFUNCTION("""COMPUTED_VALUE"""),"+221 78 958 04 33")</f>
        <v>+221 78 958 04 33</v>
      </c>
      <c r="AB286" s="2">
        <f ca="1">IFERROR(__xludf.DUMMYFUNCTION("""COMPUTED_VALUE"""),25401)</f>
        <v>25401</v>
      </c>
      <c r="AC286" s="2">
        <f ca="1">IFERROR(__xludf.DUMMYFUNCTION("""COMPUTED_VALUE"""),31526)</f>
        <v>31526</v>
      </c>
      <c r="AD286" s="1" t="str">
        <f ca="1">IFERROR(__xludf.DUMMYFUNCTION("""COMPUTED_VALUE"""),"PERE")</f>
        <v>PERE</v>
      </c>
      <c r="AE286" s="1" t="str">
        <f ca="1">IFERROR(__xludf.DUMMYFUNCTION("""COMPUTED_VALUE"""),"MERE")</f>
        <v>MERE</v>
      </c>
      <c r="AF286" s="1" t="str">
        <f ca="1">IFERROR(__xludf.DUMMYFUNCTION("""COMPUTED_VALUE"""),"FRANCE")</f>
        <v>FRANCE</v>
      </c>
      <c r="AG286" s="1" t="str">
        <f ca="1">IFERROR(__xludf.DUMMYFUNCTION("""COMPUTED_VALUE"""),"SENEGAL")</f>
        <v>SENEGAL</v>
      </c>
      <c r="AH286" s="1"/>
      <c r="AI286" s="1"/>
      <c r="AJ286" s="1" t="str">
        <f ca="1">IFERROR(__xludf.DUMMYFUNCTION("""COMPUTED_VALUE"""),"F1363")</f>
        <v>F1363</v>
      </c>
      <c r="AK286" s="1" t="str">
        <f ca="1">IFERROR(__xludf.DUMMYFUNCTION("""COMPUTED_VALUE"""),"Célibataire")</f>
        <v>Célibataire</v>
      </c>
      <c r="AL286" s="1" t="str">
        <f ca="1">IFERROR(__xludf.DUMMYFUNCTION("""COMPUTED_VALUE"""),"Célibataire")</f>
        <v>Célibataire</v>
      </c>
      <c r="AM286" s="1" t="str">
        <f ca="1">IFERROR(__xludf.DUMMYFUNCTION("""COMPUTED_VALUE"""),"F1363")</f>
        <v>F1363</v>
      </c>
    </row>
    <row r="287" spans="1:39" ht="13" x14ac:dyDescent="0.15">
      <c r="A287" s="1" t="str">
        <f ca="1">IFERROR(__xludf.DUMMYFUNCTION("""COMPUTED_VALUE"""),"HAMDAN Kaïs")</f>
        <v>HAMDAN Kaïs</v>
      </c>
      <c r="B287" s="1" t="str">
        <f ca="1">IFERROR(__xludf.DUMMYFUNCTION("""COMPUTED_VALUE"""),"HAMDAN")</f>
        <v>HAMDAN</v>
      </c>
      <c r="C287" s="1" t="str">
        <f ca="1">IFERROR(__xludf.DUMMYFUNCTION("""COMPUTED_VALUE"""),"Kaïs")</f>
        <v>Kaïs</v>
      </c>
      <c r="D287" s="1" t="str">
        <f ca="1">IFERROR(__xludf.DUMMYFUNCTION("""COMPUTED_VALUE"""),"1364E1")</f>
        <v>1364E1</v>
      </c>
      <c r="E287" s="2">
        <f ca="1">IFERROR(__xludf.DUMMYFUNCTION("""COMPUTED_VALUE"""),43235)</f>
        <v>43235</v>
      </c>
      <c r="F287" s="1" t="str">
        <f ca="1">IFERROR(__xludf.DUMMYFUNCTION("""COMPUTED_VALUE"""),"CE1B")</f>
        <v>CE1B</v>
      </c>
      <c r="G287" s="1" t="str">
        <f ca="1">IFERROR(__xludf.DUMMYFUNCTION("""COMPUTED_VALUE"""),"CE1")</f>
        <v>CE1</v>
      </c>
      <c r="H287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287" s="1"/>
      <c r="J287" s="1"/>
      <c r="K287" s="1"/>
      <c r="L287" s="1"/>
      <c r="M287" s="1"/>
      <c r="N287" s="1" t="str">
        <f ca="1">IFERROR(__xludf.DUMMYFUNCTION("""COMPUTED_VALUE"""),"Garçon")</f>
        <v>Garçon</v>
      </c>
      <c r="O287" s="1"/>
      <c r="P287" s="1" t="str">
        <f ca="1">IFERROR(__xludf.DUMMYFUNCTION("""COMPUTED_VALUE"""),"FRANCE")</f>
        <v>FRANCE</v>
      </c>
      <c r="Q287" s="1"/>
      <c r="R287" s="1"/>
      <c r="S287" s="1" t="str">
        <f ca="1">IFERROR(__xludf.DUMMYFUNCTION("""COMPUTED_VALUE"""),"+221")</f>
        <v>+221</v>
      </c>
      <c r="T287" s="1" t="str">
        <f ca="1">IFERROR(__xludf.DUMMYFUNCTION("""COMPUTED_VALUE"""),"FARHAT Yasmine")</f>
        <v>FARHAT Yasmine</v>
      </c>
      <c r="U287" s="1"/>
      <c r="V287" s="1" t="str">
        <f ca="1">IFERROR(__xludf.DUMMYFUNCTION("""COMPUTED_VALUE"""),"yasminef24@gmail.com")</f>
        <v>yasminef24@gmail.com</v>
      </c>
      <c r="W287" s="1"/>
      <c r="X287" s="1" t="str">
        <f ca="1">IFERROR(__xludf.DUMMYFUNCTION("""COMPUTED_VALUE"""),"+221 78 488 77 09")</f>
        <v>+221 78 488 77 09</v>
      </c>
      <c r="Y287" s="1"/>
      <c r="Z287" s="1" t="str">
        <f ca="1">IFERROR(__xludf.DUMMYFUNCTION("""COMPUTED_VALUE"""),"+221 78 488 77 09")</f>
        <v>+221 78 488 77 09</v>
      </c>
      <c r="AA287" s="1"/>
      <c r="AB287" s="2">
        <f ca="1">IFERROR(__xludf.DUMMYFUNCTION("""COMPUTED_VALUE"""),32309)</f>
        <v>32309</v>
      </c>
      <c r="AC287" s="1"/>
      <c r="AD287" s="1" t="str">
        <f ca="1">IFERROR(__xludf.DUMMYFUNCTION("""COMPUTED_VALUE"""),"MERE")</f>
        <v>MERE</v>
      </c>
      <c r="AE287" s="1"/>
      <c r="AF287" s="1" t="str">
        <f ca="1">IFERROR(__xludf.DUMMYFUNCTION("""COMPUTED_VALUE"""),"SENEGAL")</f>
        <v>SENEGAL</v>
      </c>
      <c r="AG287" s="1"/>
      <c r="AH287" s="1"/>
      <c r="AI287" s="1"/>
      <c r="AJ287" s="1" t="str">
        <f ca="1">IFERROR(__xludf.DUMMYFUNCTION("""COMPUTED_VALUE"""),"F1364")</f>
        <v>F1364</v>
      </c>
      <c r="AK287" s="1" t="str">
        <f ca="1">IFERROR(__xludf.DUMMYFUNCTION("""COMPUTED_VALUE"""),"Marié(e)")</f>
        <v>Marié(e)</v>
      </c>
      <c r="AL287" s="1"/>
      <c r="AM287" s="1" t="str">
        <f ca="1">IFERROR(__xludf.DUMMYFUNCTION("""COMPUTED_VALUE"""),"F1364")</f>
        <v>F1364</v>
      </c>
    </row>
    <row r="288" spans="1:39" ht="13" x14ac:dyDescent="0.15">
      <c r="A288" s="1" t="str">
        <f ca="1">IFERROR(__xludf.DUMMYFUNCTION("""COMPUTED_VALUE"""),"HAMMI Amir")</f>
        <v>HAMMI Amir</v>
      </c>
      <c r="B288" s="1" t="str">
        <f ca="1">IFERROR(__xludf.DUMMYFUNCTION("""COMPUTED_VALUE"""),"HAMMI")</f>
        <v>HAMMI</v>
      </c>
      <c r="C288" s="1" t="str">
        <f ca="1">IFERROR(__xludf.DUMMYFUNCTION("""COMPUTED_VALUE"""),"Amir")</f>
        <v>Amir</v>
      </c>
      <c r="D288" s="1" t="str">
        <f ca="1">IFERROR(__xludf.DUMMYFUNCTION("""COMPUTED_VALUE"""),"1662E1")</f>
        <v>1662E1</v>
      </c>
      <c r="E288" s="2">
        <f ca="1">IFERROR(__xludf.DUMMYFUNCTION("""COMPUTED_VALUE"""),44757)</f>
        <v>44757</v>
      </c>
      <c r="F288" s="1" t="str">
        <f ca="1">IFERROR(__xludf.DUMMYFUNCTION("""COMPUTED_VALUE"""),"Mat 1")</f>
        <v>Mat 1</v>
      </c>
      <c r="G288" s="1" t="str">
        <f ca="1">IFERROR(__xludf.DUMMYFUNCTION("""COMPUTED_VALUE"""),"PS")</f>
        <v>PS</v>
      </c>
      <c r="H288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288" s="1"/>
      <c r="J288" s="1"/>
      <c r="K288" s="1"/>
      <c r="L288" s="1"/>
      <c r="M288" s="1"/>
      <c r="N288" s="1" t="str">
        <f ca="1">IFERROR(__xludf.DUMMYFUNCTION("""COMPUTED_VALUE"""),"Garçon")</f>
        <v>Garçon</v>
      </c>
      <c r="O288" s="1"/>
      <c r="P288" s="1" t="str">
        <f ca="1">IFERROR(__xludf.DUMMYFUNCTION("""COMPUTED_VALUE"""),"TUNISIE")</f>
        <v>TUNISIE</v>
      </c>
      <c r="Q288" s="1"/>
      <c r="R288" s="1"/>
      <c r="S288" s="1"/>
      <c r="T288" s="1" t="str">
        <f ca="1">IFERROR(__xludf.DUMMYFUNCTION("""COMPUTED_VALUE"""),"HAMMI Mohamed Ali")</f>
        <v>HAMMI Mohamed Ali</v>
      </c>
      <c r="U288" s="1" t="str">
        <f ca="1">IFERROR(__xludf.DUMMYFUNCTION("""COMPUTED_VALUE"""),"HAMMI Cyrine")</f>
        <v>HAMMI Cyrine</v>
      </c>
      <c r="V288" s="1" t="str">
        <f ca="1">IFERROR(__xludf.DUMMYFUNCTION("""COMPUTED_VALUE"""),"ali.hammi@zalar.sn")</f>
        <v>ali.hammi@zalar.sn</v>
      </c>
      <c r="W288" s="1" t="str">
        <f ca="1">IFERROR(__xludf.DUMMYFUNCTION("""COMPUTED_VALUE"""),"syrinehelali@gmail.com")</f>
        <v>syrinehelali@gmail.com</v>
      </c>
      <c r="X288" s="1" t="str">
        <f ca="1">IFERROR(__xludf.DUMMYFUNCTION("""COMPUTED_VALUE"""),"+221 77 878 17 26")</f>
        <v>+221 77 878 17 26</v>
      </c>
      <c r="Y288" s="1" t="str">
        <f ca="1">IFERROR(__xludf.DUMMYFUNCTION("""COMPUTED_VALUE"""),"+221 78 538 56 91")</f>
        <v>+221 78 538 56 91</v>
      </c>
      <c r="Z288" s="1" t="str">
        <f ca="1">IFERROR(__xludf.DUMMYFUNCTION("""COMPUTED_VALUE"""),"+221 77 878 17 26")</f>
        <v>+221 77 878 17 26</v>
      </c>
      <c r="AA288" s="1" t="str">
        <f ca="1">IFERROR(__xludf.DUMMYFUNCTION("""COMPUTED_VALUE"""),"+221 78 538 56 91")</f>
        <v>+221 78 538 56 91</v>
      </c>
      <c r="AB288" s="2">
        <f ca="1">IFERROR(__xludf.DUMMYFUNCTION("""COMPUTED_VALUE"""),33029)</f>
        <v>33029</v>
      </c>
      <c r="AC288" s="2">
        <f ca="1">IFERROR(__xludf.DUMMYFUNCTION("""COMPUTED_VALUE"""),33877)</f>
        <v>33877</v>
      </c>
      <c r="AD288" s="1" t="str">
        <f ca="1">IFERROR(__xludf.DUMMYFUNCTION("""COMPUTED_VALUE"""),"PERE")</f>
        <v>PERE</v>
      </c>
      <c r="AE288" s="1" t="str">
        <f ca="1">IFERROR(__xludf.DUMMYFUNCTION("""COMPUTED_VALUE"""),"PERE")</f>
        <v>PERE</v>
      </c>
      <c r="AF288" s="1" t="str">
        <f ca="1">IFERROR(__xludf.DUMMYFUNCTION("""COMPUTED_VALUE"""),"TUNISIE")</f>
        <v>TUNISIE</v>
      </c>
      <c r="AG288" s="1" t="str">
        <f ca="1">IFERROR(__xludf.DUMMYFUNCTION("""COMPUTED_VALUE"""),"TUNISIE")</f>
        <v>TUNISIE</v>
      </c>
      <c r="AH288" s="1"/>
      <c r="AI288" s="1"/>
      <c r="AJ288" s="1" t="str">
        <f ca="1">IFERROR(__xludf.DUMMYFUNCTION("""COMPUTED_VALUE"""),"F1662")</f>
        <v>F1662</v>
      </c>
      <c r="AK288" s="1" t="str">
        <f ca="1">IFERROR(__xludf.DUMMYFUNCTION("""COMPUTED_VALUE"""),"Marié(e)")</f>
        <v>Marié(e)</v>
      </c>
      <c r="AL288" s="1" t="str">
        <f ca="1">IFERROR(__xludf.DUMMYFUNCTION("""COMPUTED_VALUE"""),"Marié(e)")</f>
        <v>Marié(e)</v>
      </c>
      <c r="AM288" s="1" t="str">
        <f ca="1">IFERROR(__xludf.DUMMYFUNCTION("""COMPUTED_VALUE"""),"F1662")</f>
        <v>F1662</v>
      </c>
    </row>
    <row r="289" spans="1:39" ht="13" x14ac:dyDescent="0.15">
      <c r="A289" s="1" t="str">
        <f ca="1">IFERROR(__xludf.DUMMYFUNCTION("""COMPUTED_VALUE"""),"HARDY Kawilly")</f>
        <v>HARDY Kawilly</v>
      </c>
      <c r="B289" s="1" t="str">
        <f ca="1">IFERROR(__xludf.DUMMYFUNCTION("""COMPUTED_VALUE"""),"HARDY")</f>
        <v>HARDY</v>
      </c>
      <c r="C289" s="1" t="str">
        <f ca="1">IFERROR(__xludf.DUMMYFUNCTION("""COMPUTED_VALUE"""),"Kawilly")</f>
        <v>Kawilly</v>
      </c>
      <c r="D289" s="1" t="str">
        <f ca="1">IFERROR(__xludf.DUMMYFUNCTION("""COMPUTED_VALUE"""),"1365E1")</f>
        <v>1365E1</v>
      </c>
      <c r="E289" s="2">
        <f ca="1">IFERROR(__xludf.DUMMYFUNCTION("""COMPUTED_VALUE"""),44182)</f>
        <v>44182</v>
      </c>
      <c r="F289" s="1" t="str">
        <f ca="1">IFERROR(__xludf.DUMMYFUNCTION("""COMPUTED_VALUE"""),"Mat 2")</f>
        <v>Mat 2</v>
      </c>
      <c r="G289" s="1" t="str">
        <f ca="1">IFERROR(__xludf.DUMMYFUNCTION("""COMPUTED_VALUE"""),"GS")</f>
        <v>GS</v>
      </c>
      <c r="H289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289" s="1"/>
      <c r="J289" s="1"/>
      <c r="K289" s="1"/>
      <c r="L289" s="1"/>
      <c r="M289" s="1"/>
      <c r="N289" s="1" t="str">
        <f ca="1">IFERROR(__xludf.DUMMYFUNCTION("""COMPUTED_VALUE"""),"Garçon")</f>
        <v>Garçon</v>
      </c>
      <c r="O289" s="1"/>
      <c r="P289" s="1" t="str">
        <f ca="1">IFERROR(__xludf.DUMMYFUNCTION("""COMPUTED_VALUE"""),"FRANCE")</f>
        <v>FRANCE</v>
      </c>
      <c r="Q289" s="1"/>
      <c r="R289" s="1"/>
      <c r="S289" s="1"/>
      <c r="T289" s="1" t="str">
        <f ca="1">IFERROR(__xludf.DUMMYFUNCTION("""COMPUTED_VALUE"""),"HARDY Cassandra")</f>
        <v>HARDY Cassandra</v>
      </c>
      <c r="U289" s="1" t="str">
        <f ca="1">IFERROR(__xludf.DUMMYFUNCTION("""COMPUTED_VALUE"""),"HARDY Frédéric")</f>
        <v>HARDY Frédéric</v>
      </c>
      <c r="V289" s="1" t="str">
        <f ca="1">IFERROR(__xludf.DUMMYFUNCTION("""COMPUTED_VALUE"""),"wibautcassandra@yahoo.fr")</f>
        <v>wibautcassandra@yahoo.fr</v>
      </c>
      <c r="W289" s="1" t="str">
        <f ca="1">IFERROR(__xludf.DUMMYFUNCTION("""COMPUTED_VALUE"""),"hardy.frdric@yahoo.fr")</f>
        <v>hardy.frdric@yahoo.fr</v>
      </c>
      <c r="X289" s="1" t="str">
        <f ca="1">IFERROR(__xludf.DUMMYFUNCTION("""COMPUTED_VALUE"""),"+221 78 654 23 06")</f>
        <v>+221 78 654 23 06</v>
      </c>
      <c r="Y289" s="1" t="str">
        <f ca="1">IFERROR(__xludf.DUMMYFUNCTION("""COMPUTED_VALUE"""),"+221 77 434 52 49")</f>
        <v>+221 77 434 52 49</v>
      </c>
      <c r="Z289" s="1" t="str">
        <f ca="1">IFERROR(__xludf.DUMMYFUNCTION("""COMPUTED_VALUE"""),"+221")</f>
        <v>+221</v>
      </c>
      <c r="AA289" s="1" t="str">
        <f ca="1">IFERROR(__xludf.DUMMYFUNCTION("""COMPUTED_VALUE"""),"+221")</f>
        <v>+221</v>
      </c>
      <c r="AB289" s="2">
        <f ca="1">IFERROR(__xludf.DUMMYFUNCTION("""COMPUTED_VALUE"""),33381)</f>
        <v>33381</v>
      </c>
      <c r="AC289" s="2">
        <f ca="1">IFERROR(__xludf.DUMMYFUNCTION("""COMPUTED_VALUE"""),33133)</f>
        <v>33133</v>
      </c>
      <c r="AD289" s="1" t="str">
        <f ca="1">IFERROR(__xludf.DUMMYFUNCTION("""COMPUTED_VALUE"""),"MERE")</f>
        <v>MERE</v>
      </c>
      <c r="AE289" s="1" t="str">
        <f ca="1">IFERROR(__xludf.DUMMYFUNCTION("""COMPUTED_VALUE"""),"PERE")</f>
        <v>PERE</v>
      </c>
      <c r="AF289" s="1" t="str">
        <f ca="1">IFERROR(__xludf.DUMMYFUNCTION("""COMPUTED_VALUE"""),"FRANCE")</f>
        <v>FRANCE</v>
      </c>
      <c r="AG289" s="1" t="str">
        <f ca="1">IFERROR(__xludf.DUMMYFUNCTION("""COMPUTED_VALUE"""),"FRANCE")</f>
        <v>FRANCE</v>
      </c>
      <c r="AH289" s="1"/>
      <c r="AI289" s="1"/>
      <c r="AJ289" s="1" t="str">
        <f ca="1">IFERROR(__xludf.DUMMYFUNCTION("""COMPUTED_VALUE"""),"F1365")</f>
        <v>F1365</v>
      </c>
      <c r="AK289" s="1" t="str">
        <f ca="1">IFERROR(__xludf.DUMMYFUNCTION("""COMPUTED_VALUE"""),"Marié(e)")</f>
        <v>Marié(e)</v>
      </c>
      <c r="AL289" s="1" t="str">
        <f ca="1">IFERROR(__xludf.DUMMYFUNCTION("""COMPUTED_VALUE"""),"Marié(e)")</f>
        <v>Marié(e)</v>
      </c>
      <c r="AM289" s="1" t="str">
        <f ca="1">IFERROR(__xludf.DUMMYFUNCTION("""COMPUTED_VALUE"""),"F1365")</f>
        <v>F1365</v>
      </c>
    </row>
    <row r="290" spans="1:39" ht="13" x14ac:dyDescent="0.15">
      <c r="A290" s="1" t="str">
        <f ca="1">IFERROR(__xludf.DUMMYFUNCTION("""COMPUTED_VALUE"""),"HARDY Pheynoe")</f>
        <v>HARDY Pheynoe</v>
      </c>
      <c r="B290" s="1" t="str">
        <f ca="1">IFERROR(__xludf.DUMMYFUNCTION("""COMPUTED_VALUE"""),"HARDY")</f>
        <v>HARDY</v>
      </c>
      <c r="C290" s="1" t="str">
        <f ca="1">IFERROR(__xludf.DUMMYFUNCTION("""COMPUTED_VALUE"""),"Pheynoe")</f>
        <v>Pheynoe</v>
      </c>
      <c r="D290" s="1" t="str">
        <f ca="1">IFERROR(__xludf.DUMMYFUNCTION("""COMPUTED_VALUE"""),"1365E2")</f>
        <v>1365E2</v>
      </c>
      <c r="E290" s="2">
        <f ca="1">IFERROR(__xludf.DUMMYFUNCTION("""COMPUTED_VALUE"""),42695)</f>
        <v>42695</v>
      </c>
      <c r="F290" s="1" t="str">
        <f ca="1">IFERROR(__xludf.DUMMYFUNCTION("""COMPUTED_VALUE"""),"CM1B")</f>
        <v>CM1B</v>
      </c>
      <c r="G290" s="1" t="str">
        <f ca="1">IFERROR(__xludf.DUMMYFUNCTION("""COMPUTED_VALUE"""),"CM1")</f>
        <v>CM1</v>
      </c>
      <c r="H290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290" s="1"/>
      <c r="J290" s="1"/>
      <c r="K290" s="1"/>
      <c r="L290" s="1"/>
      <c r="M290" s="1"/>
      <c r="N290" s="1" t="str">
        <f ca="1">IFERROR(__xludf.DUMMYFUNCTION("""COMPUTED_VALUE"""),"Garçon")</f>
        <v>Garçon</v>
      </c>
      <c r="O290" s="1"/>
      <c r="P290" s="1" t="str">
        <f ca="1">IFERROR(__xludf.DUMMYFUNCTION("""COMPUTED_VALUE"""),"FRANCE")</f>
        <v>FRANCE</v>
      </c>
      <c r="Q290" s="1"/>
      <c r="R290" s="1"/>
      <c r="S290" s="1"/>
      <c r="T290" s="1" t="str">
        <f ca="1">IFERROR(__xludf.DUMMYFUNCTION("""COMPUTED_VALUE"""),"HARDY Cassandra")</f>
        <v>HARDY Cassandra</v>
      </c>
      <c r="U290" s="1" t="str">
        <f ca="1">IFERROR(__xludf.DUMMYFUNCTION("""COMPUTED_VALUE"""),"HARDY Frédéric")</f>
        <v>HARDY Frédéric</v>
      </c>
      <c r="V290" s="1" t="str">
        <f ca="1">IFERROR(__xludf.DUMMYFUNCTION("""COMPUTED_VALUE"""),"wibautcassandra@yahoo.fr")</f>
        <v>wibautcassandra@yahoo.fr</v>
      </c>
      <c r="W290" s="1" t="str">
        <f ca="1">IFERROR(__xludf.DUMMYFUNCTION("""COMPUTED_VALUE"""),"hardy.frdric@yahoo.fr")</f>
        <v>hardy.frdric@yahoo.fr</v>
      </c>
      <c r="X290" s="1" t="str">
        <f ca="1">IFERROR(__xludf.DUMMYFUNCTION("""COMPUTED_VALUE"""),"+221 78 654 23 06")</f>
        <v>+221 78 654 23 06</v>
      </c>
      <c r="Y290" s="1" t="str">
        <f ca="1">IFERROR(__xludf.DUMMYFUNCTION("""COMPUTED_VALUE"""),"+221 77 434 52 49")</f>
        <v>+221 77 434 52 49</v>
      </c>
      <c r="Z290" s="1" t="str">
        <f ca="1">IFERROR(__xludf.DUMMYFUNCTION("""COMPUTED_VALUE"""),"+221")</f>
        <v>+221</v>
      </c>
      <c r="AA290" s="1" t="str">
        <f ca="1">IFERROR(__xludf.DUMMYFUNCTION("""COMPUTED_VALUE"""),"+221")</f>
        <v>+221</v>
      </c>
      <c r="AB290" s="2">
        <f ca="1">IFERROR(__xludf.DUMMYFUNCTION("""COMPUTED_VALUE"""),33381)</f>
        <v>33381</v>
      </c>
      <c r="AC290" s="2">
        <f ca="1">IFERROR(__xludf.DUMMYFUNCTION("""COMPUTED_VALUE"""),33133)</f>
        <v>33133</v>
      </c>
      <c r="AD290" s="1" t="str">
        <f ca="1">IFERROR(__xludf.DUMMYFUNCTION("""COMPUTED_VALUE"""),"MERE")</f>
        <v>MERE</v>
      </c>
      <c r="AE290" s="1" t="str">
        <f ca="1">IFERROR(__xludf.DUMMYFUNCTION("""COMPUTED_VALUE"""),"PERE")</f>
        <v>PERE</v>
      </c>
      <c r="AF290" s="1" t="str">
        <f ca="1">IFERROR(__xludf.DUMMYFUNCTION("""COMPUTED_VALUE"""),"FRANCE")</f>
        <v>FRANCE</v>
      </c>
      <c r="AG290" s="1" t="str">
        <f ca="1">IFERROR(__xludf.DUMMYFUNCTION("""COMPUTED_VALUE"""),"FRANCE")</f>
        <v>FRANCE</v>
      </c>
      <c r="AH290" s="1"/>
      <c r="AI290" s="1"/>
      <c r="AJ290" s="1" t="str">
        <f ca="1">IFERROR(__xludf.DUMMYFUNCTION("""COMPUTED_VALUE"""),"F1365")</f>
        <v>F1365</v>
      </c>
      <c r="AK290" s="1" t="str">
        <f ca="1">IFERROR(__xludf.DUMMYFUNCTION("""COMPUTED_VALUE"""),"Marié(e)")</f>
        <v>Marié(e)</v>
      </c>
      <c r="AL290" s="1" t="str">
        <f ca="1">IFERROR(__xludf.DUMMYFUNCTION("""COMPUTED_VALUE"""),"Marié(e)")</f>
        <v>Marié(e)</v>
      </c>
      <c r="AM290" s="1" t="str">
        <f ca="1">IFERROR(__xludf.DUMMYFUNCTION("""COMPUTED_VALUE"""),"F1365")</f>
        <v>F1365</v>
      </c>
    </row>
    <row r="291" spans="1:39" ht="13" x14ac:dyDescent="0.15">
      <c r="A291" s="1" t="str">
        <f ca="1">IFERROR(__xludf.DUMMYFUNCTION("""COMPUTED_VALUE"""),"HETUIN NSIATANDOU DABOU Alexandre")</f>
        <v>HETUIN NSIATANDOU DABOU Alexandre</v>
      </c>
      <c r="B291" s="1" t="str">
        <f ca="1">IFERROR(__xludf.DUMMYFUNCTION("""COMPUTED_VALUE"""),"HETUIN NSIATANDOU DABOU")</f>
        <v>HETUIN NSIATANDOU DABOU</v>
      </c>
      <c r="C291" s="1" t="str">
        <f ca="1">IFERROR(__xludf.DUMMYFUNCTION("""COMPUTED_VALUE"""),"Alexandre")</f>
        <v>Alexandre</v>
      </c>
      <c r="D291" s="1" t="str">
        <f ca="1">IFERROR(__xludf.DUMMYFUNCTION("""COMPUTED_VALUE"""),"12189S3351")</f>
        <v>12189S3351</v>
      </c>
      <c r="E291" s="2">
        <f ca="1">IFERROR(__xludf.DUMMYFUNCTION("""COMPUTED_VALUE"""),41325)</f>
        <v>41325</v>
      </c>
      <c r="F291" s="1" t="str">
        <f ca="1">IFERROR(__xludf.DUMMYFUNCTION("""COMPUTED_VALUE"""),"5EME2")</f>
        <v>5EME2</v>
      </c>
      <c r="G291" s="1" t="str">
        <f ca="1">IFERROR(__xludf.DUMMYFUNCTION("""COMPUTED_VALUE"""),"5ème")</f>
        <v>5ème</v>
      </c>
      <c r="H291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291" s="1" t="str">
        <f ca="1">IFERROR(__xludf.DUMMYFUNCTION("""COMPUTED_VALUE"""),"LVA Anglais")</f>
        <v>LVA Anglais</v>
      </c>
      <c r="J291" s="1" t="str">
        <f ca="1">IFERROR(__xludf.DUMMYFUNCTION("""COMPUTED_VALUE"""),"LVB Espagnol")</f>
        <v>LVB Espagnol</v>
      </c>
      <c r="K291" s="1"/>
      <c r="L291" s="1"/>
      <c r="M291" s="1"/>
      <c r="N291" s="1" t="str">
        <f ca="1">IFERROR(__xludf.DUMMYFUNCTION("""COMPUTED_VALUE"""),"Garçon")</f>
        <v>Garçon</v>
      </c>
      <c r="O291" s="1"/>
      <c r="P291" s="1" t="str">
        <f ca="1">IFERROR(__xludf.DUMMYFUNCTION("""COMPUTED_VALUE"""),"FRANCE")</f>
        <v>FRANCE</v>
      </c>
      <c r="Q291" s="1" t="str">
        <f ca="1">IFERROR(__xludf.DUMMYFUNCTION("""COMPUTED_VALUE"""),"CONGO")</f>
        <v>CONGO</v>
      </c>
      <c r="R291" s="1"/>
      <c r="S291" s="1" t="str">
        <f ca="1">IFERROR(__xludf.DUMMYFUNCTION("""COMPUTED_VALUE"""),"+221")</f>
        <v>+221</v>
      </c>
      <c r="T291" s="1" t="str">
        <f ca="1">IFERROR(__xludf.DUMMYFUNCTION("""COMPUTED_VALUE"""),"HETUIN Sébastien")</f>
        <v>HETUIN Sébastien</v>
      </c>
      <c r="U291" s="1" t="str">
        <f ca="1">IFERROR(__xludf.DUMMYFUNCTION("""COMPUTED_VALUE"""),"NSIATANDOU DABOU Ines")</f>
        <v>NSIATANDOU DABOU Ines</v>
      </c>
      <c r="V291" s="1" t="str">
        <f ca="1">IFERROR(__xludf.DUMMYFUNCTION("""COMPUTED_VALUE"""),"inesdabou@yahoo.fr")</f>
        <v>inesdabou@yahoo.fr</v>
      </c>
      <c r="W291" s="1" t="str">
        <f ca="1">IFERROR(__xludf.DUMMYFUNCTION("""COMPUTED_VALUE"""),"hetseb@gmail.com")</f>
        <v>hetseb@gmail.com</v>
      </c>
      <c r="X291" s="1" t="str">
        <f ca="1">IFERROR(__xludf.DUMMYFUNCTION("""COMPUTED_VALUE"""),"+221 76 928 35 89")</f>
        <v>+221 76 928 35 89</v>
      </c>
      <c r="Y291" s="1" t="str">
        <f ca="1">IFERROR(__xludf.DUMMYFUNCTION("""COMPUTED_VALUE"""),"+221 77 443 70 76")</f>
        <v>+221 77 443 70 76</v>
      </c>
      <c r="Z291" s="1" t="str">
        <f ca="1">IFERROR(__xludf.DUMMYFUNCTION("""COMPUTED_VALUE"""),"+228 96 94 69 85")</f>
        <v>+228 96 94 69 85</v>
      </c>
      <c r="AA291" s="1" t="str">
        <f ca="1">IFERROR(__xludf.DUMMYFUNCTION("""COMPUTED_VALUE"""),"+221")</f>
        <v>+221</v>
      </c>
      <c r="AB291" s="2">
        <f ca="1">IFERROR(__xludf.DUMMYFUNCTION("""COMPUTED_VALUE"""),28900)</f>
        <v>28900</v>
      </c>
      <c r="AC291" s="2">
        <f ca="1">IFERROR(__xludf.DUMMYFUNCTION("""COMPUTED_VALUE"""),28229)</f>
        <v>28229</v>
      </c>
      <c r="AD291" s="1" t="str">
        <f ca="1">IFERROR(__xludf.DUMMYFUNCTION("""COMPUTED_VALUE"""),"PERE")</f>
        <v>PERE</v>
      </c>
      <c r="AE291" s="1" t="str">
        <f ca="1">IFERROR(__xludf.DUMMYFUNCTION("""COMPUTED_VALUE"""),"MERE")</f>
        <v>MERE</v>
      </c>
      <c r="AF291" s="1" t="str">
        <f ca="1">IFERROR(__xludf.DUMMYFUNCTION("""COMPUTED_VALUE"""),"FRANCE")</f>
        <v>FRANCE</v>
      </c>
      <c r="AG291" s="1" t="str">
        <f ca="1">IFERROR(__xludf.DUMMYFUNCTION("""COMPUTED_VALUE"""),"FRANCE")</f>
        <v>FRANCE</v>
      </c>
      <c r="AH291" s="1"/>
      <c r="AI291" s="1" t="str">
        <f ca="1">IFERROR(__xludf.DUMMYFUNCTION("""COMPUTED_VALUE"""),"CONGO")</f>
        <v>CONGO</v>
      </c>
      <c r="AJ291" s="1" t="str">
        <f ca="1">IFERROR(__xludf.DUMMYFUNCTION("""COMPUTED_VALUE"""),"U12189")</f>
        <v>U12189</v>
      </c>
      <c r="AK291" s="1" t="str">
        <f ca="1">IFERROR(__xludf.DUMMYFUNCTION("""COMPUTED_VALUE"""),"Séparé(e)")</f>
        <v>Séparé(e)</v>
      </c>
      <c r="AL291" s="1" t="str">
        <f ca="1">IFERROR(__xludf.DUMMYFUNCTION("""COMPUTED_VALUE"""),"Séparé(e)")</f>
        <v>Séparé(e)</v>
      </c>
      <c r="AM291" s="1" t="str">
        <f ca="1">IFERROR(__xludf.DUMMYFUNCTION("""COMPUTED_VALUE"""),"U12189")</f>
        <v>U12189</v>
      </c>
    </row>
    <row r="292" spans="1:39" ht="13" x14ac:dyDescent="0.15">
      <c r="A292" s="1" t="str">
        <f ca="1">IFERROR(__xludf.DUMMYFUNCTION("""COMPUTED_VALUE"""),"HOBALLAH Aydan")</f>
        <v>HOBALLAH Aydan</v>
      </c>
      <c r="B292" s="1" t="str">
        <f ca="1">IFERROR(__xludf.DUMMYFUNCTION("""COMPUTED_VALUE"""),"HOBALLAH")</f>
        <v>HOBALLAH</v>
      </c>
      <c r="C292" s="1" t="str">
        <f ca="1">IFERROR(__xludf.DUMMYFUNCTION("""COMPUTED_VALUE"""),"Aydan")</f>
        <v>Aydan</v>
      </c>
      <c r="D292" s="1" t="str">
        <f ca="1">IFERROR(__xludf.DUMMYFUNCTION("""COMPUTED_VALUE"""),"1368E1")</f>
        <v>1368E1</v>
      </c>
      <c r="E292" s="2">
        <f ca="1">IFERROR(__xludf.DUMMYFUNCTION("""COMPUTED_VALUE"""),43411)</f>
        <v>43411</v>
      </c>
      <c r="F292" s="1" t="str">
        <f ca="1">IFERROR(__xludf.DUMMYFUNCTION("""COMPUTED_VALUE"""),"CE1A")</f>
        <v>CE1A</v>
      </c>
      <c r="G292" s="1" t="str">
        <f ca="1">IFERROR(__xludf.DUMMYFUNCTION("""COMPUTED_VALUE"""),"CE1")</f>
        <v>CE1</v>
      </c>
      <c r="H292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292" s="1"/>
      <c r="J292" s="1"/>
      <c r="K292" s="1"/>
      <c r="L292" s="1"/>
      <c r="M292" s="1"/>
      <c r="N292" s="1" t="str">
        <f ca="1">IFERROR(__xludf.DUMMYFUNCTION("""COMPUTED_VALUE"""),"Garçon")</f>
        <v>Garçon</v>
      </c>
      <c r="O292" s="1"/>
      <c r="P292" s="1" t="str">
        <f ca="1">IFERROR(__xludf.DUMMYFUNCTION("""COMPUTED_VALUE"""),"FRANCE")</f>
        <v>FRANCE</v>
      </c>
      <c r="Q292" s="1" t="str">
        <f ca="1">IFERROR(__xludf.DUMMYFUNCTION("""COMPUTED_VALUE"""),"SENEGAL")</f>
        <v>SENEGAL</v>
      </c>
      <c r="R292" s="1"/>
      <c r="S292" s="1"/>
      <c r="T292" s="1" t="str">
        <f ca="1">IFERROR(__xludf.DUMMYFUNCTION("""COMPUTED_VALUE"""),"HOBALLAH Kevin")</f>
        <v>HOBALLAH Kevin</v>
      </c>
      <c r="U292" s="1" t="str">
        <f ca="1">IFERROR(__xludf.DUMMYFUNCTION("""COMPUTED_VALUE"""),"FATTAH Joumana")</f>
        <v>FATTAH Joumana</v>
      </c>
      <c r="V292" s="1" t="str">
        <f ca="1">IFERROR(__xludf.DUMMYFUNCTION("""COMPUTED_VALUE"""),"kevinhoballah@hotmail.com")</f>
        <v>kevinhoballah@hotmail.com</v>
      </c>
      <c r="W292" s="1" t="str">
        <f ca="1">IFERROR(__xludf.DUMMYFUNCTION("""COMPUTED_VALUE"""),"joumanafattah@outlook.com")</f>
        <v>joumanafattah@outlook.com</v>
      </c>
      <c r="X292" s="1" t="str">
        <f ca="1">IFERROR(__xludf.DUMMYFUNCTION("""COMPUTED_VALUE"""),"780192449")</f>
        <v>780192449</v>
      </c>
      <c r="Y292" s="1" t="str">
        <f ca="1">IFERROR(__xludf.DUMMYFUNCTION("""COMPUTED_VALUE"""),"780192449")</f>
        <v>780192449</v>
      </c>
      <c r="Z292" s="1"/>
      <c r="AA292" s="1"/>
      <c r="AB292" s="2">
        <f ca="1">IFERROR(__xludf.DUMMYFUNCTION("""COMPUTED_VALUE"""),33925)</f>
        <v>33925</v>
      </c>
      <c r="AC292" s="2">
        <f ca="1">IFERROR(__xludf.DUMMYFUNCTION("""COMPUTED_VALUE"""),34006)</f>
        <v>34006</v>
      </c>
      <c r="AD292" s="1" t="str">
        <f ca="1">IFERROR(__xludf.DUMMYFUNCTION("""COMPUTED_VALUE"""),"PERE")</f>
        <v>PERE</v>
      </c>
      <c r="AE292" s="1" t="str">
        <f ca="1">IFERROR(__xludf.DUMMYFUNCTION("""COMPUTED_VALUE"""),"MERE")</f>
        <v>MERE</v>
      </c>
      <c r="AF292" s="1" t="str">
        <f ca="1">IFERROR(__xludf.DUMMYFUNCTION("""COMPUTED_VALUE"""),"FRANCE")</f>
        <v>FRANCE</v>
      </c>
      <c r="AG292" s="1" t="str">
        <f ca="1">IFERROR(__xludf.DUMMYFUNCTION("""COMPUTED_VALUE"""),"FRANCE")</f>
        <v>FRANCE</v>
      </c>
      <c r="AH292" s="1"/>
      <c r="AI292" s="1"/>
      <c r="AJ292" s="1" t="str">
        <f ca="1">IFERROR(__xludf.DUMMYFUNCTION("""COMPUTED_VALUE"""),"F1368")</f>
        <v>F1368</v>
      </c>
      <c r="AK292" s="1" t="str">
        <f ca="1">IFERROR(__xludf.DUMMYFUNCTION("""COMPUTED_VALUE"""),"Marié(e)")</f>
        <v>Marié(e)</v>
      </c>
      <c r="AL292" s="1" t="str">
        <f ca="1">IFERROR(__xludf.DUMMYFUNCTION("""COMPUTED_VALUE"""),"Marié(e)")</f>
        <v>Marié(e)</v>
      </c>
      <c r="AM292" s="1" t="str">
        <f ca="1">IFERROR(__xludf.DUMMYFUNCTION("""COMPUTED_VALUE"""),"F1368")</f>
        <v>F1368</v>
      </c>
    </row>
    <row r="293" spans="1:39" ht="13" x14ac:dyDescent="0.15">
      <c r="A293" s="1" t="str">
        <f ca="1">IFERROR(__xludf.DUMMYFUNCTION("""COMPUTED_VALUE"""),"HOBALLAH Imran")</f>
        <v>HOBALLAH Imran</v>
      </c>
      <c r="B293" s="1" t="str">
        <f ca="1">IFERROR(__xludf.DUMMYFUNCTION("""COMPUTED_VALUE"""),"HOBALLAH")</f>
        <v>HOBALLAH</v>
      </c>
      <c r="C293" s="1" t="str">
        <f ca="1">IFERROR(__xludf.DUMMYFUNCTION("""COMPUTED_VALUE"""),"Imran")</f>
        <v>Imran</v>
      </c>
      <c r="D293" s="1" t="str">
        <f ca="1">IFERROR(__xludf.DUMMYFUNCTION("""COMPUTED_VALUE"""),"1368E2")</f>
        <v>1368E2</v>
      </c>
      <c r="E293" s="2">
        <f ca="1">IFERROR(__xludf.DUMMYFUNCTION("""COMPUTED_VALUE"""),44203)</f>
        <v>44203</v>
      </c>
      <c r="F293" s="1" t="str">
        <f ca="1">IFERROR(__xludf.DUMMYFUNCTION("""COMPUTED_VALUE"""),"Mat 3")</f>
        <v>Mat 3</v>
      </c>
      <c r="G293" s="1" t="str">
        <f ca="1">IFERROR(__xludf.DUMMYFUNCTION("""COMPUTED_VALUE"""),"GS")</f>
        <v>GS</v>
      </c>
      <c r="H293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293" s="1"/>
      <c r="J293" s="1"/>
      <c r="K293" s="1"/>
      <c r="L293" s="1"/>
      <c r="M293" s="1"/>
      <c r="N293" s="1" t="str">
        <f ca="1">IFERROR(__xludf.DUMMYFUNCTION("""COMPUTED_VALUE"""),"Garçon")</f>
        <v>Garçon</v>
      </c>
      <c r="O293" s="1"/>
      <c r="P293" s="1" t="str">
        <f ca="1">IFERROR(__xludf.DUMMYFUNCTION("""COMPUTED_VALUE"""),"FRANCE")</f>
        <v>FRANCE</v>
      </c>
      <c r="Q293" s="1"/>
      <c r="R293" s="1"/>
      <c r="S293" s="1"/>
      <c r="T293" s="1" t="str">
        <f ca="1">IFERROR(__xludf.DUMMYFUNCTION("""COMPUTED_VALUE"""),"HOBALLAH Kevin")</f>
        <v>HOBALLAH Kevin</v>
      </c>
      <c r="U293" s="1" t="str">
        <f ca="1">IFERROR(__xludf.DUMMYFUNCTION("""COMPUTED_VALUE"""),"FATTAH Joumana")</f>
        <v>FATTAH Joumana</v>
      </c>
      <c r="V293" s="1" t="str">
        <f ca="1">IFERROR(__xludf.DUMMYFUNCTION("""COMPUTED_VALUE"""),"kevinhoballah@hotmail.com")</f>
        <v>kevinhoballah@hotmail.com</v>
      </c>
      <c r="W293" s="1" t="str">
        <f ca="1">IFERROR(__xludf.DUMMYFUNCTION("""COMPUTED_VALUE"""),"joumanafattah@outlook.com")</f>
        <v>joumanafattah@outlook.com</v>
      </c>
      <c r="X293" s="1" t="str">
        <f ca="1">IFERROR(__xludf.DUMMYFUNCTION("""COMPUTED_VALUE"""),"780192449")</f>
        <v>780192449</v>
      </c>
      <c r="Y293" s="1" t="str">
        <f ca="1">IFERROR(__xludf.DUMMYFUNCTION("""COMPUTED_VALUE"""),"780192449")</f>
        <v>780192449</v>
      </c>
      <c r="Z293" s="1"/>
      <c r="AA293" s="1"/>
      <c r="AB293" s="2">
        <f ca="1">IFERROR(__xludf.DUMMYFUNCTION("""COMPUTED_VALUE"""),33925)</f>
        <v>33925</v>
      </c>
      <c r="AC293" s="2">
        <f ca="1">IFERROR(__xludf.DUMMYFUNCTION("""COMPUTED_VALUE"""),34006)</f>
        <v>34006</v>
      </c>
      <c r="AD293" s="1" t="str">
        <f ca="1">IFERROR(__xludf.DUMMYFUNCTION("""COMPUTED_VALUE"""),"PERE")</f>
        <v>PERE</v>
      </c>
      <c r="AE293" s="1" t="str">
        <f ca="1">IFERROR(__xludf.DUMMYFUNCTION("""COMPUTED_VALUE"""),"MERE")</f>
        <v>MERE</v>
      </c>
      <c r="AF293" s="1" t="str">
        <f ca="1">IFERROR(__xludf.DUMMYFUNCTION("""COMPUTED_VALUE"""),"FRANCE")</f>
        <v>FRANCE</v>
      </c>
      <c r="AG293" s="1" t="str">
        <f ca="1">IFERROR(__xludf.DUMMYFUNCTION("""COMPUTED_VALUE"""),"FRANCE")</f>
        <v>FRANCE</v>
      </c>
      <c r="AH293" s="1"/>
      <c r="AI293" s="1"/>
      <c r="AJ293" s="1" t="str">
        <f ca="1">IFERROR(__xludf.DUMMYFUNCTION("""COMPUTED_VALUE"""),"F1368")</f>
        <v>F1368</v>
      </c>
      <c r="AK293" s="1" t="str">
        <f ca="1">IFERROR(__xludf.DUMMYFUNCTION("""COMPUTED_VALUE"""),"Marié(e)")</f>
        <v>Marié(e)</v>
      </c>
      <c r="AL293" s="1" t="str">
        <f ca="1">IFERROR(__xludf.DUMMYFUNCTION("""COMPUTED_VALUE"""),"Marié(e)")</f>
        <v>Marié(e)</v>
      </c>
      <c r="AM293" s="1" t="str">
        <f ca="1">IFERROR(__xludf.DUMMYFUNCTION("""COMPUTED_VALUE"""),"F1368")</f>
        <v>F1368</v>
      </c>
    </row>
    <row r="294" spans="1:39" ht="13" x14ac:dyDescent="0.15">
      <c r="A294" s="1" t="str">
        <f ca="1">IFERROR(__xludf.DUMMYFUNCTION("""COMPUTED_VALUE"""),"HOBALLAH Joanna")</f>
        <v>HOBALLAH Joanna</v>
      </c>
      <c r="B294" s="1" t="str">
        <f ca="1">IFERROR(__xludf.DUMMYFUNCTION("""COMPUTED_VALUE"""),"HOBALLAH")</f>
        <v>HOBALLAH</v>
      </c>
      <c r="C294" s="1" t="str">
        <f ca="1">IFERROR(__xludf.DUMMYFUNCTION("""COMPUTED_VALUE"""),"Joanna")</f>
        <v>Joanna</v>
      </c>
      <c r="D294" s="1" t="str">
        <f ca="1">IFERROR(__xludf.DUMMYFUNCTION("""COMPUTED_VALUE"""),"1370E1")</f>
        <v>1370E1</v>
      </c>
      <c r="E294" s="2">
        <f ca="1">IFERROR(__xludf.DUMMYFUNCTION("""COMPUTED_VALUE"""),43716)</f>
        <v>43716</v>
      </c>
      <c r="F294" s="1" t="str">
        <f ca="1">IFERROR(__xludf.DUMMYFUNCTION("""COMPUTED_VALUE"""),"CP")</f>
        <v>CP</v>
      </c>
      <c r="G294" s="1" t="str">
        <f ca="1">IFERROR(__xludf.DUMMYFUNCTION("""COMPUTED_VALUE"""),"CP")</f>
        <v>CP</v>
      </c>
      <c r="H294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294" s="1"/>
      <c r="J294" s="1"/>
      <c r="K294" s="1"/>
      <c r="L294" s="1"/>
      <c r="M294" s="1"/>
      <c r="N294" s="1" t="str">
        <f ca="1">IFERROR(__xludf.DUMMYFUNCTION("""COMPUTED_VALUE"""),"Fille")</f>
        <v>Fille</v>
      </c>
      <c r="O294" s="1"/>
      <c r="P294" s="1" t="str">
        <f ca="1">IFERROR(__xludf.DUMMYFUNCTION("""COMPUTED_VALUE"""),"SENEGAL")</f>
        <v>SENEGAL</v>
      </c>
      <c r="Q294" s="1"/>
      <c r="R294" s="1"/>
      <c r="S294" s="1"/>
      <c r="T294" s="1" t="str">
        <f ca="1">IFERROR(__xludf.DUMMYFUNCTION("""COMPUTED_VALUE"""),"HOBALLAH Karim")</f>
        <v>HOBALLAH Karim</v>
      </c>
      <c r="U294" s="1"/>
      <c r="V294" s="1" t="str">
        <f ca="1">IFERROR(__xludf.DUMMYFUNCTION("""COMPUTED_VALUE"""),"carodeco.hk@gmail.com")</f>
        <v>carodeco.hk@gmail.com</v>
      </c>
      <c r="W294" s="1"/>
      <c r="X294" s="1" t="str">
        <f ca="1">IFERROR(__xludf.DUMMYFUNCTION("""COMPUTED_VALUE"""),"77 138 34 10")</f>
        <v>77 138 34 10</v>
      </c>
      <c r="Y294" s="1"/>
      <c r="Z294" s="1"/>
      <c r="AA294" s="1"/>
      <c r="AB294" s="2">
        <f ca="1">IFERROR(__xludf.DUMMYFUNCTION("""COMPUTED_VALUE"""),31018)</f>
        <v>31018</v>
      </c>
      <c r="AC294" s="1"/>
      <c r="AD294" s="1" t="str">
        <f ca="1">IFERROR(__xludf.DUMMYFUNCTION("""COMPUTED_VALUE"""),"PERE")</f>
        <v>PERE</v>
      </c>
      <c r="AE294" s="1"/>
      <c r="AF294" s="1" t="str">
        <f ca="1">IFERROR(__xludf.DUMMYFUNCTION("""COMPUTED_VALUE"""),"SENEGAL")</f>
        <v>SENEGAL</v>
      </c>
      <c r="AG294" s="1"/>
      <c r="AH294" s="1"/>
      <c r="AI294" s="1"/>
      <c r="AJ294" s="1" t="str">
        <f ca="1">IFERROR(__xludf.DUMMYFUNCTION("""COMPUTED_VALUE"""),"F1370")</f>
        <v>F1370</v>
      </c>
      <c r="AK294" s="1" t="str">
        <f ca="1">IFERROR(__xludf.DUMMYFUNCTION("""COMPUTED_VALUE"""),"Célibataire")</f>
        <v>Célibataire</v>
      </c>
      <c r="AL294" s="1"/>
      <c r="AM294" s="1" t="str">
        <f ca="1">IFERROR(__xludf.DUMMYFUNCTION("""COMPUTED_VALUE"""),"F1370")</f>
        <v>F1370</v>
      </c>
    </row>
    <row r="295" spans="1:39" ht="13" x14ac:dyDescent="0.15">
      <c r="A295" s="1" t="str">
        <f ca="1">IFERROR(__xludf.DUMMYFUNCTION("""COMPUTED_VALUE"""),"HOUEDESSOU Hugo")</f>
        <v>HOUEDESSOU Hugo</v>
      </c>
      <c r="B295" s="1" t="str">
        <f ca="1">IFERROR(__xludf.DUMMYFUNCTION("""COMPUTED_VALUE"""),"HOUEDESSOU")</f>
        <v>HOUEDESSOU</v>
      </c>
      <c r="C295" s="1" t="str">
        <f ca="1">IFERROR(__xludf.DUMMYFUNCTION("""COMPUTED_VALUE"""),"Hugo")</f>
        <v>Hugo</v>
      </c>
      <c r="D295" s="1" t="str">
        <f ca="1">IFERROR(__xludf.DUMMYFUNCTION("""COMPUTED_VALUE"""),"1372E1")</f>
        <v>1372E1</v>
      </c>
      <c r="E295" s="2">
        <f ca="1">IFERROR(__xludf.DUMMYFUNCTION("""COMPUTED_VALUE"""),40522)</f>
        <v>40522</v>
      </c>
      <c r="F295" s="1" t="str">
        <f ca="1">IFERROR(__xludf.DUMMYFUNCTION("""COMPUTED_VALUE"""),"2NDE1 COOP")</f>
        <v>2NDE1 COOP</v>
      </c>
      <c r="G295" s="1" t="str">
        <f ca="1">IFERROR(__xludf.DUMMYFUNCTION("""COMPUTED_VALUE"""),"2nde")</f>
        <v>2nde</v>
      </c>
      <c r="H295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295" s="1" t="str">
        <f ca="1">IFERROR(__xludf.DUMMYFUNCTION("""COMPUTED_VALUE"""),"LVA Anglais")</f>
        <v>LVA Anglais</v>
      </c>
      <c r="J295" s="1" t="str">
        <f ca="1">IFERROR(__xludf.DUMMYFUNCTION("""COMPUTED_VALUE"""),"LVB Espagnol")</f>
        <v>LVB Espagnol</v>
      </c>
      <c r="K295" s="1"/>
      <c r="L295" s="1"/>
      <c r="M295" s="1"/>
      <c r="N295" s="1" t="str">
        <f ca="1">IFERROR(__xludf.DUMMYFUNCTION("""COMPUTED_VALUE"""),"Garçon")</f>
        <v>Garçon</v>
      </c>
      <c r="O295" s="1"/>
      <c r="P295" s="1" t="str">
        <f ca="1">IFERROR(__xludf.DUMMYFUNCTION("""COMPUTED_VALUE"""),"FRANCE")</f>
        <v>FRANCE</v>
      </c>
      <c r="Q295" s="1"/>
      <c r="R295" s="1" t="str">
        <f ca="1">IFERROR(__xludf.DUMMYFUNCTION("""COMPUTED_VALUE"""),"hugo.houedessou@lfjpsaly.org")</f>
        <v>hugo.houedessou@lfjpsaly.org</v>
      </c>
      <c r="S295" s="1" t="str">
        <f ca="1">IFERROR(__xludf.DUMMYFUNCTION("""COMPUTED_VALUE"""),"+221 77 221 41 35")</f>
        <v>+221 77 221 41 35</v>
      </c>
      <c r="T295" s="1" t="str">
        <f ca="1">IFERROR(__xludf.DUMMYFUNCTION("""COMPUTED_VALUE"""),"BARBOTIN Gwënaelle")</f>
        <v>BARBOTIN Gwënaelle</v>
      </c>
      <c r="U295" s="1" t="str">
        <f ca="1">IFERROR(__xludf.DUMMYFUNCTION("""COMPUTED_VALUE"""),"HOUEDESSOU Maxime")</f>
        <v>HOUEDESSOU Maxime</v>
      </c>
      <c r="V295" s="1" t="str">
        <f ca="1">IFERROR(__xludf.DUMMYFUNCTION("""COMPUTED_VALUE"""),"mhgwen@gmail.com")</f>
        <v>mhgwen@gmail.com</v>
      </c>
      <c r="W295" s="1" t="str">
        <f ca="1">IFERROR(__xludf.DUMMYFUNCTION("""COMPUTED_VALUE"""),"maximecreateur@gmail.com")</f>
        <v>maximecreateur@gmail.com</v>
      </c>
      <c r="X295" s="1" t="str">
        <f ca="1">IFERROR(__xludf.DUMMYFUNCTION("""COMPUTED_VALUE"""),"+221 77 553 42 67")</f>
        <v>+221 77 553 42 67</v>
      </c>
      <c r="Y295" s="1" t="str">
        <f ca="1">IFERROR(__xludf.DUMMYFUNCTION("""COMPUTED_VALUE"""),"+221 77 573 58 58")</f>
        <v>+221 77 573 58 58</v>
      </c>
      <c r="Z295" s="1" t="str">
        <f ca="1">IFERROR(__xludf.DUMMYFUNCTION("""COMPUTED_VALUE"""),"+221 77 553 42 67")</f>
        <v>+221 77 553 42 67</v>
      </c>
      <c r="AA295" s="1" t="str">
        <f ca="1">IFERROR(__xludf.DUMMYFUNCTION("""COMPUTED_VALUE"""),"+221 77 573 58 58")</f>
        <v>+221 77 573 58 58</v>
      </c>
      <c r="AB295" s="2">
        <f ca="1">IFERROR(__xludf.DUMMYFUNCTION("""COMPUTED_VALUE"""),29042)</f>
        <v>29042</v>
      </c>
      <c r="AC295" s="2">
        <f ca="1">IFERROR(__xludf.DUMMYFUNCTION("""COMPUTED_VALUE"""),28286)</f>
        <v>28286</v>
      </c>
      <c r="AD295" s="1" t="str">
        <f ca="1">IFERROR(__xludf.DUMMYFUNCTION("""COMPUTED_VALUE"""),"MERE")</f>
        <v>MERE</v>
      </c>
      <c r="AE295" s="1" t="str">
        <f ca="1">IFERROR(__xludf.DUMMYFUNCTION("""COMPUTED_VALUE"""),"PERE")</f>
        <v>PERE</v>
      </c>
      <c r="AF295" s="1" t="str">
        <f ca="1">IFERROR(__xludf.DUMMYFUNCTION("""COMPUTED_VALUE"""),"FRANCE")</f>
        <v>FRANCE</v>
      </c>
      <c r="AG295" s="1" t="str">
        <f ca="1">IFERROR(__xludf.DUMMYFUNCTION("""COMPUTED_VALUE"""),"FRANCE")</f>
        <v>FRANCE</v>
      </c>
      <c r="AH295" s="1"/>
      <c r="AI295" s="1"/>
      <c r="AJ295" s="1" t="str">
        <f ca="1">IFERROR(__xludf.DUMMYFUNCTION("""COMPUTED_VALUE"""),"F1372")</f>
        <v>F1372</v>
      </c>
      <c r="AK295" s="1" t="str">
        <f ca="1">IFERROR(__xludf.DUMMYFUNCTION("""COMPUTED_VALUE"""),"Séparé(e)")</f>
        <v>Séparé(e)</v>
      </c>
      <c r="AL295" s="1" t="str">
        <f ca="1">IFERROR(__xludf.DUMMYFUNCTION("""COMPUTED_VALUE"""),"Séparé(e)")</f>
        <v>Séparé(e)</v>
      </c>
      <c r="AM295" s="1" t="str">
        <f ca="1">IFERROR(__xludf.DUMMYFUNCTION("""COMPUTED_VALUE"""),"F1372")</f>
        <v>F1372</v>
      </c>
    </row>
    <row r="296" spans="1:39" ht="13" x14ac:dyDescent="0.15">
      <c r="A296" s="1" t="str">
        <f ca="1">IFERROR(__xludf.DUMMYFUNCTION("""COMPUTED_VALUE"""),"HOUGNON Alexandre Georges")</f>
        <v>HOUGNON Alexandre Georges</v>
      </c>
      <c r="B296" s="1" t="str">
        <f ca="1">IFERROR(__xludf.DUMMYFUNCTION("""COMPUTED_VALUE"""),"HOUGNON")</f>
        <v>HOUGNON</v>
      </c>
      <c r="C296" s="1" t="str">
        <f ca="1">IFERROR(__xludf.DUMMYFUNCTION("""COMPUTED_VALUE"""),"Alexandre Georges")</f>
        <v>Alexandre Georges</v>
      </c>
      <c r="D296" s="1" t="str">
        <f ca="1">IFERROR(__xludf.DUMMYFUNCTION("""COMPUTED_VALUE"""),"1373E1")</f>
        <v>1373E1</v>
      </c>
      <c r="E296" s="2">
        <f ca="1">IFERROR(__xludf.DUMMYFUNCTION("""COMPUTED_VALUE"""),40660)</f>
        <v>40660</v>
      </c>
      <c r="F296" s="1" t="str">
        <f ca="1">IFERROR(__xludf.DUMMYFUNCTION("""COMPUTED_VALUE"""),"3EME2")</f>
        <v>3EME2</v>
      </c>
      <c r="G296" s="1" t="str">
        <f ca="1">IFERROR(__xludf.DUMMYFUNCTION("""COMPUTED_VALUE"""),"3ème")</f>
        <v>3ème</v>
      </c>
      <c r="H296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296" s="1" t="str">
        <f ca="1">IFERROR(__xludf.DUMMYFUNCTION("""COMPUTED_VALUE"""),"LVA Anglais")</f>
        <v>LVA Anglais</v>
      </c>
      <c r="J296" s="1" t="str">
        <f ca="1">IFERROR(__xludf.DUMMYFUNCTION("""COMPUTED_VALUE"""),"LVB Espagnol")</f>
        <v>LVB Espagnol</v>
      </c>
      <c r="K296" s="1"/>
      <c r="L296" s="1"/>
      <c r="M296" s="1"/>
      <c r="N296" s="1" t="str">
        <f ca="1">IFERROR(__xludf.DUMMYFUNCTION("""COMPUTED_VALUE"""),"Garçon")</f>
        <v>Garçon</v>
      </c>
      <c r="O296" s="1"/>
      <c r="P296" s="1" t="str">
        <f ca="1">IFERROR(__xludf.DUMMYFUNCTION("""COMPUTED_VALUE"""),"FRANCE")</f>
        <v>FRANCE</v>
      </c>
      <c r="Q296" s="1"/>
      <c r="R296" s="1" t="str">
        <f ca="1">IFERROR(__xludf.DUMMYFUNCTION("""COMPUTED_VALUE"""),"alexandre.hougnon@lfjpsaly.org")</f>
        <v>alexandre.hougnon@lfjpsaly.org</v>
      </c>
      <c r="S296" s="1"/>
      <c r="T296" s="1" t="str">
        <f ca="1">IFERROR(__xludf.DUMMYFUNCTION("""COMPUTED_VALUE"""),"HOUGNON Daniel")</f>
        <v>HOUGNON Daniel</v>
      </c>
      <c r="U296" s="1"/>
      <c r="V296" s="1" t="str">
        <f ca="1">IFERROR(__xludf.DUMMYFUNCTION("""COMPUTED_VALUE"""),"daniel.hougnon@yahoo.fr")</f>
        <v>daniel.hougnon@yahoo.fr</v>
      </c>
      <c r="W296" s="1"/>
      <c r="X296" s="1" t="str">
        <f ca="1">IFERROR(__xludf.DUMMYFUNCTION("""COMPUTED_VALUE"""),"+221 78 387 22 37")</f>
        <v>+221 78 387 22 37</v>
      </c>
      <c r="Y296" s="1"/>
      <c r="Z296" s="1" t="str">
        <f ca="1">IFERROR(__xludf.DUMMYFUNCTION("""COMPUTED_VALUE"""),"+221 78 710 58 12")</f>
        <v>+221 78 710 58 12</v>
      </c>
      <c r="AA296" s="1"/>
      <c r="AB296" s="2">
        <f ca="1">IFERROR(__xludf.DUMMYFUNCTION("""COMPUTED_VALUE"""),15716)</f>
        <v>15716</v>
      </c>
      <c r="AC296" s="1"/>
      <c r="AD296" s="1" t="str">
        <f ca="1">IFERROR(__xludf.DUMMYFUNCTION("""COMPUTED_VALUE"""),"PERE")</f>
        <v>PERE</v>
      </c>
      <c r="AE296" s="1"/>
      <c r="AF296" s="1" t="str">
        <f ca="1">IFERROR(__xludf.DUMMYFUNCTION("""COMPUTED_VALUE"""),"FRANCE")</f>
        <v>FRANCE</v>
      </c>
      <c r="AG296" s="1"/>
      <c r="AH296" s="1"/>
      <c r="AI296" s="1"/>
      <c r="AJ296" s="1" t="str">
        <f ca="1">IFERROR(__xludf.DUMMYFUNCTION("""COMPUTED_VALUE"""),"F1373")</f>
        <v>F1373</v>
      </c>
      <c r="AK296" s="1" t="str">
        <f ca="1">IFERROR(__xludf.DUMMYFUNCTION("""COMPUTED_VALUE"""),"Divorcée")</f>
        <v>Divorcée</v>
      </c>
      <c r="AL296" s="1"/>
      <c r="AM296" s="1" t="str">
        <f ca="1">IFERROR(__xludf.DUMMYFUNCTION("""COMPUTED_VALUE"""),"F1373")</f>
        <v>F1373</v>
      </c>
    </row>
    <row r="297" spans="1:39" ht="13" x14ac:dyDescent="0.15">
      <c r="A297" s="1" t="str">
        <f ca="1">IFERROR(__xludf.DUMMYFUNCTION("""COMPUTED_VALUE"""),"HUDON Sélène Fatou")</f>
        <v>HUDON Sélène Fatou</v>
      </c>
      <c r="B297" s="1" t="str">
        <f ca="1">IFERROR(__xludf.DUMMYFUNCTION("""COMPUTED_VALUE"""),"HUDON")</f>
        <v>HUDON</v>
      </c>
      <c r="C297" s="1" t="str">
        <f ca="1">IFERROR(__xludf.DUMMYFUNCTION("""COMPUTED_VALUE"""),"Sélène Fatou")</f>
        <v>Sélène Fatou</v>
      </c>
      <c r="D297" s="1" t="str">
        <f ca="1">IFERROR(__xludf.DUMMYFUNCTION("""COMPUTED_VALUE"""),"1375E1")</f>
        <v>1375E1</v>
      </c>
      <c r="E297" s="2">
        <f ca="1">IFERROR(__xludf.DUMMYFUNCTION("""COMPUTED_VALUE"""),44117)</f>
        <v>44117</v>
      </c>
      <c r="F297" s="1" t="str">
        <f ca="1">IFERROR(__xludf.DUMMYFUNCTION("""COMPUTED_VALUE"""),"Mat 3")</f>
        <v>Mat 3</v>
      </c>
      <c r="G297" s="1" t="str">
        <f ca="1">IFERROR(__xludf.DUMMYFUNCTION("""COMPUTED_VALUE"""),"GS")</f>
        <v>GS</v>
      </c>
      <c r="H297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297" s="1"/>
      <c r="J297" s="1"/>
      <c r="K297" s="1"/>
      <c r="L297" s="1"/>
      <c r="M297" s="1"/>
      <c r="N297" s="1" t="str">
        <f ca="1">IFERROR(__xludf.DUMMYFUNCTION("""COMPUTED_VALUE"""),"Fille")</f>
        <v>Fille</v>
      </c>
      <c r="O297" s="1"/>
      <c r="P297" s="1" t="str">
        <f ca="1">IFERROR(__xludf.DUMMYFUNCTION("""COMPUTED_VALUE"""),"FRANCE")</f>
        <v>FRANCE</v>
      </c>
      <c r="Q297" s="1" t="str">
        <f ca="1">IFERROR(__xludf.DUMMYFUNCTION("""COMPUTED_VALUE"""),"SENEGAL")</f>
        <v>SENEGAL</v>
      </c>
      <c r="R297" s="1"/>
      <c r="S297" s="1"/>
      <c r="T297" s="1" t="str">
        <f ca="1">IFERROR(__xludf.DUMMYFUNCTION("""COMPUTED_VALUE"""),"HUDON Nathanael")</f>
        <v>HUDON Nathanael</v>
      </c>
      <c r="U297" s="1" t="str">
        <f ca="1">IFERROR(__xludf.DUMMYFUNCTION("""COMPUTED_VALUE"""),"HUDON Aissatou")</f>
        <v>HUDON Aissatou</v>
      </c>
      <c r="V297" s="1" t="str">
        <f ca="1">IFERROR(__xludf.DUMMYFUNCTION("""COMPUTED_VALUE"""),"hudonnathanael89@gmail.com")</f>
        <v>hudonnathanael89@gmail.com</v>
      </c>
      <c r="W297" s="1" t="str">
        <f ca="1">IFERROR(__xludf.DUMMYFUNCTION("""COMPUTED_VALUE"""),"hudonnathanael89@gmail.com")</f>
        <v>hudonnathanael89@gmail.com</v>
      </c>
      <c r="X297" s="1" t="str">
        <f ca="1">IFERROR(__xludf.DUMMYFUNCTION("""COMPUTED_VALUE"""),"77 569 87 16")</f>
        <v>77 569 87 16</v>
      </c>
      <c r="Y297" s="1" t="str">
        <f ca="1">IFERROR(__xludf.DUMMYFUNCTION("""COMPUTED_VALUE"""),"77 338 46 00")</f>
        <v>77 338 46 00</v>
      </c>
      <c r="Z297" s="1"/>
      <c r="AA297" s="1"/>
      <c r="AB297" s="2">
        <f ca="1">IFERROR(__xludf.DUMMYFUNCTION("""COMPUTED_VALUE"""),32618)</f>
        <v>32618</v>
      </c>
      <c r="AC297" s="2">
        <f ca="1">IFERROR(__xludf.DUMMYFUNCTION("""COMPUTED_VALUE"""),33635)</f>
        <v>33635</v>
      </c>
      <c r="AD297" s="1" t="str">
        <f ca="1">IFERROR(__xludf.DUMMYFUNCTION("""COMPUTED_VALUE"""),"PERE")</f>
        <v>PERE</v>
      </c>
      <c r="AE297" s="1" t="str">
        <f ca="1">IFERROR(__xludf.DUMMYFUNCTION("""COMPUTED_VALUE"""),"MERE")</f>
        <v>MERE</v>
      </c>
      <c r="AF297" s="1" t="str">
        <f ca="1">IFERROR(__xludf.DUMMYFUNCTION("""COMPUTED_VALUE"""),"FRANCE")</f>
        <v>FRANCE</v>
      </c>
      <c r="AG297" s="1" t="str">
        <f ca="1">IFERROR(__xludf.DUMMYFUNCTION("""COMPUTED_VALUE"""),"SENEGAL")</f>
        <v>SENEGAL</v>
      </c>
      <c r="AH297" s="1"/>
      <c r="AI297" s="1" t="str">
        <f ca="1">IFERROR(__xludf.DUMMYFUNCTION("""COMPUTED_VALUE"""),"FRANCE")</f>
        <v>FRANCE</v>
      </c>
      <c r="AJ297" s="1" t="str">
        <f ca="1">IFERROR(__xludf.DUMMYFUNCTION("""COMPUTED_VALUE"""),"F1375")</f>
        <v>F1375</v>
      </c>
      <c r="AK297" s="1" t="str">
        <f ca="1">IFERROR(__xludf.DUMMYFUNCTION("""COMPUTED_VALUE"""),"Marié(e)")</f>
        <v>Marié(e)</v>
      </c>
      <c r="AL297" s="1" t="str">
        <f ca="1">IFERROR(__xludf.DUMMYFUNCTION("""COMPUTED_VALUE"""),"Marié(e)")</f>
        <v>Marié(e)</v>
      </c>
      <c r="AM297" s="1" t="str">
        <f ca="1">IFERROR(__xludf.DUMMYFUNCTION("""COMPUTED_VALUE"""),"F1375")</f>
        <v>F1375</v>
      </c>
    </row>
    <row r="298" spans="1:39" ht="13" x14ac:dyDescent="0.15">
      <c r="A298" s="1" t="str">
        <f ca="1">IFERROR(__xludf.DUMMYFUNCTION("""COMPUTED_VALUE"""),"HUERTA ELOUARD Khayali")</f>
        <v>HUERTA ELOUARD Khayali</v>
      </c>
      <c r="B298" s="1" t="str">
        <f ca="1">IFERROR(__xludf.DUMMYFUNCTION("""COMPUTED_VALUE"""),"HUERTA ELOUARD")</f>
        <v>HUERTA ELOUARD</v>
      </c>
      <c r="C298" s="1" t="str">
        <f ca="1">IFERROR(__xludf.DUMMYFUNCTION("""COMPUTED_VALUE"""),"Khayali")</f>
        <v>Khayali</v>
      </c>
      <c r="D298" s="1" t="str">
        <f ca="1">IFERROR(__xludf.DUMMYFUNCTION("""COMPUTED_VALUE"""),"1376E2")</f>
        <v>1376E2</v>
      </c>
      <c r="E298" s="2">
        <f ca="1">IFERROR(__xludf.DUMMYFUNCTION("""COMPUTED_VALUE"""),42360)</f>
        <v>42360</v>
      </c>
      <c r="F298" s="1" t="str">
        <f ca="1">IFERROR(__xludf.DUMMYFUNCTION("""COMPUTED_VALUE"""),"CM2A")</f>
        <v>CM2A</v>
      </c>
      <c r="G298" s="1" t="str">
        <f ca="1">IFERROR(__xludf.DUMMYFUNCTION("""COMPUTED_VALUE"""),"CM2")</f>
        <v>CM2</v>
      </c>
      <c r="H298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298" s="1"/>
      <c r="J298" s="1"/>
      <c r="K298" s="1"/>
      <c r="L298" s="1"/>
      <c r="M298" s="1"/>
      <c r="N298" s="1" t="str">
        <f ca="1">IFERROR(__xludf.DUMMYFUNCTION("""COMPUTED_VALUE"""),"Garçon")</f>
        <v>Garçon</v>
      </c>
      <c r="O298" s="1"/>
      <c r="P298" s="1" t="str">
        <f ca="1">IFERROR(__xludf.DUMMYFUNCTION("""COMPUTED_VALUE"""),"FRANCE")</f>
        <v>FRANCE</v>
      </c>
      <c r="Q298" s="1" t="str">
        <f ca="1">IFERROR(__xludf.DUMMYFUNCTION("""COMPUTED_VALUE"""),"ALLEMAGNE")</f>
        <v>ALLEMAGNE</v>
      </c>
      <c r="R298" s="1"/>
      <c r="S298" s="1"/>
      <c r="T298" s="1" t="str">
        <f ca="1">IFERROR(__xludf.DUMMYFUNCTION("""COMPUTED_VALUE"""),"ELOUARD Yajna")</f>
        <v>ELOUARD Yajna</v>
      </c>
      <c r="U298" s="1" t="str">
        <f ca="1">IFERROR(__xludf.DUMMYFUNCTION("""COMPUTED_VALUE"""),"HUERTA MUNOZ Ulises")</f>
        <v>HUERTA MUNOZ Ulises</v>
      </c>
      <c r="V298" s="1" t="str">
        <f ca="1">IFERROR(__xludf.DUMMYFUNCTION("""COMPUTED_VALUE"""),"yajna.elouard@gmail.com")</f>
        <v>yajna.elouard@gmail.com</v>
      </c>
      <c r="W298" s="1" t="str">
        <f ca="1">IFERROR(__xludf.DUMMYFUNCTION("""COMPUTED_VALUE"""),"ulises.huerta.munoz@gmail.com")</f>
        <v>ulises.huerta.munoz@gmail.com</v>
      </c>
      <c r="X298" s="1" t="str">
        <f ca="1">IFERROR(__xludf.DUMMYFUNCTION("""COMPUTED_VALUE"""),"77 442 34 19")</f>
        <v>77 442 34 19</v>
      </c>
      <c r="Y298" s="1" t="str">
        <f ca="1">IFERROR(__xludf.DUMMYFUNCTION("""COMPUTED_VALUE"""),"77 586 64 37")</f>
        <v>77 586 64 37</v>
      </c>
      <c r="Z298" s="1"/>
      <c r="AA298" s="1"/>
      <c r="AB298" s="2">
        <f ca="1">IFERROR(__xludf.DUMMYFUNCTION("""COMPUTED_VALUE"""),29708)</f>
        <v>29708</v>
      </c>
      <c r="AC298" s="2">
        <f ca="1">IFERROR(__xludf.DUMMYFUNCTION("""COMPUTED_VALUE"""),29597)</f>
        <v>29597</v>
      </c>
      <c r="AD298" s="1" t="str">
        <f ca="1">IFERROR(__xludf.DUMMYFUNCTION("""COMPUTED_VALUE"""),"MERE")</f>
        <v>MERE</v>
      </c>
      <c r="AE298" s="1" t="str">
        <f ca="1">IFERROR(__xludf.DUMMYFUNCTION("""COMPUTED_VALUE"""),"PERE")</f>
        <v>PERE</v>
      </c>
      <c r="AF298" s="1" t="str">
        <f ca="1">IFERROR(__xludf.DUMMYFUNCTION("""COMPUTED_VALUE"""),"FRANCE")</f>
        <v>FRANCE</v>
      </c>
      <c r="AG298" s="1" t="str">
        <f ca="1">IFERROR(__xludf.DUMMYFUNCTION("""COMPUTED_VALUE"""),"MEXIQUE")</f>
        <v>MEXIQUE</v>
      </c>
      <c r="AH298" s="1" t="str">
        <f ca="1">IFERROR(__xludf.DUMMYFUNCTION("""COMPUTED_VALUE"""),"ALLEMAGNE")</f>
        <v>ALLEMAGNE</v>
      </c>
      <c r="AI298" s="1" t="str">
        <f ca="1">IFERROR(__xludf.DUMMYFUNCTION("""COMPUTED_VALUE"""),"FRANCE")</f>
        <v>FRANCE</v>
      </c>
      <c r="AJ298" s="1" t="str">
        <f ca="1">IFERROR(__xludf.DUMMYFUNCTION("""COMPUTED_VALUE"""),"F1376")</f>
        <v>F1376</v>
      </c>
      <c r="AK298" s="1" t="str">
        <f ca="1">IFERROR(__xludf.DUMMYFUNCTION("""COMPUTED_VALUE"""),"Marié(e)")</f>
        <v>Marié(e)</v>
      </c>
      <c r="AL298" s="1" t="str">
        <f ca="1">IFERROR(__xludf.DUMMYFUNCTION("""COMPUTED_VALUE"""),"Marié(e)")</f>
        <v>Marié(e)</v>
      </c>
      <c r="AM298" s="1" t="str">
        <f ca="1">IFERROR(__xludf.DUMMYFUNCTION("""COMPUTED_VALUE"""),"F1376")</f>
        <v>F1376</v>
      </c>
    </row>
    <row r="299" spans="1:39" ht="13" x14ac:dyDescent="0.15">
      <c r="A299" s="1" t="str">
        <f ca="1">IFERROR(__xludf.DUMMYFUNCTION("""COMPUTED_VALUE"""),"HUERTA ELOUARD Kinaaya")</f>
        <v>HUERTA ELOUARD Kinaaya</v>
      </c>
      <c r="B299" s="1" t="str">
        <f ca="1">IFERROR(__xludf.DUMMYFUNCTION("""COMPUTED_VALUE"""),"HUERTA ELOUARD")</f>
        <v>HUERTA ELOUARD</v>
      </c>
      <c r="C299" s="1" t="str">
        <f ca="1">IFERROR(__xludf.DUMMYFUNCTION("""COMPUTED_VALUE"""),"Kinaaya")</f>
        <v>Kinaaya</v>
      </c>
      <c r="D299" s="1" t="str">
        <f ca="1">IFERROR(__xludf.DUMMYFUNCTION("""COMPUTED_VALUE"""),"1376E3")</f>
        <v>1376E3</v>
      </c>
      <c r="E299" s="2">
        <f ca="1">IFERROR(__xludf.DUMMYFUNCTION("""COMPUTED_VALUE"""),44457)</f>
        <v>44457</v>
      </c>
      <c r="F299" s="1" t="str">
        <f ca="1">IFERROR(__xludf.DUMMYFUNCTION("""COMPUTED_VALUE"""),"Mat 3")</f>
        <v>Mat 3</v>
      </c>
      <c r="G299" s="1" t="str">
        <f ca="1">IFERROR(__xludf.DUMMYFUNCTION("""COMPUTED_VALUE"""),"MS")</f>
        <v>MS</v>
      </c>
      <c r="H299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299" s="1"/>
      <c r="J299" s="1"/>
      <c r="K299" s="1"/>
      <c r="L299" s="1"/>
      <c r="M299" s="1"/>
      <c r="N299" s="1" t="str">
        <f ca="1">IFERROR(__xludf.DUMMYFUNCTION("""COMPUTED_VALUE"""),"Fille")</f>
        <v>Fille</v>
      </c>
      <c r="O299" s="1"/>
      <c r="P299" s="1" t="str">
        <f ca="1">IFERROR(__xludf.DUMMYFUNCTION("""COMPUTED_VALUE"""),"FRANCE")</f>
        <v>FRANCE</v>
      </c>
      <c r="Q299" s="1" t="str">
        <f ca="1">IFERROR(__xludf.DUMMYFUNCTION("""COMPUTED_VALUE"""),"ALLEMAGNE")</f>
        <v>ALLEMAGNE</v>
      </c>
      <c r="R299" s="1"/>
      <c r="S299" s="1"/>
      <c r="T299" s="1" t="str">
        <f ca="1">IFERROR(__xludf.DUMMYFUNCTION("""COMPUTED_VALUE"""),"ELOUARD Yajna")</f>
        <v>ELOUARD Yajna</v>
      </c>
      <c r="U299" s="1" t="str">
        <f ca="1">IFERROR(__xludf.DUMMYFUNCTION("""COMPUTED_VALUE"""),"HUERTA MUNOZ Ulises")</f>
        <v>HUERTA MUNOZ Ulises</v>
      </c>
      <c r="V299" s="1" t="str">
        <f ca="1">IFERROR(__xludf.DUMMYFUNCTION("""COMPUTED_VALUE"""),"yajna.elouard@gmail.com")</f>
        <v>yajna.elouard@gmail.com</v>
      </c>
      <c r="W299" s="1" t="str">
        <f ca="1">IFERROR(__xludf.DUMMYFUNCTION("""COMPUTED_VALUE"""),"ulises.huerta.munoz@gmail.com")</f>
        <v>ulises.huerta.munoz@gmail.com</v>
      </c>
      <c r="X299" s="1" t="str">
        <f ca="1">IFERROR(__xludf.DUMMYFUNCTION("""COMPUTED_VALUE"""),"77 442 34 19")</f>
        <v>77 442 34 19</v>
      </c>
      <c r="Y299" s="1" t="str">
        <f ca="1">IFERROR(__xludf.DUMMYFUNCTION("""COMPUTED_VALUE"""),"77 586 64 37")</f>
        <v>77 586 64 37</v>
      </c>
      <c r="Z299" s="1"/>
      <c r="AA299" s="1"/>
      <c r="AB299" s="2">
        <f ca="1">IFERROR(__xludf.DUMMYFUNCTION("""COMPUTED_VALUE"""),29708)</f>
        <v>29708</v>
      </c>
      <c r="AC299" s="2">
        <f ca="1">IFERROR(__xludf.DUMMYFUNCTION("""COMPUTED_VALUE"""),29597)</f>
        <v>29597</v>
      </c>
      <c r="AD299" s="1" t="str">
        <f ca="1">IFERROR(__xludf.DUMMYFUNCTION("""COMPUTED_VALUE"""),"MERE")</f>
        <v>MERE</v>
      </c>
      <c r="AE299" s="1" t="str">
        <f ca="1">IFERROR(__xludf.DUMMYFUNCTION("""COMPUTED_VALUE"""),"PERE")</f>
        <v>PERE</v>
      </c>
      <c r="AF299" s="1" t="str">
        <f ca="1">IFERROR(__xludf.DUMMYFUNCTION("""COMPUTED_VALUE"""),"FRANCE")</f>
        <v>FRANCE</v>
      </c>
      <c r="AG299" s="1" t="str">
        <f ca="1">IFERROR(__xludf.DUMMYFUNCTION("""COMPUTED_VALUE"""),"MEXIQUE")</f>
        <v>MEXIQUE</v>
      </c>
      <c r="AH299" s="1" t="str">
        <f ca="1">IFERROR(__xludf.DUMMYFUNCTION("""COMPUTED_VALUE"""),"ALLEMAGNE")</f>
        <v>ALLEMAGNE</v>
      </c>
      <c r="AI299" s="1" t="str">
        <f ca="1">IFERROR(__xludf.DUMMYFUNCTION("""COMPUTED_VALUE"""),"FRANCE")</f>
        <v>FRANCE</v>
      </c>
      <c r="AJ299" s="1" t="str">
        <f ca="1">IFERROR(__xludf.DUMMYFUNCTION("""COMPUTED_VALUE"""),"F1376")</f>
        <v>F1376</v>
      </c>
      <c r="AK299" s="1" t="str">
        <f ca="1">IFERROR(__xludf.DUMMYFUNCTION("""COMPUTED_VALUE"""),"Marié(e)")</f>
        <v>Marié(e)</v>
      </c>
      <c r="AL299" s="1" t="str">
        <f ca="1">IFERROR(__xludf.DUMMYFUNCTION("""COMPUTED_VALUE"""),"Marié(e)")</f>
        <v>Marié(e)</v>
      </c>
      <c r="AM299" s="1" t="str">
        <f ca="1">IFERROR(__xludf.DUMMYFUNCTION("""COMPUTED_VALUE"""),"F1376")</f>
        <v>F1376</v>
      </c>
    </row>
    <row r="300" spans="1:39" ht="13" x14ac:dyDescent="0.15">
      <c r="A300" s="1" t="str">
        <f ca="1">IFERROR(__xludf.DUMMYFUNCTION("""COMPUTED_VALUE"""),"HUERTA ELOUARD Zakayah")</f>
        <v>HUERTA ELOUARD Zakayah</v>
      </c>
      <c r="B300" s="1" t="str">
        <f ca="1">IFERROR(__xludf.DUMMYFUNCTION("""COMPUTED_VALUE"""),"HUERTA ELOUARD")</f>
        <v>HUERTA ELOUARD</v>
      </c>
      <c r="C300" s="1" t="str">
        <f ca="1">IFERROR(__xludf.DUMMYFUNCTION("""COMPUTED_VALUE"""),"Zakayah")</f>
        <v>Zakayah</v>
      </c>
      <c r="D300" s="1" t="str">
        <f ca="1">IFERROR(__xludf.DUMMYFUNCTION("""COMPUTED_VALUE"""),"1376E1")</f>
        <v>1376E1</v>
      </c>
      <c r="E300" s="2">
        <f ca="1">IFERROR(__xludf.DUMMYFUNCTION("""COMPUTED_VALUE"""),43148)</f>
        <v>43148</v>
      </c>
      <c r="F300" s="1" t="str">
        <f ca="1">IFERROR(__xludf.DUMMYFUNCTION("""COMPUTED_VALUE"""),"CE1B")</f>
        <v>CE1B</v>
      </c>
      <c r="G300" s="1" t="str">
        <f ca="1">IFERROR(__xludf.DUMMYFUNCTION("""COMPUTED_VALUE"""),"CE1")</f>
        <v>CE1</v>
      </c>
      <c r="H300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300" s="1"/>
      <c r="J300" s="1"/>
      <c r="K300" s="1"/>
      <c r="L300" s="1"/>
      <c r="M300" s="1"/>
      <c r="N300" s="1" t="str">
        <f ca="1">IFERROR(__xludf.DUMMYFUNCTION("""COMPUTED_VALUE"""),"Fille")</f>
        <v>Fille</v>
      </c>
      <c r="O300" s="1"/>
      <c r="P300" s="1" t="str">
        <f ca="1">IFERROR(__xludf.DUMMYFUNCTION("""COMPUTED_VALUE"""),"FRANCE")</f>
        <v>FRANCE</v>
      </c>
      <c r="Q300" s="1" t="str">
        <f ca="1">IFERROR(__xludf.DUMMYFUNCTION("""COMPUTED_VALUE"""),"ALLEMAGNE")</f>
        <v>ALLEMAGNE</v>
      </c>
      <c r="R300" s="1"/>
      <c r="S300" s="1"/>
      <c r="T300" s="1" t="str">
        <f ca="1">IFERROR(__xludf.DUMMYFUNCTION("""COMPUTED_VALUE"""),"ELOUARD Yajna")</f>
        <v>ELOUARD Yajna</v>
      </c>
      <c r="U300" s="1" t="str">
        <f ca="1">IFERROR(__xludf.DUMMYFUNCTION("""COMPUTED_VALUE"""),"HUERTA MUNOZ Ulises")</f>
        <v>HUERTA MUNOZ Ulises</v>
      </c>
      <c r="V300" s="1" t="str">
        <f ca="1">IFERROR(__xludf.DUMMYFUNCTION("""COMPUTED_VALUE"""),"yajna.elouard@gmail.com")</f>
        <v>yajna.elouard@gmail.com</v>
      </c>
      <c r="W300" s="1" t="str">
        <f ca="1">IFERROR(__xludf.DUMMYFUNCTION("""COMPUTED_VALUE"""),"ulises.huerta.munoz@gmail.com")</f>
        <v>ulises.huerta.munoz@gmail.com</v>
      </c>
      <c r="X300" s="1" t="str">
        <f ca="1">IFERROR(__xludf.DUMMYFUNCTION("""COMPUTED_VALUE"""),"77 442 34 19")</f>
        <v>77 442 34 19</v>
      </c>
      <c r="Y300" s="1" t="str">
        <f ca="1">IFERROR(__xludf.DUMMYFUNCTION("""COMPUTED_VALUE"""),"77 586 64 37")</f>
        <v>77 586 64 37</v>
      </c>
      <c r="Z300" s="1"/>
      <c r="AA300" s="1"/>
      <c r="AB300" s="2">
        <f ca="1">IFERROR(__xludf.DUMMYFUNCTION("""COMPUTED_VALUE"""),29708)</f>
        <v>29708</v>
      </c>
      <c r="AC300" s="2">
        <f ca="1">IFERROR(__xludf.DUMMYFUNCTION("""COMPUTED_VALUE"""),29597)</f>
        <v>29597</v>
      </c>
      <c r="AD300" s="1" t="str">
        <f ca="1">IFERROR(__xludf.DUMMYFUNCTION("""COMPUTED_VALUE"""),"MERE")</f>
        <v>MERE</v>
      </c>
      <c r="AE300" s="1" t="str">
        <f ca="1">IFERROR(__xludf.DUMMYFUNCTION("""COMPUTED_VALUE"""),"PERE")</f>
        <v>PERE</v>
      </c>
      <c r="AF300" s="1" t="str">
        <f ca="1">IFERROR(__xludf.DUMMYFUNCTION("""COMPUTED_VALUE"""),"FRANCE")</f>
        <v>FRANCE</v>
      </c>
      <c r="AG300" s="1" t="str">
        <f ca="1">IFERROR(__xludf.DUMMYFUNCTION("""COMPUTED_VALUE"""),"MEXIQUE")</f>
        <v>MEXIQUE</v>
      </c>
      <c r="AH300" s="1" t="str">
        <f ca="1">IFERROR(__xludf.DUMMYFUNCTION("""COMPUTED_VALUE"""),"ALLEMAGNE")</f>
        <v>ALLEMAGNE</v>
      </c>
      <c r="AI300" s="1" t="str">
        <f ca="1">IFERROR(__xludf.DUMMYFUNCTION("""COMPUTED_VALUE"""),"FRANCE")</f>
        <v>FRANCE</v>
      </c>
      <c r="AJ300" s="1" t="str">
        <f ca="1">IFERROR(__xludf.DUMMYFUNCTION("""COMPUTED_VALUE"""),"F1376")</f>
        <v>F1376</v>
      </c>
      <c r="AK300" s="1" t="str">
        <f ca="1">IFERROR(__xludf.DUMMYFUNCTION("""COMPUTED_VALUE"""),"Marié(e)")</f>
        <v>Marié(e)</v>
      </c>
      <c r="AL300" s="1" t="str">
        <f ca="1">IFERROR(__xludf.DUMMYFUNCTION("""COMPUTED_VALUE"""),"Marié(e)")</f>
        <v>Marié(e)</v>
      </c>
      <c r="AM300" s="1" t="str">
        <f ca="1">IFERROR(__xludf.DUMMYFUNCTION("""COMPUTED_VALUE"""),"F1376")</f>
        <v>F1376</v>
      </c>
    </row>
    <row r="301" spans="1:39" ht="13" x14ac:dyDescent="0.15">
      <c r="A301" s="1" t="str">
        <f ca="1">IFERROR(__xludf.DUMMYFUNCTION("""COMPUTED_VALUE"""),"ITCHOFO-LIFEMBE Noam")</f>
        <v>ITCHOFO-LIFEMBE Noam</v>
      </c>
      <c r="B301" s="1" t="str">
        <f ca="1">IFERROR(__xludf.DUMMYFUNCTION("""COMPUTED_VALUE"""),"ITCHOFO-LIFEMBE")</f>
        <v>ITCHOFO-LIFEMBE</v>
      </c>
      <c r="C301" s="1" t="str">
        <f ca="1">IFERROR(__xludf.DUMMYFUNCTION("""COMPUTED_VALUE"""),"Noam")</f>
        <v>Noam</v>
      </c>
      <c r="D301" s="1" t="str">
        <f ca="1">IFERROR(__xludf.DUMMYFUNCTION("""COMPUTED_VALUE"""),"1379E1")</f>
        <v>1379E1</v>
      </c>
      <c r="E301" s="2">
        <f ca="1">IFERROR(__xludf.DUMMYFUNCTION("""COMPUTED_VALUE"""),41649)</f>
        <v>41649</v>
      </c>
      <c r="F301" s="1" t="str">
        <f ca="1">IFERROR(__xludf.DUMMYFUNCTION("""COMPUTED_VALUE"""),"6EME1")</f>
        <v>6EME1</v>
      </c>
      <c r="G301" s="1" t="str">
        <f ca="1">IFERROR(__xludf.DUMMYFUNCTION("""COMPUTED_VALUE"""),"6ème")</f>
        <v>6ème</v>
      </c>
      <c r="H301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301" s="1" t="str">
        <f ca="1">IFERROR(__xludf.DUMMYFUNCTION("""COMPUTED_VALUE"""),"LVA Anglais")</f>
        <v>LVA Anglais</v>
      </c>
      <c r="J301" s="1" t="str">
        <f ca="1">IFERROR(__xludf.DUMMYFUNCTION("""COMPUTED_VALUE"""),"LVB Espagnol")</f>
        <v>LVB Espagnol</v>
      </c>
      <c r="K301" s="1"/>
      <c r="L301" s="1"/>
      <c r="M301" s="1"/>
      <c r="N301" s="1" t="str">
        <f ca="1">IFERROR(__xludf.DUMMYFUNCTION("""COMPUTED_VALUE"""),"Garçon")</f>
        <v>Garçon</v>
      </c>
      <c r="O301" s="1"/>
      <c r="P301" s="1" t="str">
        <f ca="1">IFERROR(__xludf.DUMMYFUNCTION("""COMPUTED_VALUE"""),"BELGIQUE")</f>
        <v>BELGIQUE</v>
      </c>
      <c r="Q301" s="1"/>
      <c r="R301" s="1" t="str">
        <f ca="1">IFERROR(__xludf.DUMMYFUNCTION("""COMPUTED_VALUE"""),"noam.itchofo-lifembe@lfjpsaly.org")</f>
        <v>noam.itchofo-lifembe@lfjpsaly.org</v>
      </c>
      <c r="S301" s="1" t="str">
        <f ca="1">IFERROR(__xludf.DUMMYFUNCTION("""COMPUTED_VALUE"""),"+221 78 016 08 53")</f>
        <v>+221 78 016 08 53</v>
      </c>
      <c r="T301" s="1" t="str">
        <f ca="1">IFERROR(__xludf.DUMMYFUNCTION("""COMPUTED_VALUE"""),"MEEÛS Aline")</f>
        <v>MEEÛS Aline</v>
      </c>
      <c r="U301" s="1"/>
      <c r="V301" s="1" t="str">
        <f ca="1">IFERROR(__xludf.DUMMYFUNCTION("""COMPUTED_VALUE"""),"alinemeeus@hotmail.com")</f>
        <v>alinemeeus@hotmail.com</v>
      </c>
      <c r="W301" s="1"/>
      <c r="X301" s="1" t="str">
        <f ca="1">IFERROR(__xludf.DUMMYFUNCTION("""COMPUTED_VALUE"""),"+221 78 016 08 53")</f>
        <v>+221 78 016 08 53</v>
      </c>
      <c r="Y301" s="1"/>
      <c r="Z301" s="1" t="str">
        <f ca="1">IFERROR(__xludf.DUMMYFUNCTION("""COMPUTED_VALUE"""),"+221")</f>
        <v>+221</v>
      </c>
      <c r="AA301" s="1"/>
      <c r="AB301" s="2">
        <f ca="1">IFERROR(__xludf.DUMMYFUNCTION("""COMPUTED_VALUE"""),31040)</f>
        <v>31040</v>
      </c>
      <c r="AC301" s="1"/>
      <c r="AD301" s="1" t="str">
        <f ca="1">IFERROR(__xludf.DUMMYFUNCTION("""COMPUTED_VALUE"""),"MERE")</f>
        <v>MERE</v>
      </c>
      <c r="AE301" s="1"/>
      <c r="AF301" s="1" t="str">
        <f ca="1">IFERROR(__xludf.DUMMYFUNCTION("""COMPUTED_VALUE"""),"BELGIQUE")</f>
        <v>BELGIQUE</v>
      </c>
      <c r="AG301" s="1"/>
      <c r="AH301" s="1"/>
      <c r="AI301" s="1"/>
      <c r="AJ301" s="1" t="str">
        <f ca="1">IFERROR(__xludf.DUMMYFUNCTION("""COMPUTED_VALUE"""),"F1379")</f>
        <v>F1379</v>
      </c>
      <c r="AK301" s="1" t="str">
        <f ca="1">IFERROR(__xludf.DUMMYFUNCTION("""COMPUTED_VALUE"""),"Célibataire")</f>
        <v>Célibataire</v>
      </c>
      <c r="AL301" s="1"/>
      <c r="AM301" s="1" t="str">
        <f ca="1">IFERROR(__xludf.DUMMYFUNCTION("""COMPUTED_VALUE"""),"F1379")</f>
        <v>F1379</v>
      </c>
    </row>
    <row r="302" spans="1:39" ht="13" x14ac:dyDescent="0.15">
      <c r="A302" s="1" t="str">
        <f ca="1">IFERROR(__xludf.DUMMYFUNCTION("""COMPUTED_VALUE"""),"JABER Ali")</f>
        <v>JABER Ali</v>
      </c>
      <c r="B302" s="1" t="str">
        <f ca="1">IFERROR(__xludf.DUMMYFUNCTION("""COMPUTED_VALUE"""),"JABER")</f>
        <v>JABER</v>
      </c>
      <c r="C302" s="1" t="str">
        <f ca="1">IFERROR(__xludf.DUMMYFUNCTION("""COMPUTED_VALUE"""),"Ali")</f>
        <v>Ali</v>
      </c>
      <c r="D302" s="1" t="str">
        <f ca="1">IFERROR(__xludf.DUMMYFUNCTION("""COMPUTED_VALUE"""),"1380E1")</f>
        <v>1380E1</v>
      </c>
      <c r="E302" s="2">
        <f ca="1">IFERROR(__xludf.DUMMYFUNCTION("""COMPUTED_VALUE"""),40629)</f>
        <v>40629</v>
      </c>
      <c r="F302" s="1" t="str">
        <f ca="1">IFERROR(__xludf.DUMMYFUNCTION("""COMPUTED_VALUE"""),"3EME1")</f>
        <v>3EME1</v>
      </c>
      <c r="G302" s="1" t="str">
        <f ca="1">IFERROR(__xludf.DUMMYFUNCTION("""COMPUTED_VALUE"""),"3ème")</f>
        <v>3ème</v>
      </c>
      <c r="H302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302" s="1" t="str">
        <f ca="1">IFERROR(__xludf.DUMMYFUNCTION("""COMPUTED_VALUE"""),"LVA Anglais")</f>
        <v>LVA Anglais</v>
      </c>
      <c r="J302" s="1" t="str">
        <f ca="1">IFERROR(__xludf.DUMMYFUNCTION("""COMPUTED_VALUE"""),"LVB Espagnol")</f>
        <v>LVB Espagnol</v>
      </c>
      <c r="K302" s="1"/>
      <c r="L302" s="1"/>
      <c r="M302" s="1"/>
      <c r="N302" s="1" t="str">
        <f ca="1">IFERROR(__xludf.DUMMYFUNCTION("""COMPUTED_VALUE"""),"Garçon")</f>
        <v>Garçon</v>
      </c>
      <c r="O302" s="1"/>
      <c r="P302" s="1" t="str">
        <f ca="1">IFERROR(__xludf.DUMMYFUNCTION("""COMPUTED_VALUE"""),"SENEGAL")</f>
        <v>SENEGAL</v>
      </c>
      <c r="Q302" s="1" t="str">
        <f ca="1">IFERROR(__xludf.DUMMYFUNCTION("""COMPUTED_VALUE"""),"LIBAN")</f>
        <v>LIBAN</v>
      </c>
      <c r="R302" s="1" t="str">
        <f ca="1">IFERROR(__xludf.DUMMYFUNCTION("""COMPUTED_VALUE"""),"ali.jaber@lfjpsaly.org")</f>
        <v>ali.jaber@lfjpsaly.org</v>
      </c>
      <c r="S302" s="1"/>
      <c r="T302" s="1" t="str">
        <f ca="1">IFERROR(__xludf.DUMMYFUNCTION("""COMPUTED_VALUE"""),"JABER Samia")</f>
        <v>JABER Samia</v>
      </c>
      <c r="U302" s="1" t="str">
        <f ca="1">IFERROR(__xludf.DUMMYFUNCTION("""COMPUTED_VALUE"""),"JABER Habib")</f>
        <v>JABER Habib</v>
      </c>
      <c r="V302" s="1" t="str">
        <f ca="1">IFERROR(__xludf.DUMMYFUNCTION("""COMPUTED_VALUE"""),"samojaber40@gmail.com")</f>
        <v>samojaber40@gmail.com</v>
      </c>
      <c r="W302" s="1" t="str">
        <f ca="1">IFERROR(__xludf.DUMMYFUNCTION("""COMPUTED_VALUE"""),"habibjaber10@gmail.com")</f>
        <v>habibjaber10@gmail.com</v>
      </c>
      <c r="X302" s="1" t="str">
        <f ca="1">IFERROR(__xludf.DUMMYFUNCTION("""COMPUTED_VALUE"""),"+221 77 289 76 79")</f>
        <v>+221 77 289 76 79</v>
      </c>
      <c r="Y302" s="1" t="str">
        <f ca="1">IFERROR(__xludf.DUMMYFUNCTION("""COMPUTED_VALUE"""),"+221 77 332 90 66")</f>
        <v>+221 77 332 90 66</v>
      </c>
      <c r="Z302" s="1"/>
      <c r="AA302" s="1"/>
      <c r="AB302" s="2">
        <f ca="1">IFERROR(__xludf.DUMMYFUNCTION("""COMPUTED_VALUE"""),31886)</f>
        <v>31886</v>
      </c>
      <c r="AC302" s="2">
        <f ca="1">IFERROR(__xludf.DUMMYFUNCTION("""COMPUTED_VALUE"""),29177)</f>
        <v>29177</v>
      </c>
      <c r="AD302" s="1" t="str">
        <f ca="1">IFERROR(__xludf.DUMMYFUNCTION("""COMPUTED_VALUE"""),"MERE")</f>
        <v>MERE</v>
      </c>
      <c r="AE302" s="1" t="str">
        <f ca="1">IFERROR(__xludf.DUMMYFUNCTION("""COMPUTED_VALUE"""),"PERE")</f>
        <v>PERE</v>
      </c>
      <c r="AF302" s="1" t="str">
        <f ca="1">IFERROR(__xludf.DUMMYFUNCTION("""COMPUTED_VALUE"""),"SENEGAL")</f>
        <v>SENEGAL</v>
      </c>
      <c r="AG302" s="1" t="str">
        <f ca="1">IFERROR(__xludf.DUMMYFUNCTION("""COMPUTED_VALUE"""),"SENEGAL")</f>
        <v>SENEGAL</v>
      </c>
      <c r="AH302" s="1" t="str">
        <f ca="1">IFERROR(__xludf.DUMMYFUNCTION("""COMPUTED_VALUE"""),"LIBAN")</f>
        <v>LIBAN</v>
      </c>
      <c r="AI302" s="1" t="str">
        <f ca="1">IFERROR(__xludf.DUMMYFUNCTION("""COMPUTED_VALUE"""),"LIBAN")</f>
        <v>LIBAN</v>
      </c>
      <c r="AJ302" s="1" t="str">
        <f ca="1">IFERROR(__xludf.DUMMYFUNCTION("""COMPUTED_VALUE"""),"F1380")</f>
        <v>F1380</v>
      </c>
      <c r="AK302" s="1" t="str">
        <f ca="1">IFERROR(__xludf.DUMMYFUNCTION("""COMPUTED_VALUE"""),"Marié(e)")</f>
        <v>Marié(e)</v>
      </c>
      <c r="AL302" s="1" t="str">
        <f ca="1">IFERROR(__xludf.DUMMYFUNCTION("""COMPUTED_VALUE"""),"Marié(e)")</f>
        <v>Marié(e)</v>
      </c>
      <c r="AM302" s="1" t="str">
        <f ca="1">IFERROR(__xludf.DUMMYFUNCTION("""COMPUTED_VALUE"""),"F1380")</f>
        <v>F1380</v>
      </c>
    </row>
    <row r="303" spans="1:39" ht="13" x14ac:dyDescent="0.15">
      <c r="A303" s="1" t="str">
        <f ca="1">IFERROR(__xludf.DUMMYFUNCTION("""COMPUTED_VALUE"""),"JABER Hassan")</f>
        <v>JABER Hassan</v>
      </c>
      <c r="B303" s="1" t="str">
        <f ca="1">IFERROR(__xludf.DUMMYFUNCTION("""COMPUTED_VALUE"""),"JABER")</f>
        <v>JABER</v>
      </c>
      <c r="C303" s="1" t="str">
        <f ca="1">IFERROR(__xludf.DUMMYFUNCTION("""COMPUTED_VALUE"""),"Hassan")</f>
        <v>Hassan</v>
      </c>
      <c r="D303" s="1" t="str">
        <f ca="1">IFERROR(__xludf.DUMMYFUNCTION("""COMPUTED_VALUE"""),"1380E2")</f>
        <v>1380E2</v>
      </c>
      <c r="E303" s="2">
        <f ca="1">IFERROR(__xludf.DUMMYFUNCTION("""COMPUTED_VALUE"""),42384)</f>
        <v>42384</v>
      </c>
      <c r="F303" s="1" t="str">
        <f ca="1">IFERROR(__xludf.DUMMYFUNCTION("""COMPUTED_VALUE"""),"CM1A")</f>
        <v>CM1A</v>
      </c>
      <c r="G303" s="1" t="str">
        <f ca="1">IFERROR(__xludf.DUMMYFUNCTION("""COMPUTED_VALUE"""),"CM1")</f>
        <v>CM1</v>
      </c>
      <c r="H303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303" s="1"/>
      <c r="J303" s="1"/>
      <c r="K303" s="1"/>
      <c r="L303" s="1"/>
      <c r="M303" s="1"/>
      <c r="N303" s="1" t="str">
        <f ca="1">IFERROR(__xludf.DUMMYFUNCTION("""COMPUTED_VALUE"""),"Garçon")</f>
        <v>Garçon</v>
      </c>
      <c r="O303" s="1"/>
      <c r="P303" s="1" t="str">
        <f ca="1">IFERROR(__xludf.DUMMYFUNCTION("""COMPUTED_VALUE"""),"SENEGAL")</f>
        <v>SENEGAL</v>
      </c>
      <c r="Q303" s="1" t="str">
        <f ca="1">IFERROR(__xludf.DUMMYFUNCTION("""COMPUTED_VALUE"""),"LIBAN")</f>
        <v>LIBAN</v>
      </c>
      <c r="R303" s="1"/>
      <c r="S303" s="1"/>
      <c r="T303" s="1" t="str">
        <f ca="1">IFERROR(__xludf.DUMMYFUNCTION("""COMPUTED_VALUE"""),"JABER Samia")</f>
        <v>JABER Samia</v>
      </c>
      <c r="U303" s="1" t="str">
        <f ca="1">IFERROR(__xludf.DUMMYFUNCTION("""COMPUTED_VALUE"""),"JABER Habib")</f>
        <v>JABER Habib</v>
      </c>
      <c r="V303" s="1" t="str">
        <f ca="1">IFERROR(__xludf.DUMMYFUNCTION("""COMPUTED_VALUE"""),"samojaber40@gmail.com")</f>
        <v>samojaber40@gmail.com</v>
      </c>
      <c r="W303" s="1" t="str">
        <f ca="1">IFERROR(__xludf.DUMMYFUNCTION("""COMPUTED_VALUE"""),"habibjaber10@gmail.com")</f>
        <v>habibjaber10@gmail.com</v>
      </c>
      <c r="X303" s="1" t="str">
        <f ca="1">IFERROR(__xludf.DUMMYFUNCTION("""COMPUTED_VALUE"""),"+221 77 289 76 79")</f>
        <v>+221 77 289 76 79</v>
      </c>
      <c r="Y303" s="1" t="str">
        <f ca="1">IFERROR(__xludf.DUMMYFUNCTION("""COMPUTED_VALUE"""),"+221 77 332 90 66")</f>
        <v>+221 77 332 90 66</v>
      </c>
      <c r="Z303" s="1"/>
      <c r="AA303" s="1"/>
      <c r="AB303" s="2">
        <f ca="1">IFERROR(__xludf.DUMMYFUNCTION("""COMPUTED_VALUE"""),31886)</f>
        <v>31886</v>
      </c>
      <c r="AC303" s="2">
        <f ca="1">IFERROR(__xludf.DUMMYFUNCTION("""COMPUTED_VALUE"""),29177)</f>
        <v>29177</v>
      </c>
      <c r="AD303" s="1" t="str">
        <f ca="1">IFERROR(__xludf.DUMMYFUNCTION("""COMPUTED_VALUE"""),"MERE")</f>
        <v>MERE</v>
      </c>
      <c r="AE303" s="1" t="str">
        <f ca="1">IFERROR(__xludf.DUMMYFUNCTION("""COMPUTED_VALUE"""),"PERE")</f>
        <v>PERE</v>
      </c>
      <c r="AF303" s="1" t="str">
        <f ca="1">IFERROR(__xludf.DUMMYFUNCTION("""COMPUTED_VALUE"""),"SENEGAL")</f>
        <v>SENEGAL</v>
      </c>
      <c r="AG303" s="1" t="str">
        <f ca="1">IFERROR(__xludf.DUMMYFUNCTION("""COMPUTED_VALUE"""),"SENEGAL")</f>
        <v>SENEGAL</v>
      </c>
      <c r="AH303" s="1" t="str">
        <f ca="1">IFERROR(__xludf.DUMMYFUNCTION("""COMPUTED_VALUE"""),"LIBAN")</f>
        <v>LIBAN</v>
      </c>
      <c r="AI303" s="1" t="str">
        <f ca="1">IFERROR(__xludf.DUMMYFUNCTION("""COMPUTED_VALUE"""),"LIBAN")</f>
        <v>LIBAN</v>
      </c>
      <c r="AJ303" s="1" t="str">
        <f ca="1">IFERROR(__xludf.DUMMYFUNCTION("""COMPUTED_VALUE"""),"F1380")</f>
        <v>F1380</v>
      </c>
      <c r="AK303" s="1" t="str">
        <f ca="1">IFERROR(__xludf.DUMMYFUNCTION("""COMPUTED_VALUE"""),"Marié(e)")</f>
        <v>Marié(e)</v>
      </c>
      <c r="AL303" s="1" t="str">
        <f ca="1">IFERROR(__xludf.DUMMYFUNCTION("""COMPUTED_VALUE"""),"Marié(e)")</f>
        <v>Marié(e)</v>
      </c>
      <c r="AM303" s="1" t="str">
        <f ca="1">IFERROR(__xludf.DUMMYFUNCTION("""COMPUTED_VALUE"""),"F1380")</f>
        <v>F1380</v>
      </c>
    </row>
    <row r="304" spans="1:39" ht="13" x14ac:dyDescent="0.15">
      <c r="A304" s="1" t="str">
        <f ca="1">IFERROR(__xludf.DUMMYFUNCTION("""COMPUTED_VALUE"""),"JABER Hussein")</f>
        <v>JABER Hussein</v>
      </c>
      <c r="B304" s="1" t="str">
        <f ca="1">IFERROR(__xludf.DUMMYFUNCTION("""COMPUTED_VALUE"""),"JABER")</f>
        <v>JABER</v>
      </c>
      <c r="C304" s="1" t="str">
        <f ca="1">IFERROR(__xludf.DUMMYFUNCTION("""COMPUTED_VALUE"""),"Hussein")</f>
        <v>Hussein</v>
      </c>
      <c r="D304" s="1" t="str">
        <f ca="1">IFERROR(__xludf.DUMMYFUNCTION("""COMPUTED_VALUE"""),"1380E3")</f>
        <v>1380E3</v>
      </c>
      <c r="E304" s="2">
        <f ca="1">IFERROR(__xludf.DUMMYFUNCTION("""COMPUTED_VALUE"""),42384)</f>
        <v>42384</v>
      </c>
      <c r="F304" s="1" t="str">
        <f ca="1">IFERROR(__xludf.DUMMYFUNCTION("""COMPUTED_VALUE"""),"CM1B")</f>
        <v>CM1B</v>
      </c>
      <c r="G304" s="1" t="str">
        <f ca="1">IFERROR(__xludf.DUMMYFUNCTION("""COMPUTED_VALUE"""),"CM1")</f>
        <v>CM1</v>
      </c>
      <c r="H304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304" s="1"/>
      <c r="J304" s="1"/>
      <c r="K304" s="1"/>
      <c r="L304" s="1"/>
      <c r="M304" s="1"/>
      <c r="N304" s="1" t="str">
        <f ca="1">IFERROR(__xludf.DUMMYFUNCTION("""COMPUTED_VALUE"""),"Garçon")</f>
        <v>Garçon</v>
      </c>
      <c r="O304" s="1"/>
      <c r="P304" s="1" t="str">
        <f ca="1">IFERROR(__xludf.DUMMYFUNCTION("""COMPUTED_VALUE"""),"SENEGAL")</f>
        <v>SENEGAL</v>
      </c>
      <c r="Q304" s="1" t="str">
        <f ca="1">IFERROR(__xludf.DUMMYFUNCTION("""COMPUTED_VALUE"""),"LIBAN")</f>
        <v>LIBAN</v>
      </c>
      <c r="R304" s="1"/>
      <c r="S304" s="1"/>
      <c r="T304" s="1" t="str">
        <f ca="1">IFERROR(__xludf.DUMMYFUNCTION("""COMPUTED_VALUE"""),"JABER Samia")</f>
        <v>JABER Samia</v>
      </c>
      <c r="U304" s="1" t="str">
        <f ca="1">IFERROR(__xludf.DUMMYFUNCTION("""COMPUTED_VALUE"""),"JABER Habib")</f>
        <v>JABER Habib</v>
      </c>
      <c r="V304" s="1" t="str">
        <f ca="1">IFERROR(__xludf.DUMMYFUNCTION("""COMPUTED_VALUE"""),"samojaber40@gmail.com")</f>
        <v>samojaber40@gmail.com</v>
      </c>
      <c r="W304" s="1" t="str">
        <f ca="1">IFERROR(__xludf.DUMMYFUNCTION("""COMPUTED_VALUE"""),"habibjaber10@gmail.com")</f>
        <v>habibjaber10@gmail.com</v>
      </c>
      <c r="X304" s="1" t="str">
        <f ca="1">IFERROR(__xludf.DUMMYFUNCTION("""COMPUTED_VALUE"""),"+221 77 289 76 79")</f>
        <v>+221 77 289 76 79</v>
      </c>
      <c r="Y304" s="1" t="str">
        <f ca="1">IFERROR(__xludf.DUMMYFUNCTION("""COMPUTED_VALUE"""),"+221 77 332 90 66")</f>
        <v>+221 77 332 90 66</v>
      </c>
      <c r="Z304" s="1"/>
      <c r="AA304" s="1"/>
      <c r="AB304" s="2">
        <f ca="1">IFERROR(__xludf.DUMMYFUNCTION("""COMPUTED_VALUE"""),31886)</f>
        <v>31886</v>
      </c>
      <c r="AC304" s="2">
        <f ca="1">IFERROR(__xludf.DUMMYFUNCTION("""COMPUTED_VALUE"""),29177)</f>
        <v>29177</v>
      </c>
      <c r="AD304" s="1" t="str">
        <f ca="1">IFERROR(__xludf.DUMMYFUNCTION("""COMPUTED_VALUE"""),"MERE")</f>
        <v>MERE</v>
      </c>
      <c r="AE304" s="1" t="str">
        <f ca="1">IFERROR(__xludf.DUMMYFUNCTION("""COMPUTED_VALUE"""),"PERE")</f>
        <v>PERE</v>
      </c>
      <c r="AF304" s="1" t="str">
        <f ca="1">IFERROR(__xludf.DUMMYFUNCTION("""COMPUTED_VALUE"""),"SENEGAL")</f>
        <v>SENEGAL</v>
      </c>
      <c r="AG304" s="1" t="str">
        <f ca="1">IFERROR(__xludf.DUMMYFUNCTION("""COMPUTED_VALUE"""),"SENEGAL")</f>
        <v>SENEGAL</v>
      </c>
      <c r="AH304" s="1" t="str">
        <f ca="1">IFERROR(__xludf.DUMMYFUNCTION("""COMPUTED_VALUE"""),"LIBAN")</f>
        <v>LIBAN</v>
      </c>
      <c r="AI304" s="1" t="str">
        <f ca="1">IFERROR(__xludf.DUMMYFUNCTION("""COMPUTED_VALUE"""),"LIBAN")</f>
        <v>LIBAN</v>
      </c>
      <c r="AJ304" s="1" t="str">
        <f ca="1">IFERROR(__xludf.DUMMYFUNCTION("""COMPUTED_VALUE"""),"F1380")</f>
        <v>F1380</v>
      </c>
      <c r="AK304" s="1" t="str">
        <f ca="1">IFERROR(__xludf.DUMMYFUNCTION("""COMPUTED_VALUE"""),"Marié(e)")</f>
        <v>Marié(e)</v>
      </c>
      <c r="AL304" s="1" t="str">
        <f ca="1">IFERROR(__xludf.DUMMYFUNCTION("""COMPUTED_VALUE"""),"Marié(e)")</f>
        <v>Marié(e)</v>
      </c>
      <c r="AM304" s="1" t="str">
        <f ca="1">IFERROR(__xludf.DUMMYFUNCTION("""COMPUTED_VALUE"""),"F1380")</f>
        <v>F1380</v>
      </c>
    </row>
    <row r="305" spans="1:39" ht="13" x14ac:dyDescent="0.15">
      <c r="A305" s="1" t="str">
        <f ca="1">IFERROR(__xludf.DUMMYFUNCTION("""COMPUTED_VALUE"""),"JACOBE Lou")</f>
        <v>JACOBE Lou</v>
      </c>
      <c r="B305" s="1" t="str">
        <f ca="1">IFERROR(__xludf.DUMMYFUNCTION("""COMPUTED_VALUE"""),"JACOBE")</f>
        <v>JACOBE</v>
      </c>
      <c r="C305" s="1" t="str">
        <f ca="1">IFERROR(__xludf.DUMMYFUNCTION("""COMPUTED_VALUE"""),"Lou")</f>
        <v>Lou</v>
      </c>
      <c r="D305" s="1" t="str">
        <f ca="1">IFERROR(__xludf.DUMMYFUNCTION("""COMPUTED_VALUE"""),"1381E1")</f>
        <v>1381E1</v>
      </c>
      <c r="E305" s="2">
        <f ca="1">IFERROR(__xludf.DUMMYFUNCTION("""COMPUTED_VALUE"""),39600)</f>
        <v>39600</v>
      </c>
      <c r="F305" s="1" t="str">
        <f ca="1">IFERROR(__xludf.DUMMYFUNCTION("""COMPUTED_VALUE"""),"TERMINALE2")</f>
        <v>TERMINALE2</v>
      </c>
      <c r="G305" s="1" t="str">
        <f ca="1">IFERROR(__xludf.DUMMYFUNCTION("""COMPUTED_VALUE"""),"Terminale")</f>
        <v>Terminale</v>
      </c>
      <c r="H305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305" s="1" t="str">
        <f ca="1">IFERROR(__xludf.DUMMYFUNCTION("""COMPUTED_VALUE"""),"LVA Anglais")</f>
        <v>LVA Anglais</v>
      </c>
      <c r="J305" s="1" t="str">
        <f ca="1">IFERROR(__xludf.DUMMYFUNCTION("""COMPUTED_VALUE"""),"LVB Espagnol")</f>
        <v>LVB Espagnol</v>
      </c>
      <c r="K305" s="1"/>
      <c r="L305" s="1"/>
      <c r="M305" s="1" t="str">
        <f ca="1">IFERROR(__xludf.DUMMYFUNCTION("""COMPUTED_VALUE"""),"SPE LLCE AMC, SPE SVT")</f>
        <v>SPE LLCE AMC, SPE SVT</v>
      </c>
      <c r="N305" s="1" t="str">
        <f ca="1">IFERROR(__xludf.DUMMYFUNCTION("""COMPUTED_VALUE"""),"Fille")</f>
        <v>Fille</v>
      </c>
      <c r="O305" s="1"/>
      <c r="P305" s="1" t="str">
        <f ca="1">IFERROR(__xludf.DUMMYFUNCTION("""COMPUTED_VALUE"""),"FRANCE")</f>
        <v>FRANCE</v>
      </c>
      <c r="Q305" s="1"/>
      <c r="R305" s="1" t="str">
        <f ca="1">IFERROR(__xludf.DUMMYFUNCTION("""COMPUTED_VALUE"""),"lou.jacobe@lfjpsaly.org")</f>
        <v>lou.jacobe@lfjpsaly.org</v>
      </c>
      <c r="S305" s="1"/>
      <c r="T305" s="1" t="str">
        <f ca="1">IFERROR(__xludf.DUMMYFUNCTION("""COMPUTED_VALUE"""),"JACOBE Angélique")</f>
        <v>JACOBE Angélique</v>
      </c>
      <c r="U305" s="1" t="str">
        <f ca="1">IFERROR(__xludf.DUMMYFUNCTION("""COMPUTED_VALUE"""),"JACOBE David")</f>
        <v>JACOBE David</v>
      </c>
      <c r="V305" s="1" t="str">
        <f ca="1">IFERROR(__xludf.DUMMYFUNCTION("""COMPUTED_VALUE"""),"angeljacobe@gmail.com")</f>
        <v>angeljacobe@gmail.com</v>
      </c>
      <c r="W305" s="1" t="str">
        <f ca="1">IFERROR(__xludf.DUMMYFUNCTION("""COMPUTED_VALUE"""),"david.quad.sn@gmail.com")</f>
        <v>david.quad.sn@gmail.com</v>
      </c>
      <c r="X305" s="1" t="str">
        <f ca="1">IFERROR(__xludf.DUMMYFUNCTION("""COMPUTED_VALUE"""),"+221 78 520 05 06")</f>
        <v>+221 78 520 05 06</v>
      </c>
      <c r="Y305" s="1" t="str">
        <f ca="1">IFERROR(__xludf.DUMMYFUNCTION("""COMPUTED_VALUE"""),"+221 77 309 08 00")</f>
        <v>+221 77 309 08 00</v>
      </c>
      <c r="Z305" s="1"/>
      <c r="AA305" s="1"/>
      <c r="AB305" s="2">
        <f ca="1">IFERROR(__xludf.DUMMYFUNCTION("""COMPUTED_VALUE"""),25487)</f>
        <v>25487</v>
      </c>
      <c r="AC305" s="2">
        <f ca="1">IFERROR(__xludf.DUMMYFUNCTION("""COMPUTED_VALUE"""),25802)</f>
        <v>25802</v>
      </c>
      <c r="AD305" s="1" t="str">
        <f ca="1">IFERROR(__xludf.DUMMYFUNCTION("""COMPUTED_VALUE"""),"MERE")</f>
        <v>MERE</v>
      </c>
      <c r="AE305" s="1" t="str">
        <f ca="1">IFERROR(__xludf.DUMMYFUNCTION("""COMPUTED_VALUE"""),"PERE")</f>
        <v>PERE</v>
      </c>
      <c r="AF305" s="1" t="str">
        <f ca="1">IFERROR(__xludf.DUMMYFUNCTION("""COMPUTED_VALUE"""),"FRANCE")</f>
        <v>FRANCE</v>
      </c>
      <c r="AG305" s="1" t="str">
        <f ca="1">IFERROR(__xludf.DUMMYFUNCTION("""COMPUTED_VALUE"""),"FRANCE")</f>
        <v>FRANCE</v>
      </c>
      <c r="AH305" s="1"/>
      <c r="AI305" s="1"/>
      <c r="AJ305" s="1" t="str">
        <f ca="1">IFERROR(__xludf.DUMMYFUNCTION("""COMPUTED_VALUE"""),"F1381")</f>
        <v>F1381</v>
      </c>
      <c r="AK305" s="1" t="str">
        <f ca="1">IFERROR(__xludf.DUMMYFUNCTION("""COMPUTED_VALUE"""),"Marié(e)")</f>
        <v>Marié(e)</v>
      </c>
      <c r="AL305" s="1" t="str">
        <f ca="1">IFERROR(__xludf.DUMMYFUNCTION("""COMPUTED_VALUE"""),"Marié(e)")</f>
        <v>Marié(e)</v>
      </c>
      <c r="AM305" s="1" t="str">
        <f ca="1">IFERROR(__xludf.DUMMYFUNCTION("""COMPUTED_VALUE"""),"F1381")</f>
        <v>F1381</v>
      </c>
    </row>
    <row r="306" spans="1:39" ht="13" x14ac:dyDescent="0.15">
      <c r="A306" s="1" t="str">
        <f ca="1">IFERROR(__xludf.DUMMYFUNCTION("""COMPUTED_VALUE"""),"JENOUDET Thiméo  Owen  Thibault")</f>
        <v>JENOUDET Thiméo  Owen  Thibault</v>
      </c>
      <c r="B306" s="1" t="str">
        <f ca="1">IFERROR(__xludf.DUMMYFUNCTION("""COMPUTED_VALUE"""),"JENOUDET")</f>
        <v>JENOUDET</v>
      </c>
      <c r="C306" s="1" t="str">
        <f ca="1">IFERROR(__xludf.DUMMYFUNCTION("""COMPUTED_VALUE"""),"Thiméo  Owen  Thibault")</f>
        <v>Thiméo  Owen  Thibault</v>
      </c>
      <c r="D306" s="1" t="str">
        <f ca="1">IFERROR(__xludf.DUMMYFUNCTION("""COMPUTED_VALUE"""),"1383E1")</f>
        <v>1383E1</v>
      </c>
      <c r="E306" s="2">
        <f ca="1">IFERROR(__xludf.DUMMYFUNCTION("""COMPUTED_VALUE"""),40019)</f>
        <v>40019</v>
      </c>
      <c r="F306" s="1" t="str">
        <f ca="1">IFERROR(__xludf.DUMMYFUNCTION("""COMPUTED_VALUE"""),"1ERE1")</f>
        <v>1ERE1</v>
      </c>
      <c r="G306" s="1" t="str">
        <f ca="1">IFERROR(__xludf.DUMMYFUNCTION("""COMPUTED_VALUE"""),"1ère")</f>
        <v>1ère</v>
      </c>
      <c r="H306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306" s="1" t="str">
        <f ca="1">IFERROR(__xludf.DUMMYFUNCTION("""COMPUTED_VALUE"""),"LVA Anglais")</f>
        <v>LVA Anglais</v>
      </c>
      <c r="J306" s="1" t="str">
        <f ca="1">IFERROR(__xludf.DUMMYFUNCTION("""COMPUTED_VALUE"""),"LVB Espagnol")</f>
        <v>LVB Espagnol</v>
      </c>
      <c r="K306" s="1"/>
      <c r="L306" s="1"/>
      <c r="M306" s="1" t="str">
        <f ca="1">IFERROR(__xludf.DUMMYFUNCTION("""COMPUTED_VALUE"""),"SPE HGGSP, SPE LLCE AMC, SPE SES")</f>
        <v>SPE HGGSP, SPE LLCE AMC, SPE SES</v>
      </c>
      <c r="N306" s="1" t="str">
        <f ca="1">IFERROR(__xludf.DUMMYFUNCTION("""COMPUTED_VALUE"""),"Garçon")</f>
        <v>Garçon</v>
      </c>
      <c r="O306" s="1"/>
      <c r="P306" s="1" t="str">
        <f ca="1">IFERROR(__xludf.DUMMYFUNCTION("""COMPUTED_VALUE"""),"FRANCE")</f>
        <v>FRANCE</v>
      </c>
      <c r="Q306" s="1"/>
      <c r="R306" s="1" t="str">
        <f ca="1">IFERROR(__xludf.DUMMYFUNCTION("""COMPUTED_VALUE"""),"thimeo.jenoudet@lfjpsaly.org")</f>
        <v>thimeo.jenoudet@lfjpsaly.org</v>
      </c>
      <c r="S306" s="1" t="str">
        <f ca="1">IFERROR(__xludf.DUMMYFUNCTION("""COMPUTED_VALUE"""),"+221 77 469 86 19")</f>
        <v>+221 77 469 86 19</v>
      </c>
      <c r="T306" s="1" t="str">
        <f ca="1">IFERROR(__xludf.DUMMYFUNCTION("""COMPUTED_VALUE"""),"JENOUDET Loïc")</f>
        <v>JENOUDET Loïc</v>
      </c>
      <c r="U306" s="1" t="str">
        <f ca="1">IFERROR(__xludf.DUMMYFUNCTION("""COMPUTED_VALUE"""),"JENOUDET Sandra")</f>
        <v>JENOUDET Sandra</v>
      </c>
      <c r="V306" s="1" t="str">
        <f ca="1">IFERROR(__xludf.DUMMYFUNCTION("""COMPUTED_VALUE"""),"loic.jenoudet@gmail.com")</f>
        <v>loic.jenoudet@gmail.com</v>
      </c>
      <c r="W306" s="1" t="str">
        <f ca="1">IFERROR(__xludf.DUMMYFUNCTION("""COMPUTED_VALUE"""),"sandrajenoudet@gmail.com")</f>
        <v>sandrajenoudet@gmail.com</v>
      </c>
      <c r="X306" s="1" t="str">
        <f ca="1">IFERROR(__xludf.DUMMYFUNCTION("""COMPUTED_VALUE"""),"+221 78 791 72 76")</f>
        <v>+221 78 791 72 76</v>
      </c>
      <c r="Y306" s="1" t="str">
        <f ca="1">IFERROR(__xludf.DUMMYFUNCTION("""COMPUTED_VALUE"""),"+221 77 469 86 19")</f>
        <v>+221 77 469 86 19</v>
      </c>
      <c r="Z306" s="1"/>
      <c r="AA306" s="1"/>
      <c r="AB306" s="2">
        <f ca="1">IFERROR(__xludf.DUMMYFUNCTION("""COMPUTED_VALUE"""),28806)</f>
        <v>28806</v>
      </c>
      <c r="AC306" s="2">
        <f ca="1">IFERROR(__xludf.DUMMYFUNCTION("""COMPUTED_VALUE"""),27148)</f>
        <v>27148</v>
      </c>
      <c r="AD306" s="1" t="str">
        <f ca="1">IFERROR(__xludf.DUMMYFUNCTION("""COMPUTED_VALUE"""),"PERE")</f>
        <v>PERE</v>
      </c>
      <c r="AE306" s="1" t="str">
        <f ca="1">IFERROR(__xludf.DUMMYFUNCTION("""COMPUTED_VALUE"""),"MERE")</f>
        <v>MERE</v>
      </c>
      <c r="AF306" s="1" t="str">
        <f ca="1">IFERROR(__xludf.DUMMYFUNCTION("""COMPUTED_VALUE"""),"FRANCE")</f>
        <v>FRANCE</v>
      </c>
      <c r="AG306" s="1" t="str">
        <f ca="1">IFERROR(__xludf.DUMMYFUNCTION("""COMPUTED_VALUE"""),"FRANCE")</f>
        <v>FRANCE</v>
      </c>
      <c r="AH306" s="1"/>
      <c r="AI306" s="1"/>
      <c r="AJ306" s="1" t="str">
        <f ca="1">IFERROR(__xludf.DUMMYFUNCTION("""COMPUTED_VALUE"""),"F1383")</f>
        <v>F1383</v>
      </c>
      <c r="AK306" s="1" t="str">
        <f ca="1">IFERROR(__xludf.DUMMYFUNCTION("""COMPUTED_VALUE"""),"Marié(e)")</f>
        <v>Marié(e)</v>
      </c>
      <c r="AL306" s="1" t="str">
        <f ca="1">IFERROR(__xludf.DUMMYFUNCTION("""COMPUTED_VALUE"""),"Marié(e)")</f>
        <v>Marié(e)</v>
      </c>
      <c r="AM306" s="1" t="str">
        <f ca="1">IFERROR(__xludf.DUMMYFUNCTION("""COMPUTED_VALUE"""),"F1383")</f>
        <v>F1383</v>
      </c>
    </row>
    <row r="307" spans="1:39" ht="13" x14ac:dyDescent="0.15">
      <c r="A307" s="1" t="str">
        <f ca="1">IFERROR(__xludf.DUMMYFUNCTION("""COMPUTED_VALUE"""),"KA Ali-Mate Kaîs")</f>
        <v>KA Ali-Mate Kaîs</v>
      </c>
      <c r="B307" s="1" t="str">
        <f ca="1">IFERROR(__xludf.DUMMYFUNCTION("""COMPUTED_VALUE"""),"KA")</f>
        <v>KA</v>
      </c>
      <c r="C307" s="1" t="str">
        <f ca="1">IFERROR(__xludf.DUMMYFUNCTION("""COMPUTED_VALUE"""),"Ali-Mate Kaîs")</f>
        <v>Ali-Mate Kaîs</v>
      </c>
      <c r="D307" s="1" t="str">
        <f ca="1">IFERROR(__xludf.DUMMYFUNCTION("""COMPUTED_VALUE"""),"11669S2259")</f>
        <v>11669S2259</v>
      </c>
      <c r="E307" s="2">
        <f ca="1">IFERROR(__xludf.DUMMYFUNCTION("""COMPUTED_VALUE"""),44719)</f>
        <v>44719</v>
      </c>
      <c r="F307" s="1" t="str">
        <f ca="1">IFERROR(__xludf.DUMMYFUNCTION("""COMPUTED_VALUE"""),"Mat 1")</f>
        <v>Mat 1</v>
      </c>
      <c r="G307" s="1" t="str">
        <f ca="1">IFERROR(__xludf.DUMMYFUNCTION("""COMPUTED_VALUE"""),"PS")</f>
        <v>PS</v>
      </c>
      <c r="H307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307" s="1"/>
      <c r="J307" s="1"/>
      <c r="K307" s="1"/>
      <c r="L307" s="1"/>
      <c r="M307" s="1"/>
      <c r="N307" s="1" t="str">
        <f ca="1">IFERROR(__xludf.DUMMYFUNCTION("""COMPUTED_VALUE"""),"Garçon")</f>
        <v>Garçon</v>
      </c>
      <c r="O307" s="1"/>
      <c r="P307" s="1" t="str">
        <f ca="1">IFERROR(__xludf.DUMMYFUNCTION("""COMPUTED_VALUE"""),"FRANCE")</f>
        <v>FRANCE</v>
      </c>
      <c r="Q307" s="1"/>
      <c r="R307" s="1"/>
      <c r="S307" s="1"/>
      <c r="T307" s="1" t="str">
        <f ca="1">IFERROR(__xludf.DUMMYFUNCTION("""COMPUTED_VALUE"""),"KA Ahmedou El Becaye")</f>
        <v>KA Ahmedou El Becaye</v>
      </c>
      <c r="U307" s="1"/>
      <c r="V307" s="1" t="str">
        <f ca="1">IFERROR(__xludf.DUMMYFUNCTION("""COMPUTED_VALUE"""),"elbecaye.ka@gmail.com")</f>
        <v>elbecaye.ka@gmail.com</v>
      </c>
      <c r="W307" s="1"/>
      <c r="X307" s="1" t="str">
        <f ca="1">IFERROR(__xludf.DUMMYFUNCTION("""COMPUTED_VALUE"""),"+33 7 67 56 07 94")</f>
        <v>+33 7 67 56 07 94</v>
      </c>
      <c r="Y307" s="1"/>
      <c r="Z307" s="1" t="str">
        <f ca="1">IFERROR(__xludf.DUMMYFUNCTION("""COMPUTED_VALUE"""),"+221 78 703 78 00")</f>
        <v>+221 78 703 78 00</v>
      </c>
      <c r="AA307" s="1"/>
      <c r="AB307" s="2">
        <f ca="1">IFERROR(__xludf.DUMMYFUNCTION("""COMPUTED_VALUE"""),34651)</f>
        <v>34651</v>
      </c>
      <c r="AC307" s="1"/>
      <c r="AD307" s="1" t="str">
        <f ca="1">IFERROR(__xludf.DUMMYFUNCTION("""COMPUTED_VALUE"""),"PERE")</f>
        <v>PERE</v>
      </c>
      <c r="AE307" s="1"/>
      <c r="AF307" s="1" t="str">
        <f ca="1">IFERROR(__xludf.DUMMYFUNCTION("""COMPUTED_VALUE"""),"SENEGAL")</f>
        <v>SENEGAL</v>
      </c>
      <c r="AG307" s="1"/>
      <c r="AH307" s="1"/>
      <c r="AI307" s="1"/>
      <c r="AJ307" s="1" t="str">
        <f ca="1">IFERROR(__xludf.DUMMYFUNCTION("""COMPUTED_VALUE"""),"U11669")</f>
        <v>U11669</v>
      </c>
      <c r="AK307" s="1" t="str">
        <f ca="1">IFERROR(__xludf.DUMMYFUNCTION("""COMPUTED_VALUE"""),"Célibataire")</f>
        <v>Célibataire</v>
      </c>
      <c r="AL307" s="1"/>
      <c r="AM307" s="1" t="str">
        <f ca="1">IFERROR(__xludf.DUMMYFUNCTION("""COMPUTED_VALUE"""),"U11669")</f>
        <v>U11669</v>
      </c>
    </row>
    <row r="308" spans="1:39" ht="13" x14ac:dyDescent="0.15">
      <c r="A308" s="1" t="str">
        <f ca="1">IFERROR(__xludf.DUMMYFUNCTION("""COMPUTED_VALUE"""),"KABA Dallo")</f>
        <v>KABA Dallo</v>
      </c>
      <c r="B308" s="1" t="str">
        <f ca="1">IFERROR(__xludf.DUMMYFUNCTION("""COMPUTED_VALUE"""),"KABA")</f>
        <v>KABA</v>
      </c>
      <c r="C308" s="1" t="str">
        <f ca="1">IFERROR(__xludf.DUMMYFUNCTION("""COMPUTED_VALUE"""),"Dallo")</f>
        <v>Dallo</v>
      </c>
      <c r="D308" s="1" t="str">
        <f ca="1">IFERROR(__xludf.DUMMYFUNCTION("""COMPUTED_VALUE"""),"1664E1")</f>
        <v>1664E1</v>
      </c>
      <c r="E308" s="2">
        <f ca="1">IFERROR(__xludf.DUMMYFUNCTION("""COMPUTED_VALUE"""),41362)</f>
        <v>41362</v>
      </c>
      <c r="F308" s="1" t="str">
        <f ca="1">IFERROR(__xludf.DUMMYFUNCTION("""COMPUTED_VALUE"""),"5EME2")</f>
        <v>5EME2</v>
      </c>
      <c r="G308" s="1" t="str">
        <f ca="1">IFERROR(__xludf.DUMMYFUNCTION("""COMPUTED_VALUE"""),"5ème")</f>
        <v>5ème</v>
      </c>
      <c r="H308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308" s="1" t="str">
        <f ca="1">IFERROR(__xludf.DUMMYFUNCTION("""COMPUTED_VALUE"""),"LVA Anglais")</f>
        <v>LVA Anglais</v>
      </c>
      <c r="J308" s="1" t="str">
        <f ca="1">IFERROR(__xludf.DUMMYFUNCTION("""COMPUTED_VALUE"""),"LVB Espagnol")</f>
        <v>LVB Espagnol</v>
      </c>
      <c r="K308" s="1"/>
      <c r="L308" s="1"/>
      <c r="M308" s="1"/>
      <c r="N308" s="1" t="str">
        <f ca="1">IFERROR(__xludf.DUMMYFUNCTION("""COMPUTED_VALUE"""),"Fille")</f>
        <v>Fille</v>
      </c>
      <c r="O308" s="1"/>
      <c r="P308" s="1" t="str">
        <f ca="1">IFERROR(__xludf.DUMMYFUNCTION("""COMPUTED_VALUE"""),"GUINEE")</f>
        <v>GUINEE</v>
      </c>
      <c r="Q308" s="1"/>
      <c r="R308" s="1" t="str">
        <f ca="1">IFERROR(__xludf.DUMMYFUNCTION("""COMPUTED_VALUE"""),"dallo.kaba@lfjpsaly.org")</f>
        <v>dallo.kaba@lfjpsaly.org</v>
      </c>
      <c r="S308" s="1"/>
      <c r="T308" s="1" t="str">
        <f ca="1">IFERROR(__xludf.DUMMYFUNCTION("""COMPUTED_VALUE"""),"KABA Abdoulaye")</f>
        <v>KABA Abdoulaye</v>
      </c>
      <c r="U308" s="1" t="str">
        <f ca="1">IFERROR(__xludf.DUMMYFUNCTION("""COMPUTED_VALUE"""),"BANGOURA Aissata")</f>
        <v>BANGOURA Aissata</v>
      </c>
      <c r="V308" s="1" t="str">
        <f ca="1">IFERROR(__xludf.DUMMYFUNCTION("""COMPUTED_VALUE"""),"honomoublaise2016@gmail.com")</f>
        <v>honomoublaise2016@gmail.com</v>
      </c>
      <c r="W308" s="1" t="str">
        <f ca="1">IFERROR(__xludf.DUMMYFUNCTION("""COMPUTED_VALUE"""),"aissatabangoura0683@gmail.com")</f>
        <v>aissatabangoura0683@gmail.com</v>
      </c>
      <c r="X308" s="1" t="str">
        <f ca="1">IFERROR(__xludf.DUMMYFUNCTION("""COMPUTED_VALUE"""),"+224 628 28 18 59")</f>
        <v>+224 628 28 18 59</v>
      </c>
      <c r="Y308" s="1" t="str">
        <f ca="1">IFERROR(__xludf.DUMMYFUNCTION("""COMPUTED_VALUE"""),"+224 628 61 65 60")</f>
        <v>+224 628 61 65 60</v>
      </c>
      <c r="Z308" s="1" t="str">
        <f ca="1">IFERROR(__xludf.DUMMYFUNCTION("""COMPUTED_VALUE"""),"+221")</f>
        <v>+221</v>
      </c>
      <c r="AA308" s="1" t="str">
        <f ca="1">IFERROR(__xludf.DUMMYFUNCTION("""COMPUTED_VALUE"""),"+221 78 870 71 40")</f>
        <v>+221 78 870 71 40</v>
      </c>
      <c r="AB308" s="2">
        <f ca="1">IFERROR(__xludf.DUMMYFUNCTION("""COMPUTED_VALUE"""),30049)</f>
        <v>30049</v>
      </c>
      <c r="AC308" s="2">
        <f ca="1">IFERROR(__xludf.DUMMYFUNCTION("""COMPUTED_VALUE"""),30778)</f>
        <v>30778</v>
      </c>
      <c r="AD308" s="1" t="str">
        <f ca="1">IFERROR(__xludf.DUMMYFUNCTION("""COMPUTED_VALUE"""),"PERE")</f>
        <v>PERE</v>
      </c>
      <c r="AE308" s="1" t="str">
        <f ca="1">IFERROR(__xludf.DUMMYFUNCTION("""COMPUTED_VALUE"""),"MERE")</f>
        <v>MERE</v>
      </c>
      <c r="AF308" s="1" t="str">
        <f ca="1">IFERROR(__xludf.DUMMYFUNCTION("""COMPUTED_VALUE"""),"GUINEE")</f>
        <v>GUINEE</v>
      </c>
      <c r="AG308" s="1" t="str">
        <f ca="1">IFERROR(__xludf.DUMMYFUNCTION("""COMPUTED_VALUE"""),"GUINEE")</f>
        <v>GUINEE</v>
      </c>
      <c r="AH308" s="1"/>
      <c r="AI308" s="1"/>
      <c r="AJ308" s="1" t="str">
        <f ca="1">IFERROR(__xludf.DUMMYFUNCTION("""COMPUTED_VALUE"""),"F1664")</f>
        <v>F1664</v>
      </c>
      <c r="AK308" s="1" t="str">
        <f ca="1">IFERROR(__xludf.DUMMYFUNCTION("""COMPUTED_VALUE"""),"Marié(e)")</f>
        <v>Marié(e)</v>
      </c>
      <c r="AL308" s="1" t="str">
        <f ca="1">IFERROR(__xludf.DUMMYFUNCTION("""COMPUTED_VALUE"""),"Marié(e)")</f>
        <v>Marié(e)</v>
      </c>
      <c r="AM308" s="1" t="str">
        <f ca="1">IFERROR(__xludf.DUMMYFUNCTION("""COMPUTED_VALUE"""),"F1664")</f>
        <v>F1664</v>
      </c>
    </row>
    <row r="309" spans="1:39" ht="13" x14ac:dyDescent="0.15">
      <c r="A309" s="1" t="str">
        <f ca="1">IFERROR(__xludf.DUMMYFUNCTION("""COMPUTED_VALUE"""),"KABA Djènè")</f>
        <v>KABA Djènè</v>
      </c>
      <c r="B309" s="1" t="str">
        <f ca="1">IFERROR(__xludf.DUMMYFUNCTION("""COMPUTED_VALUE"""),"KABA")</f>
        <v>KABA</v>
      </c>
      <c r="C309" s="1" t="str">
        <f ca="1">IFERROR(__xludf.DUMMYFUNCTION("""COMPUTED_VALUE"""),"Djènè")</f>
        <v>Djènè</v>
      </c>
      <c r="D309" s="1" t="str">
        <f ca="1">IFERROR(__xludf.DUMMYFUNCTION("""COMPUTED_VALUE"""),"1664E2")</f>
        <v>1664E2</v>
      </c>
      <c r="E309" s="2">
        <f ca="1">IFERROR(__xludf.DUMMYFUNCTION("""COMPUTED_VALUE"""),41984)</f>
        <v>41984</v>
      </c>
      <c r="F309" s="1" t="str">
        <f ca="1">IFERROR(__xludf.DUMMYFUNCTION("""COMPUTED_VALUE"""),"6EME2")</f>
        <v>6EME2</v>
      </c>
      <c r="G309" s="1" t="str">
        <f ca="1">IFERROR(__xludf.DUMMYFUNCTION("""COMPUTED_VALUE"""),"6ème")</f>
        <v>6ème</v>
      </c>
      <c r="H309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309" s="1" t="str">
        <f ca="1">IFERROR(__xludf.DUMMYFUNCTION("""COMPUTED_VALUE"""),"LVA Anglais")</f>
        <v>LVA Anglais</v>
      </c>
      <c r="J309" s="1" t="str">
        <f ca="1">IFERROR(__xludf.DUMMYFUNCTION("""COMPUTED_VALUE"""),"LVB Espagnol")</f>
        <v>LVB Espagnol</v>
      </c>
      <c r="K309" s="1"/>
      <c r="L309" s="1"/>
      <c r="M309" s="1"/>
      <c r="N309" s="1" t="str">
        <f ca="1">IFERROR(__xludf.DUMMYFUNCTION("""COMPUTED_VALUE"""),"Fille")</f>
        <v>Fille</v>
      </c>
      <c r="O309" s="1"/>
      <c r="P309" s="1" t="str">
        <f ca="1">IFERROR(__xludf.DUMMYFUNCTION("""COMPUTED_VALUE"""),"GUINEE")</f>
        <v>GUINEE</v>
      </c>
      <c r="Q309" s="1"/>
      <c r="R309" s="1" t="str">
        <f ca="1">IFERROR(__xludf.DUMMYFUNCTION("""COMPUTED_VALUE"""),"djene.kaba@lfjpsaly.org")</f>
        <v>djene.kaba@lfjpsaly.org</v>
      </c>
      <c r="S309" s="1"/>
      <c r="T309" s="1" t="str">
        <f ca="1">IFERROR(__xludf.DUMMYFUNCTION("""COMPUTED_VALUE"""),"KABA Abdoulaye")</f>
        <v>KABA Abdoulaye</v>
      </c>
      <c r="U309" s="1" t="str">
        <f ca="1">IFERROR(__xludf.DUMMYFUNCTION("""COMPUTED_VALUE"""),"BANGOURA Aissata")</f>
        <v>BANGOURA Aissata</v>
      </c>
      <c r="V309" s="1" t="str">
        <f ca="1">IFERROR(__xludf.DUMMYFUNCTION("""COMPUTED_VALUE"""),"honomoublaise2016@gmail.com")</f>
        <v>honomoublaise2016@gmail.com</v>
      </c>
      <c r="W309" s="1" t="str">
        <f ca="1">IFERROR(__xludf.DUMMYFUNCTION("""COMPUTED_VALUE"""),"aissatabangoura0683@gmail.com")</f>
        <v>aissatabangoura0683@gmail.com</v>
      </c>
      <c r="X309" s="1" t="str">
        <f ca="1">IFERROR(__xludf.DUMMYFUNCTION("""COMPUTED_VALUE"""),"+224 628 28 18 59")</f>
        <v>+224 628 28 18 59</v>
      </c>
      <c r="Y309" s="1" t="str">
        <f ca="1">IFERROR(__xludf.DUMMYFUNCTION("""COMPUTED_VALUE"""),"+224 628 61 65 60")</f>
        <v>+224 628 61 65 60</v>
      </c>
      <c r="Z309" s="1" t="str">
        <f ca="1">IFERROR(__xludf.DUMMYFUNCTION("""COMPUTED_VALUE"""),"+221")</f>
        <v>+221</v>
      </c>
      <c r="AA309" s="1" t="str">
        <f ca="1">IFERROR(__xludf.DUMMYFUNCTION("""COMPUTED_VALUE"""),"+221 78 870 71 40")</f>
        <v>+221 78 870 71 40</v>
      </c>
      <c r="AB309" s="2">
        <f ca="1">IFERROR(__xludf.DUMMYFUNCTION("""COMPUTED_VALUE"""),30049)</f>
        <v>30049</v>
      </c>
      <c r="AC309" s="2">
        <f ca="1">IFERROR(__xludf.DUMMYFUNCTION("""COMPUTED_VALUE"""),30778)</f>
        <v>30778</v>
      </c>
      <c r="AD309" s="1" t="str">
        <f ca="1">IFERROR(__xludf.DUMMYFUNCTION("""COMPUTED_VALUE"""),"PERE")</f>
        <v>PERE</v>
      </c>
      <c r="AE309" s="1" t="str">
        <f ca="1">IFERROR(__xludf.DUMMYFUNCTION("""COMPUTED_VALUE"""),"MERE")</f>
        <v>MERE</v>
      </c>
      <c r="AF309" s="1" t="str">
        <f ca="1">IFERROR(__xludf.DUMMYFUNCTION("""COMPUTED_VALUE"""),"GUINEE")</f>
        <v>GUINEE</v>
      </c>
      <c r="AG309" s="1" t="str">
        <f ca="1">IFERROR(__xludf.DUMMYFUNCTION("""COMPUTED_VALUE"""),"GUINEE")</f>
        <v>GUINEE</v>
      </c>
      <c r="AH309" s="1"/>
      <c r="AI309" s="1"/>
      <c r="AJ309" s="1" t="str">
        <f ca="1">IFERROR(__xludf.DUMMYFUNCTION("""COMPUTED_VALUE"""),"F1664")</f>
        <v>F1664</v>
      </c>
      <c r="AK309" s="1" t="str">
        <f ca="1">IFERROR(__xludf.DUMMYFUNCTION("""COMPUTED_VALUE"""),"Marié(e)")</f>
        <v>Marié(e)</v>
      </c>
      <c r="AL309" s="1" t="str">
        <f ca="1">IFERROR(__xludf.DUMMYFUNCTION("""COMPUTED_VALUE"""),"Marié(e)")</f>
        <v>Marié(e)</v>
      </c>
      <c r="AM309" s="1" t="str">
        <f ca="1">IFERROR(__xludf.DUMMYFUNCTION("""COMPUTED_VALUE"""),"F1664")</f>
        <v>F1664</v>
      </c>
    </row>
    <row r="310" spans="1:39" ht="13" x14ac:dyDescent="0.15">
      <c r="A310" s="1" t="str">
        <f ca="1">IFERROR(__xludf.DUMMYFUNCTION("""COMPUTED_VALUE"""),"KANE Souleymane")</f>
        <v>KANE Souleymane</v>
      </c>
      <c r="B310" s="1" t="str">
        <f ca="1">IFERROR(__xludf.DUMMYFUNCTION("""COMPUTED_VALUE"""),"KANE")</f>
        <v>KANE</v>
      </c>
      <c r="C310" s="1" t="str">
        <f ca="1">IFERROR(__xludf.DUMMYFUNCTION("""COMPUTED_VALUE"""),"Souleymane")</f>
        <v>Souleymane</v>
      </c>
      <c r="D310" s="1" t="str">
        <f ca="1">IFERROR(__xludf.DUMMYFUNCTION("""COMPUTED_VALUE"""),"1388E2")</f>
        <v>1388E2</v>
      </c>
      <c r="E310" s="2">
        <f ca="1">IFERROR(__xludf.DUMMYFUNCTION("""COMPUTED_VALUE"""),40339)</f>
        <v>40339</v>
      </c>
      <c r="F310" s="1" t="str">
        <f ca="1">IFERROR(__xludf.DUMMYFUNCTION("""COMPUTED_VALUE"""),"3EME2")</f>
        <v>3EME2</v>
      </c>
      <c r="G310" s="1" t="str">
        <f ca="1">IFERROR(__xludf.DUMMYFUNCTION("""COMPUTED_VALUE"""),"3ème")</f>
        <v>3ème</v>
      </c>
      <c r="H310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310" s="1" t="str">
        <f ca="1">IFERROR(__xludf.DUMMYFUNCTION("""COMPUTED_VALUE"""),"LVA Anglais")</f>
        <v>LVA Anglais</v>
      </c>
      <c r="J310" s="1" t="str">
        <f ca="1">IFERROR(__xludf.DUMMYFUNCTION("""COMPUTED_VALUE"""),"LVB Espagnol")</f>
        <v>LVB Espagnol</v>
      </c>
      <c r="K310" s="1"/>
      <c r="L310" s="1"/>
      <c r="M310" s="1"/>
      <c r="N310" s="1" t="str">
        <f ca="1">IFERROR(__xludf.DUMMYFUNCTION("""COMPUTED_VALUE"""),"Garçon")</f>
        <v>Garçon</v>
      </c>
      <c r="O310" s="1"/>
      <c r="P310" s="1" t="str">
        <f ca="1">IFERROR(__xludf.DUMMYFUNCTION("""COMPUTED_VALUE"""),"SENEGAL")</f>
        <v>SENEGAL</v>
      </c>
      <c r="Q310" s="1"/>
      <c r="R310" s="1" t="str">
        <f ca="1">IFERROR(__xludf.DUMMYFUNCTION("""COMPUTED_VALUE"""),"souleymane.kane@lfjpsaly.org")</f>
        <v>souleymane.kane@lfjpsaly.org</v>
      </c>
      <c r="S310" s="1"/>
      <c r="T310" s="1" t="str">
        <f ca="1">IFERROR(__xludf.DUMMYFUNCTION("""COMPUTED_VALUE"""),"KANE Babacar")</f>
        <v>KANE Babacar</v>
      </c>
      <c r="U310" s="1" t="str">
        <f ca="1">IFERROR(__xludf.DUMMYFUNCTION("""COMPUTED_VALUE"""),"KANE Daba")</f>
        <v>KANE Daba</v>
      </c>
      <c r="V310" s="1" t="str">
        <f ca="1">IFERROR(__xludf.DUMMYFUNCTION("""COMPUTED_VALUE"""),"kanbabacar8@gmail.com")</f>
        <v>kanbabacar8@gmail.com</v>
      </c>
      <c r="W310" s="1" t="str">
        <f ca="1">IFERROR(__xludf.DUMMYFUNCTION("""COMPUTED_VALUE"""),"kanbabacar8@gmail.com")</f>
        <v>kanbabacar8@gmail.com</v>
      </c>
      <c r="X310" s="1" t="str">
        <f ca="1">IFERROR(__xludf.DUMMYFUNCTION("""COMPUTED_VALUE"""),"+221 77 633 38 40")</f>
        <v>+221 77 633 38 40</v>
      </c>
      <c r="Y310" s="1" t="str">
        <f ca="1">IFERROR(__xludf.DUMMYFUNCTION("""COMPUTED_VALUE"""),"77 302 32 65")</f>
        <v>77 302 32 65</v>
      </c>
      <c r="Z310" s="1" t="str">
        <f ca="1">IFERROR(__xludf.DUMMYFUNCTION("""COMPUTED_VALUE"""),"+221")</f>
        <v>+221</v>
      </c>
      <c r="AA310" s="1"/>
      <c r="AB310" s="2">
        <f ca="1">IFERROR(__xludf.DUMMYFUNCTION("""COMPUTED_VALUE"""),25460)</f>
        <v>25460</v>
      </c>
      <c r="AC310" s="2">
        <f ca="1">IFERROR(__xludf.DUMMYFUNCTION("""COMPUTED_VALUE"""),40339)</f>
        <v>40339</v>
      </c>
      <c r="AD310" s="1" t="str">
        <f ca="1">IFERROR(__xludf.DUMMYFUNCTION("""COMPUTED_VALUE"""),"PERE")</f>
        <v>PERE</v>
      </c>
      <c r="AE310" s="1" t="str">
        <f ca="1">IFERROR(__xludf.DUMMYFUNCTION("""COMPUTED_VALUE"""),"MERE")</f>
        <v>MERE</v>
      </c>
      <c r="AF310" s="1" t="str">
        <f ca="1">IFERROR(__xludf.DUMMYFUNCTION("""COMPUTED_VALUE"""),"SENEGAL")</f>
        <v>SENEGAL</v>
      </c>
      <c r="AG310" s="1" t="str">
        <f ca="1">IFERROR(__xludf.DUMMYFUNCTION("""COMPUTED_VALUE"""),"SENEGAL")</f>
        <v>SENEGAL</v>
      </c>
      <c r="AH310" s="1"/>
      <c r="AI310" s="1"/>
      <c r="AJ310" s="1" t="str">
        <f ca="1">IFERROR(__xludf.DUMMYFUNCTION("""COMPUTED_VALUE"""),"F1388")</f>
        <v>F1388</v>
      </c>
      <c r="AK310" s="1" t="str">
        <f ca="1">IFERROR(__xludf.DUMMYFUNCTION("""COMPUTED_VALUE"""),"Marié(e)")</f>
        <v>Marié(e)</v>
      </c>
      <c r="AL310" s="1" t="str">
        <f ca="1">IFERROR(__xludf.DUMMYFUNCTION("""COMPUTED_VALUE"""),"Marié(e)")</f>
        <v>Marié(e)</v>
      </c>
      <c r="AM310" s="1" t="str">
        <f ca="1">IFERROR(__xludf.DUMMYFUNCTION("""COMPUTED_VALUE"""),"F1388")</f>
        <v>F1388</v>
      </c>
    </row>
    <row r="311" spans="1:39" ht="13" x14ac:dyDescent="0.15">
      <c r="A311" s="1" t="str">
        <f ca="1">IFERROR(__xludf.DUMMYFUNCTION("""COMPUTED_VALUE"""),"KATAI Mohamed Ali")</f>
        <v>KATAI Mohamed Ali</v>
      </c>
      <c r="B311" s="1" t="str">
        <f ca="1">IFERROR(__xludf.DUMMYFUNCTION("""COMPUTED_VALUE"""),"KATAI")</f>
        <v>KATAI</v>
      </c>
      <c r="C311" s="1" t="str">
        <f ca="1">IFERROR(__xludf.DUMMYFUNCTION("""COMPUTED_VALUE"""),"Mohamed Ali")</f>
        <v>Mohamed Ali</v>
      </c>
      <c r="D311" s="1" t="str">
        <f ca="1">IFERROR(__xludf.DUMMYFUNCTION("""COMPUTED_VALUE"""),"1665E1")</f>
        <v>1665E1</v>
      </c>
      <c r="E311" s="2">
        <f ca="1">IFERROR(__xludf.DUMMYFUNCTION("""COMPUTED_VALUE"""),43502)</f>
        <v>43502</v>
      </c>
      <c r="F311" s="1" t="str">
        <f ca="1">IFERROR(__xludf.DUMMYFUNCTION("""COMPUTED_VALUE"""),"CE1B")</f>
        <v>CE1B</v>
      </c>
      <c r="G311" s="1" t="str">
        <f ca="1">IFERROR(__xludf.DUMMYFUNCTION("""COMPUTED_VALUE"""),"CE1")</f>
        <v>CE1</v>
      </c>
      <c r="H311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311" s="1"/>
      <c r="J311" s="1"/>
      <c r="K311" s="1"/>
      <c r="L311" s="1"/>
      <c r="M311" s="1"/>
      <c r="N311" s="1" t="str">
        <f ca="1">IFERROR(__xludf.DUMMYFUNCTION("""COMPUTED_VALUE"""),"Garçon")</f>
        <v>Garçon</v>
      </c>
      <c r="O311" s="1"/>
      <c r="P311" s="1" t="str">
        <f ca="1">IFERROR(__xludf.DUMMYFUNCTION("""COMPUTED_VALUE"""),"MAROC")</f>
        <v>MAROC</v>
      </c>
      <c r="Q311" s="1"/>
      <c r="R311" s="1"/>
      <c r="S311" s="1"/>
      <c r="T311" s="1" t="str">
        <f ca="1">IFERROR(__xludf.DUMMYFUNCTION("""COMPUTED_VALUE"""),"KATAI Hassan")</f>
        <v>KATAI Hassan</v>
      </c>
      <c r="U311" s="1" t="str">
        <f ca="1">IFERROR(__xludf.DUMMYFUNCTION("""COMPUTED_VALUE"""),"KDIDER Soumia")</f>
        <v>KDIDER Soumia</v>
      </c>
      <c r="V311" s="1" t="str">
        <f ca="1">IFERROR(__xludf.DUMMYFUNCTION("""COMPUTED_VALUE"""),"hassan.katai@gmail.com")</f>
        <v>hassan.katai@gmail.com</v>
      </c>
      <c r="W311" s="1" t="str">
        <f ca="1">IFERROR(__xludf.DUMMYFUNCTION("""COMPUTED_VALUE"""),"hassan.katai@gmail.com")</f>
        <v>hassan.katai@gmail.com</v>
      </c>
      <c r="X311" s="1" t="str">
        <f ca="1">IFERROR(__xludf.DUMMYFUNCTION("""COMPUTED_VALUE"""),"+221 76 779 47 66")</f>
        <v>+221 76 779 47 66</v>
      </c>
      <c r="Y311" s="1" t="str">
        <f ca="1">IFERROR(__xludf.DUMMYFUNCTION("""COMPUTED_VALUE"""),"+33 6 14 55 05 13")</f>
        <v>+33 6 14 55 05 13</v>
      </c>
      <c r="Z311" s="1"/>
      <c r="AA311" s="1"/>
      <c r="AB311" s="2">
        <f ca="1">IFERROR(__xludf.DUMMYFUNCTION("""COMPUTED_VALUE"""),30431)</f>
        <v>30431</v>
      </c>
      <c r="AC311" s="2">
        <f ca="1">IFERROR(__xludf.DUMMYFUNCTION("""COMPUTED_VALUE"""),32495)</f>
        <v>32495</v>
      </c>
      <c r="AD311" s="1" t="str">
        <f ca="1">IFERROR(__xludf.DUMMYFUNCTION("""COMPUTED_VALUE"""),"PERE")</f>
        <v>PERE</v>
      </c>
      <c r="AE311" s="1" t="str">
        <f ca="1">IFERROR(__xludf.DUMMYFUNCTION("""COMPUTED_VALUE"""),"MERE")</f>
        <v>MERE</v>
      </c>
      <c r="AF311" s="1" t="str">
        <f ca="1">IFERROR(__xludf.DUMMYFUNCTION("""COMPUTED_VALUE"""),"MAROC")</f>
        <v>MAROC</v>
      </c>
      <c r="AG311" s="1" t="str">
        <f ca="1">IFERROR(__xludf.DUMMYFUNCTION("""COMPUTED_VALUE"""),"MAROC")</f>
        <v>MAROC</v>
      </c>
      <c r="AH311" s="1"/>
      <c r="AI311" s="1"/>
      <c r="AJ311" s="1" t="str">
        <f ca="1">IFERROR(__xludf.DUMMYFUNCTION("""COMPUTED_VALUE"""),"F1665")</f>
        <v>F1665</v>
      </c>
      <c r="AK311" s="1" t="str">
        <f ca="1">IFERROR(__xludf.DUMMYFUNCTION("""COMPUTED_VALUE"""),"Marié(e)")</f>
        <v>Marié(e)</v>
      </c>
      <c r="AL311" s="1" t="str">
        <f ca="1">IFERROR(__xludf.DUMMYFUNCTION("""COMPUTED_VALUE"""),"Marié(e)")</f>
        <v>Marié(e)</v>
      </c>
      <c r="AM311" s="1" t="str">
        <f ca="1">IFERROR(__xludf.DUMMYFUNCTION("""COMPUTED_VALUE"""),"F1665")</f>
        <v>F1665</v>
      </c>
    </row>
    <row r="312" spans="1:39" ht="13" x14ac:dyDescent="0.15">
      <c r="A312" s="1" t="str">
        <f ca="1">IFERROR(__xludf.DUMMYFUNCTION("""COMPUTED_VALUE"""),"KATAI Othman")</f>
        <v>KATAI Othman</v>
      </c>
      <c r="B312" s="1" t="str">
        <f ca="1">IFERROR(__xludf.DUMMYFUNCTION("""COMPUTED_VALUE"""),"KATAI")</f>
        <v>KATAI</v>
      </c>
      <c r="C312" s="1" t="str">
        <f ca="1">IFERROR(__xludf.DUMMYFUNCTION("""COMPUTED_VALUE"""),"Othman")</f>
        <v>Othman</v>
      </c>
      <c r="D312" s="1" t="str">
        <f ca="1">IFERROR(__xludf.DUMMYFUNCTION("""COMPUTED_VALUE"""),"1665E2")</f>
        <v>1665E2</v>
      </c>
      <c r="E312" s="2">
        <f ca="1">IFERROR(__xludf.DUMMYFUNCTION("""COMPUTED_VALUE"""),41450)</f>
        <v>41450</v>
      </c>
      <c r="F312" s="1" t="str">
        <f ca="1">IFERROR(__xludf.DUMMYFUNCTION("""COMPUTED_VALUE"""),"5EME1")</f>
        <v>5EME1</v>
      </c>
      <c r="G312" s="1" t="str">
        <f ca="1">IFERROR(__xludf.DUMMYFUNCTION("""COMPUTED_VALUE"""),"5ème")</f>
        <v>5ème</v>
      </c>
      <c r="H312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312" s="1" t="str">
        <f ca="1">IFERROR(__xludf.DUMMYFUNCTION("""COMPUTED_VALUE"""),"LVA Anglais")</f>
        <v>LVA Anglais</v>
      </c>
      <c r="J312" s="1" t="str">
        <f ca="1">IFERROR(__xludf.DUMMYFUNCTION("""COMPUTED_VALUE"""),"LVB Espagnol")</f>
        <v>LVB Espagnol</v>
      </c>
      <c r="K312" s="1"/>
      <c r="L312" s="1"/>
      <c r="M312" s="1"/>
      <c r="N312" s="1" t="str">
        <f ca="1">IFERROR(__xludf.DUMMYFUNCTION("""COMPUTED_VALUE"""),"Garçon")</f>
        <v>Garçon</v>
      </c>
      <c r="O312" s="1"/>
      <c r="P312" s="1" t="str">
        <f ca="1">IFERROR(__xludf.DUMMYFUNCTION("""COMPUTED_VALUE"""),"MAROC")</f>
        <v>MAROC</v>
      </c>
      <c r="Q312" s="1"/>
      <c r="R312" s="1" t="str">
        <f ca="1">IFERROR(__xludf.DUMMYFUNCTION("""COMPUTED_VALUE"""),"othman.katai@lfjpsaly.org")</f>
        <v>othman.katai@lfjpsaly.org</v>
      </c>
      <c r="S312" s="1"/>
      <c r="T312" s="1" t="str">
        <f ca="1">IFERROR(__xludf.DUMMYFUNCTION("""COMPUTED_VALUE"""),"KATAI Hassan")</f>
        <v>KATAI Hassan</v>
      </c>
      <c r="U312" s="1" t="str">
        <f ca="1">IFERROR(__xludf.DUMMYFUNCTION("""COMPUTED_VALUE"""),"KDIDER Soumia")</f>
        <v>KDIDER Soumia</v>
      </c>
      <c r="V312" s="1" t="str">
        <f ca="1">IFERROR(__xludf.DUMMYFUNCTION("""COMPUTED_VALUE"""),"hassan.katai@gmail.com")</f>
        <v>hassan.katai@gmail.com</v>
      </c>
      <c r="W312" s="1" t="str">
        <f ca="1">IFERROR(__xludf.DUMMYFUNCTION("""COMPUTED_VALUE"""),"hassan.katai@gmail.com")</f>
        <v>hassan.katai@gmail.com</v>
      </c>
      <c r="X312" s="1" t="str">
        <f ca="1">IFERROR(__xludf.DUMMYFUNCTION("""COMPUTED_VALUE"""),"+221 76 779 47 66")</f>
        <v>+221 76 779 47 66</v>
      </c>
      <c r="Y312" s="1" t="str">
        <f ca="1">IFERROR(__xludf.DUMMYFUNCTION("""COMPUTED_VALUE"""),"+33 6 14 55 05 13")</f>
        <v>+33 6 14 55 05 13</v>
      </c>
      <c r="Z312" s="1"/>
      <c r="AA312" s="1"/>
      <c r="AB312" s="2">
        <f ca="1">IFERROR(__xludf.DUMMYFUNCTION("""COMPUTED_VALUE"""),30431)</f>
        <v>30431</v>
      </c>
      <c r="AC312" s="2">
        <f ca="1">IFERROR(__xludf.DUMMYFUNCTION("""COMPUTED_VALUE"""),32495)</f>
        <v>32495</v>
      </c>
      <c r="AD312" s="1" t="str">
        <f ca="1">IFERROR(__xludf.DUMMYFUNCTION("""COMPUTED_VALUE"""),"PERE")</f>
        <v>PERE</v>
      </c>
      <c r="AE312" s="1" t="str">
        <f ca="1">IFERROR(__xludf.DUMMYFUNCTION("""COMPUTED_VALUE"""),"MERE")</f>
        <v>MERE</v>
      </c>
      <c r="AF312" s="1" t="str">
        <f ca="1">IFERROR(__xludf.DUMMYFUNCTION("""COMPUTED_VALUE"""),"MAROC")</f>
        <v>MAROC</v>
      </c>
      <c r="AG312" s="1" t="str">
        <f ca="1">IFERROR(__xludf.DUMMYFUNCTION("""COMPUTED_VALUE"""),"MAROC")</f>
        <v>MAROC</v>
      </c>
      <c r="AH312" s="1"/>
      <c r="AI312" s="1"/>
      <c r="AJ312" s="1" t="str">
        <f ca="1">IFERROR(__xludf.DUMMYFUNCTION("""COMPUTED_VALUE"""),"F1665")</f>
        <v>F1665</v>
      </c>
      <c r="AK312" s="1" t="str">
        <f ca="1">IFERROR(__xludf.DUMMYFUNCTION("""COMPUTED_VALUE"""),"Marié(e)")</f>
        <v>Marié(e)</v>
      </c>
      <c r="AL312" s="1" t="str">
        <f ca="1">IFERROR(__xludf.DUMMYFUNCTION("""COMPUTED_VALUE"""),"Marié(e)")</f>
        <v>Marié(e)</v>
      </c>
      <c r="AM312" s="1" t="str">
        <f ca="1">IFERROR(__xludf.DUMMYFUNCTION("""COMPUTED_VALUE"""),"F1665")</f>
        <v>F1665</v>
      </c>
    </row>
    <row r="313" spans="1:39" ht="13" x14ac:dyDescent="0.15">
      <c r="A313" s="1" t="str">
        <f ca="1">IFERROR(__xludf.DUMMYFUNCTION("""COMPUTED_VALUE"""),"KEIFENS Harry")</f>
        <v>KEIFENS Harry</v>
      </c>
      <c r="B313" s="1" t="str">
        <f ca="1">IFERROR(__xludf.DUMMYFUNCTION("""COMPUTED_VALUE"""),"KEIFENS")</f>
        <v>KEIFENS</v>
      </c>
      <c r="C313" s="1" t="str">
        <f ca="1">IFERROR(__xludf.DUMMYFUNCTION("""COMPUTED_VALUE"""),"Harry")</f>
        <v>Harry</v>
      </c>
      <c r="D313" s="1" t="str">
        <f ca="1">IFERROR(__xludf.DUMMYFUNCTION("""COMPUTED_VALUE"""),"1393E1")</f>
        <v>1393E1</v>
      </c>
      <c r="E313" s="2">
        <f ca="1">IFERROR(__xludf.DUMMYFUNCTION("""COMPUTED_VALUE"""),40410)</f>
        <v>40410</v>
      </c>
      <c r="F313" s="1" t="str">
        <f ca="1">IFERROR(__xludf.DUMMYFUNCTION("""COMPUTED_VALUE"""),"2NDE1 COOP")</f>
        <v>2NDE1 COOP</v>
      </c>
      <c r="G313" s="1" t="str">
        <f ca="1">IFERROR(__xludf.DUMMYFUNCTION("""COMPUTED_VALUE"""),"2nde")</f>
        <v>2nde</v>
      </c>
      <c r="H313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313" s="1" t="str">
        <f ca="1">IFERROR(__xludf.DUMMYFUNCTION("""COMPUTED_VALUE"""),"LVA Anglais")</f>
        <v>LVA Anglais</v>
      </c>
      <c r="J313" s="1" t="str">
        <f ca="1">IFERROR(__xludf.DUMMYFUNCTION("""COMPUTED_VALUE"""),"LVB Espagnol")</f>
        <v>LVB Espagnol</v>
      </c>
      <c r="K313" s="1"/>
      <c r="L313" s="1"/>
      <c r="M313" s="1"/>
      <c r="N313" s="1" t="str">
        <f ca="1">IFERROR(__xludf.DUMMYFUNCTION("""COMPUTED_VALUE"""),"Garçon")</f>
        <v>Garçon</v>
      </c>
      <c r="O313" s="1"/>
      <c r="P313" s="1" t="str">
        <f ca="1">IFERROR(__xludf.DUMMYFUNCTION("""COMPUTED_VALUE"""),"BELGIQUE")</f>
        <v>BELGIQUE</v>
      </c>
      <c r="Q313" s="1" t="str">
        <f ca="1">IFERROR(__xludf.DUMMYFUNCTION("""COMPUTED_VALUE"""),"BELGIQUE")</f>
        <v>BELGIQUE</v>
      </c>
      <c r="R313" s="1" t="str">
        <f ca="1">IFERROR(__xludf.DUMMYFUNCTION("""COMPUTED_VALUE"""),"harry.keifens@lfjpsaly.org")</f>
        <v>harry.keifens@lfjpsaly.org</v>
      </c>
      <c r="S313" s="1"/>
      <c r="T313" s="1" t="str">
        <f ca="1">IFERROR(__xludf.DUMMYFUNCTION("""COMPUTED_VALUE"""),"KEIFENS Valerie")</f>
        <v>KEIFENS Valerie</v>
      </c>
      <c r="U313" s="1" t="str">
        <f ca="1">IFERROR(__xludf.DUMMYFUNCTION("""COMPUTED_VALUE"""),"KEIFENS Gerald")</f>
        <v>KEIFENS Gerald</v>
      </c>
      <c r="V313" s="1" t="str">
        <f ca="1">IFERROR(__xludf.DUMMYFUNCTION("""COMPUTED_VALUE"""),"lamaisonvanille@gmail.com")</f>
        <v>lamaisonvanille@gmail.com</v>
      </c>
      <c r="W313" s="1" t="str">
        <f ca="1">IFERROR(__xludf.DUMMYFUNCTION("""COMPUTED_VALUE"""),"geraldkeifens@hotmail.com")</f>
        <v>geraldkeifens@hotmail.com</v>
      </c>
      <c r="X313" s="1" t="str">
        <f ca="1">IFERROR(__xludf.DUMMYFUNCTION("""COMPUTED_VALUE"""),"+221 77 087 46 58")</f>
        <v>+221 77 087 46 58</v>
      </c>
      <c r="Y313" s="1" t="str">
        <f ca="1">IFERROR(__xludf.DUMMYFUNCTION("""COMPUTED_VALUE"""),"+221 77 863 95 73")</f>
        <v>+221 77 863 95 73</v>
      </c>
      <c r="Z313" s="1"/>
      <c r="AA313" s="1"/>
      <c r="AB313" s="2">
        <f ca="1">IFERROR(__xludf.DUMMYFUNCTION("""COMPUTED_VALUE"""),27182)</f>
        <v>27182</v>
      </c>
      <c r="AC313" s="2">
        <f ca="1">IFERROR(__xludf.DUMMYFUNCTION("""COMPUTED_VALUE"""),27266)</f>
        <v>27266</v>
      </c>
      <c r="AD313" s="1" t="str">
        <f ca="1">IFERROR(__xludf.DUMMYFUNCTION("""COMPUTED_VALUE"""),"MERE")</f>
        <v>MERE</v>
      </c>
      <c r="AE313" s="1" t="str">
        <f ca="1">IFERROR(__xludf.DUMMYFUNCTION("""COMPUTED_VALUE"""),"PERE")</f>
        <v>PERE</v>
      </c>
      <c r="AF313" s="1" t="str">
        <f ca="1">IFERROR(__xludf.DUMMYFUNCTION("""COMPUTED_VALUE"""),"BELGIQUE")</f>
        <v>BELGIQUE</v>
      </c>
      <c r="AG313" s="1" t="str">
        <f ca="1">IFERROR(__xludf.DUMMYFUNCTION("""COMPUTED_VALUE"""),"BELGIQUE")</f>
        <v>BELGIQUE</v>
      </c>
      <c r="AH313" s="1"/>
      <c r="AI313" s="1" t="str">
        <f ca="1">IFERROR(__xludf.DUMMYFUNCTION("""COMPUTED_VALUE"""),"BELGIQUE")</f>
        <v>BELGIQUE</v>
      </c>
      <c r="AJ313" s="1" t="str">
        <f ca="1">IFERROR(__xludf.DUMMYFUNCTION("""COMPUTED_VALUE"""),"F1393")</f>
        <v>F1393</v>
      </c>
      <c r="AK313" s="1" t="str">
        <f ca="1">IFERROR(__xludf.DUMMYFUNCTION("""COMPUTED_VALUE"""),"Marié(e)")</f>
        <v>Marié(e)</v>
      </c>
      <c r="AL313" s="1" t="str">
        <f ca="1">IFERROR(__xludf.DUMMYFUNCTION("""COMPUTED_VALUE"""),"Marié(e)")</f>
        <v>Marié(e)</v>
      </c>
      <c r="AM313" s="1" t="str">
        <f ca="1">IFERROR(__xludf.DUMMYFUNCTION("""COMPUTED_VALUE"""),"F1393")</f>
        <v>F1393</v>
      </c>
    </row>
    <row r="314" spans="1:39" ht="13" x14ac:dyDescent="0.15">
      <c r="A314" s="1" t="str">
        <f ca="1">IFERROR(__xludf.DUMMYFUNCTION("""COMPUTED_VALUE"""),"KERDUDO Lamine")</f>
        <v>KERDUDO Lamine</v>
      </c>
      <c r="B314" s="1" t="str">
        <f ca="1">IFERROR(__xludf.DUMMYFUNCTION("""COMPUTED_VALUE"""),"KERDUDO")</f>
        <v>KERDUDO</v>
      </c>
      <c r="C314" s="1" t="str">
        <f ca="1">IFERROR(__xludf.DUMMYFUNCTION("""COMPUTED_VALUE"""),"Lamine")</f>
        <v>Lamine</v>
      </c>
      <c r="D314" s="1" t="str">
        <f ca="1">IFERROR(__xludf.DUMMYFUNCTION("""COMPUTED_VALUE"""),"1394E1")</f>
        <v>1394E1</v>
      </c>
      <c r="E314" s="2">
        <f ca="1">IFERROR(__xludf.DUMMYFUNCTION("""COMPUTED_VALUE"""),41956)</f>
        <v>41956</v>
      </c>
      <c r="F314" s="1" t="str">
        <f ca="1">IFERROR(__xludf.DUMMYFUNCTION("""COMPUTED_VALUE"""),"6EME1")</f>
        <v>6EME1</v>
      </c>
      <c r="G314" s="1" t="str">
        <f ca="1">IFERROR(__xludf.DUMMYFUNCTION("""COMPUTED_VALUE"""),"6ème")</f>
        <v>6ème</v>
      </c>
      <c r="H314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314" s="1" t="str">
        <f ca="1">IFERROR(__xludf.DUMMYFUNCTION("""COMPUTED_VALUE"""),"LVA Anglais")</f>
        <v>LVA Anglais</v>
      </c>
      <c r="J314" s="1" t="str">
        <f ca="1">IFERROR(__xludf.DUMMYFUNCTION("""COMPUTED_VALUE"""),"LVB Espagnol")</f>
        <v>LVB Espagnol</v>
      </c>
      <c r="K314" s="1"/>
      <c r="L314" s="1"/>
      <c r="M314" s="1"/>
      <c r="N314" s="1" t="str">
        <f ca="1">IFERROR(__xludf.DUMMYFUNCTION("""COMPUTED_VALUE"""),"Garçon")</f>
        <v>Garçon</v>
      </c>
      <c r="O314" s="1"/>
      <c r="P314" s="1" t="str">
        <f ca="1">IFERROR(__xludf.DUMMYFUNCTION("""COMPUTED_VALUE"""),"FRANCE")</f>
        <v>FRANCE</v>
      </c>
      <c r="Q314" s="1" t="str">
        <f ca="1">IFERROR(__xludf.DUMMYFUNCTION("""COMPUTED_VALUE"""),"SENEGAL")</f>
        <v>SENEGAL</v>
      </c>
      <c r="R314" s="1" t="str">
        <f ca="1">IFERROR(__xludf.DUMMYFUNCTION("""COMPUTED_VALUE"""),"lamine.kerdudo@lfjpsaly.org")</f>
        <v>lamine.kerdudo@lfjpsaly.org</v>
      </c>
      <c r="S314" s="1"/>
      <c r="T314" s="1" t="str">
        <f ca="1">IFERROR(__xludf.DUMMYFUNCTION("""COMPUTED_VALUE"""),"KERDUDO Stephane")</f>
        <v>KERDUDO Stephane</v>
      </c>
      <c r="U314" s="1" t="str">
        <f ca="1">IFERROR(__xludf.DUMMYFUNCTION("""COMPUTED_VALUE"""),"KERDUDO Fatime")</f>
        <v>KERDUDO Fatime</v>
      </c>
      <c r="V314" s="1" t="str">
        <f ca="1">IFERROR(__xludf.DUMMYFUNCTION("""COMPUTED_VALUE"""),"kerdudo.stephane@yahoo.fr")</f>
        <v>kerdudo.stephane@yahoo.fr</v>
      </c>
      <c r="W314" s="1" t="str">
        <f ca="1">IFERROR(__xludf.DUMMYFUNCTION("""COMPUTED_VALUE"""),"fatimediop77@yahoo.fr")</f>
        <v>fatimediop77@yahoo.fr</v>
      </c>
      <c r="X314" s="1" t="str">
        <f ca="1">IFERROR(__xludf.DUMMYFUNCTION("""COMPUTED_VALUE"""),"+221 77 176 64 12")</f>
        <v>+221 77 176 64 12</v>
      </c>
      <c r="Y314" s="1" t="str">
        <f ca="1">IFERROR(__xludf.DUMMYFUNCTION("""COMPUTED_VALUE"""),"+221 77 430 86 41")</f>
        <v>+221 77 430 86 41</v>
      </c>
      <c r="Z314" s="1"/>
      <c r="AA314" s="1"/>
      <c r="AB314" s="2">
        <f ca="1">IFERROR(__xludf.DUMMYFUNCTION("""COMPUTED_VALUE"""),25684)</f>
        <v>25684</v>
      </c>
      <c r="AC314" s="2">
        <f ca="1">IFERROR(__xludf.DUMMYFUNCTION("""COMPUTED_VALUE"""),28323)</f>
        <v>28323</v>
      </c>
      <c r="AD314" s="1" t="str">
        <f ca="1">IFERROR(__xludf.DUMMYFUNCTION("""COMPUTED_VALUE"""),"PERE")</f>
        <v>PERE</v>
      </c>
      <c r="AE314" s="1" t="str">
        <f ca="1">IFERROR(__xludf.DUMMYFUNCTION("""COMPUTED_VALUE"""),"MERE")</f>
        <v>MERE</v>
      </c>
      <c r="AF314" s="1" t="str">
        <f ca="1">IFERROR(__xludf.DUMMYFUNCTION("""COMPUTED_VALUE"""),"FRANCE")</f>
        <v>FRANCE</v>
      </c>
      <c r="AG314" s="1" t="str">
        <f ca="1">IFERROR(__xludf.DUMMYFUNCTION("""COMPUTED_VALUE"""),"SENEGAL")</f>
        <v>SENEGAL</v>
      </c>
      <c r="AH314" s="1" t="str">
        <f ca="1">IFERROR(__xludf.DUMMYFUNCTION("""COMPUTED_VALUE"""),"SENEGAL")</f>
        <v>SENEGAL</v>
      </c>
      <c r="AI314" s="1" t="str">
        <f ca="1">IFERROR(__xludf.DUMMYFUNCTION("""COMPUTED_VALUE"""),"FRANCE")</f>
        <v>FRANCE</v>
      </c>
      <c r="AJ314" s="1" t="str">
        <f ca="1">IFERROR(__xludf.DUMMYFUNCTION("""COMPUTED_VALUE"""),"F1394")</f>
        <v>F1394</v>
      </c>
      <c r="AK314" s="1" t="str">
        <f ca="1">IFERROR(__xludf.DUMMYFUNCTION("""COMPUTED_VALUE"""),"Marié(e)")</f>
        <v>Marié(e)</v>
      </c>
      <c r="AL314" s="1" t="str">
        <f ca="1">IFERROR(__xludf.DUMMYFUNCTION("""COMPUTED_VALUE"""),"Marié(e)")</f>
        <v>Marié(e)</v>
      </c>
      <c r="AM314" s="1" t="str">
        <f ca="1">IFERROR(__xludf.DUMMYFUNCTION("""COMPUTED_VALUE"""),"F1394")</f>
        <v>F1394</v>
      </c>
    </row>
    <row r="315" spans="1:39" ht="13" x14ac:dyDescent="0.15">
      <c r="A315" s="1" t="str">
        <f ca="1">IFERROR(__xludf.DUMMYFUNCTION("""COMPUTED_VALUE"""),"KERDUDO Zeina")</f>
        <v>KERDUDO Zeina</v>
      </c>
      <c r="B315" s="1" t="str">
        <f ca="1">IFERROR(__xludf.DUMMYFUNCTION("""COMPUTED_VALUE"""),"KERDUDO")</f>
        <v>KERDUDO</v>
      </c>
      <c r="C315" s="1" t="str">
        <f ca="1">IFERROR(__xludf.DUMMYFUNCTION("""COMPUTED_VALUE"""),"Zeina")</f>
        <v>Zeina</v>
      </c>
      <c r="D315" s="1" t="str">
        <f ca="1">IFERROR(__xludf.DUMMYFUNCTION("""COMPUTED_VALUE"""),"1394E2")</f>
        <v>1394E2</v>
      </c>
      <c r="E315" s="2">
        <f ca="1">IFERROR(__xludf.DUMMYFUNCTION("""COMPUTED_VALUE"""),40080)</f>
        <v>40080</v>
      </c>
      <c r="F315" s="1" t="str">
        <f ca="1">IFERROR(__xludf.DUMMYFUNCTION("""COMPUTED_VALUE"""),"1ERE2")</f>
        <v>1ERE2</v>
      </c>
      <c r="G315" s="1" t="str">
        <f ca="1">IFERROR(__xludf.DUMMYFUNCTION("""COMPUTED_VALUE"""),"1ère")</f>
        <v>1ère</v>
      </c>
      <c r="H315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315" s="1" t="str">
        <f ca="1">IFERROR(__xludf.DUMMYFUNCTION("""COMPUTED_VALUE"""),"LVA Anglais")</f>
        <v>LVA Anglais</v>
      </c>
      <c r="J315" s="1" t="str">
        <f ca="1">IFERROR(__xludf.DUMMYFUNCTION("""COMPUTED_VALUE"""),"LVB Espagnol")</f>
        <v>LVB Espagnol</v>
      </c>
      <c r="K315" s="1"/>
      <c r="L315" s="1"/>
      <c r="M315" s="1" t="str">
        <f ca="1">IFERROR(__xludf.DUMMYFUNCTION("""COMPUTED_VALUE"""),"SPE MATHS, SPE SPC, SPE SVT")</f>
        <v>SPE MATHS, SPE SPC, SPE SVT</v>
      </c>
      <c r="N315" s="1" t="str">
        <f ca="1">IFERROR(__xludf.DUMMYFUNCTION("""COMPUTED_VALUE"""),"Fille")</f>
        <v>Fille</v>
      </c>
      <c r="O315" s="1"/>
      <c r="P315" s="1" t="str">
        <f ca="1">IFERROR(__xludf.DUMMYFUNCTION("""COMPUTED_VALUE"""),"FRANCE")</f>
        <v>FRANCE</v>
      </c>
      <c r="Q315" s="1" t="str">
        <f ca="1">IFERROR(__xludf.DUMMYFUNCTION("""COMPUTED_VALUE"""),"SENEGAL")</f>
        <v>SENEGAL</v>
      </c>
      <c r="R315" s="1" t="str">
        <f ca="1">IFERROR(__xludf.DUMMYFUNCTION("""COMPUTED_VALUE"""),"zeina.kerdudo@lfjpsaly.org")</f>
        <v>zeina.kerdudo@lfjpsaly.org</v>
      </c>
      <c r="S315" s="1"/>
      <c r="T315" s="1" t="str">
        <f ca="1">IFERROR(__xludf.DUMMYFUNCTION("""COMPUTED_VALUE"""),"KERDUDO Stephane")</f>
        <v>KERDUDO Stephane</v>
      </c>
      <c r="U315" s="1" t="str">
        <f ca="1">IFERROR(__xludf.DUMMYFUNCTION("""COMPUTED_VALUE"""),"KERDUDO Fatime")</f>
        <v>KERDUDO Fatime</v>
      </c>
      <c r="V315" s="1" t="str">
        <f ca="1">IFERROR(__xludf.DUMMYFUNCTION("""COMPUTED_VALUE"""),"kerdudo.stephane@yahoo.fr")</f>
        <v>kerdudo.stephane@yahoo.fr</v>
      </c>
      <c r="W315" s="1" t="str">
        <f ca="1">IFERROR(__xludf.DUMMYFUNCTION("""COMPUTED_VALUE"""),"fatimediop77@yahoo.fr")</f>
        <v>fatimediop77@yahoo.fr</v>
      </c>
      <c r="X315" s="1" t="str">
        <f ca="1">IFERROR(__xludf.DUMMYFUNCTION("""COMPUTED_VALUE"""),"+221 77 176 64 12")</f>
        <v>+221 77 176 64 12</v>
      </c>
      <c r="Y315" s="1" t="str">
        <f ca="1">IFERROR(__xludf.DUMMYFUNCTION("""COMPUTED_VALUE"""),"+221 77 430 86 41")</f>
        <v>+221 77 430 86 41</v>
      </c>
      <c r="Z315" s="1"/>
      <c r="AA315" s="1"/>
      <c r="AB315" s="2">
        <f ca="1">IFERROR(__xludf.DUMMYFUNCTION("""COMPUTED_VALUE"""),25684)</f>
        <v>25684</v>
      </c>
      <c r="AC315" s="2">
        <f ca="1">IFERROR(__xludf.DUMMYFUNCTION("""COMPUTED_VALUE"""),28323)</f>
        <v>28323</v>
      </c>
      <c r="AD315" s="1" t="str">
        <f ca="1">IFERROR(__xludf.DUMMYFUNCTION("""COMPUTED_VALUE"""),"PERE")</f>
        <v>PERE</v>
      </c>
      <c r="AE315" s="1" t="str">
        <f ca="1">IFERROR(__xludf.DUMMYFUNCTION("""COMPUTED_VALUE"""),"MERE")</f>
        <v>MERE</v>
      </c>
      <c r="AF315" s="1" t="str">
        <f ca="1">IFERROR(__xludf.DUMMYFUNCTION("""COMPUTED_VALUE"""),"FRANCE")</f>
        <v>FRANCE</v>
      </c>
      <c r="AG315" s="1" t="str">
        <f ca="1">IFERROR(__xludf.DUMMYFUNCTION("""COMPUTED_VALUE"""),"SENEGAL")</f>
        <v>SENEGAL</v>
      </c>
      <c r="AH315" s="1" t="str">
        <f ca="1">IFERROR(__xludf.DUMMYFUNCTION("""COMPUTED_VALUE"""),"SENEGAL")</f>
        <v>SENEGAL</v>
      </c>
      <c r="AI315" s="1" t="str">
        <f ca="1">IFERROR(__xludf.DUMMYFUNCTION("""COMPUTED_VALUE"""),"FRANCE")</f>
        <v>FRANCE</v>
      </c>
      <c r="AJ315" s="1" t="str">
        <f ca="1">IFERROR(__xludf.DUMMYFUNCTION("""COMPUTED_VALUE"""),"F1394")</f>
        <v>F1394</v>
      </c>
      <c r="AK315" s="1" t="str">
        <f ca="1">IFERROR(__xludf.DUMMYFUNCTION("""COMPUTED_VALUE"""),"Marié(e)")</f>
        <v>Marié(e)</v>
      </c>
      <c r="AL315" s="1" t="str">
        <f ca="1">IFERROR(__xludf.DUMMYFUNCTION("""COMPUTED_VALUE"""),"Marié(e)")</f>
        <v>Marié(e)</v>
      </c>
      <c r="AM315" s="1" t="str">
        <f ca="1">IFERROR(__xludf.DUMMYFUNCTION("""COMPUTED_VALUE"""),"F1394")</f>
        <v>F1394</v>
      </c>
    </row>
    <row r="316" spans="1:39" ht="13" x14ac:dyDescent="0.15">
      <c r="A316" s="1" t="str">
        <f ca="1">IFERROR(__xludf.DUMMYFUNCTION("""COMPUTED_VALUE"""),"KIEPE Nelleke Fatou Bintou")</f>
        <v>KIEPE Nelleke Fatou Bintou</v>
      </c>
      <c r="B316" s="1" t="str">
        <f ca="1">IFERROR(__xludf.DUMMYFUNCTION("""COMPUTED_VALUE"""),"KIEPE")</f>
        <v>KIEPE</v>
      </c>
      <c r="C316" s="1" t="str">
        <f ca="1">IFERROR(__xludf.DUMMYFUNCTION("""COMPUTED_VALUE"""),"Nelleke Fatou Bintou")</f>
        <v>Nelleke Fatou Bintou</v>
      </c>
      <c r="D316" s="1" t="str">
        <f ca="1">IFERROR(__xludf.DUMMYFUNCTION("""COMPUTED_VALUE"""),"1384E2")</f>
        <v>1384E2</v>
      </c>
      <c r="E316" s="2">
        <f ca="1">IFERROR(__xludf.DUMMYFUNCTION("""COMPUTED_VALUE"""),40325)</f>
        <v>40325</v>
      </c>
      <c r="F316" s="1" t="str">
        <f ca="1">IFERROR(__xludf.DUMMYFUNCTION("""COMPUTED_VALUE"""),"2NDE2")</f>
        <v>2NDE2</v>
      </c>
      <c r="G316" s="1" t="str">
        <f ca="1">IFERROR(__xludf.DUMMYFUNCTION("""COMPUTED_VALUE"""),"2nde")</f>
        <v>2nde</v>
      </c>
      <c r="H316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316" s="1" t="str">
        <f ca="1">IFERROR(__xludf.DUMMYFUNCTION("""COMPUTED_VALUE"""),"LVA Anglais")</f>
        <v>LVA Anglais</v>
      </c>
      <c r="J316" s="1" t="str">
        <f ca="1">IFERROR(__xludf.DUMMYFUNCTION("""COMPUTED_VALUE"""),"LVB Espagnol")</f>
        <v>LVB Espagnol</v>
      </c>
      <c r="K316" s="1"/>
      <c r="L316" s="1"/>
      <c r="M316" s="1"/>
      <c r="N316" s="1" t="str">
        <f ca="1">IFERROR(__xludf.DUMMYFUNCTION("""COMPUTED_VALUE"""),"Fille")</f>
        <v>Fille</v>
      </c>
      <c r="O316" s="1"/>
      <c r="P316" s="1" t="str">
        <f ca="1">IFERROR(__xludf.DUMMYFUNCTION("""COMPUTED_VALUE"""),"SENEGAL")</f>
        <v>SENEGAL</v>
      </c>
      <c r="Q316" s="1" t="str">
        <f ca="1">IFERROR(__xludf.DUMMYFUNCTION("""COMPUTED_VALUE"""),"PAYS-BAS")</f>
        <v>PAYS-BAS</v>
      </c>
      <c r="R316" s="1" t="str">
        <f ca="1">IFERROR(__xludf.DUMMYFUNCTION("""COMPUTED_VALUE"""),"nelleke.kiepe@lfjpsaly.org")</f>
        <v>nelleke.kiepe@lfjpsaly.org</v>
      </c>
      <c r="S316" s="1"/>
      <c r="T316" s="1" t="str">
        <f ca="1">IFERROR(__xludf.DUMMYFUNCTION("""COMPUTED_VALUE"""),"DRAME Khady Nani")</f>
        <v>DRAME Khady Nani</v>
      </c>
      <c r="U316" s="1" t="str">
        <f ca="1">IFERROR(__xludf.DUMMYFUNCTION("""COMPUTED_VALUE"""),"KIEPE Paul")</f>
        <v>KIEPE Paul</v>
      </c>
      <c r="V316" s="1" t="str">
        <f ca="1">IFERROR(__xludf.DUMMYFUNCTION("""COMPUTED_VALUE"""),"knanid@gmail.com")</f>
        <v>knanid@gmail.com</v>
      </c>
      <c r="W316" s="1" t="str">
        <f ca="1">IFERROR(__xludf.DUMMYFUNCTION("""COMPUTED_VALUE"""),"paul.kiepe@gmail.com")</f>
        <v>paul.kiepe@gmail.com</v>
      </c>
      <c r="X316" s="1" t="str">
        <f ca="1">IFERROR(__xludf.DUMMYFUNCTION("""COMPUTED_VALUE"""),"+221 77 393 85 10")</f>
        <v>+221 77 393 85 10</v>
      </c>
      <c r="Y316" s="1" t="str">
        <f ca="1">IFERROR(__xludf.DUMMYFUNCTION("""COMPUTED_VALUE"""),"+221 77 678 01 66")</f>
        <v>+221 77 678 01 66</v>
      </c>
      <c r="Z316" s="1" t="str">
        <f ca="1">IFERROR(__xludf.DUMMYFUNCTION("""COMPUTED_VALUE"""),"+221")</f>
        <v>+221</v>
      </c>
      <c r="AA316" s="1" t="str">
        <f ca="1">IFERROR(__xludf.DUMMYFUNCTION("""COMPUTED_VALUE"""),"+221")</f>
        <v>+221</v>
      </c>
      <c r="AB316" s="2">
        <f ca="1">IFERROR(__xludf.DUMMYFUNCTION("""COMPUTED_VALUE"""),28981)</f>
        <v>28981</v>
      </c>
      <c r="AC316" s="2">
        <f ca="1">IFERROR(__xludf.DUMMYFUNCTION("""COMPUTED_VALUE"""),20230)</f>
        <v>20230</v>
      </c>
      <c r="AD316" s="1" t="str">
        <f ca="1">IFERROR(__xludf.DUMMYFUNCTION("""COMPUTED_VALUE"""),"MERE")</f>
        <v>MERE</v>
      </c>
      <c r="AE316" s="1" t="str">
        <f ca="1">IFERROR(__xludf.DUMMYFUNCTION("""COMPUTED_VALUE"""),"PERE")</f>
        <v>PERE</v>
      </c>
      <c r="AF316" s="1" t="str">
        <f ca="1">IFERROR(__xludf.DUMMYFUNCTION("""COMPUTED_VALUE"""),"SENEGAL")</f>
        <v>SENEGAL</v>
      </c>
      <c r="AG316" s="1" t="str">
        <f ca="1">IFERROR(__xludf.DUMMYFUNCTION("""COMPUTED_VALUE"""),"PAYS-BAS")</f>
        <v>PAYS-BAS</v>
      </c>
      <c r="AH316" s="1"/>
      <c r="AI316" s="1"/>
      <c r="AJ316" s="1" t="str">
        <f ca="1">IFERROR(__xludf.DUMMYFUNCTION("""COMPUTED_VALUE"""),"F1384")</f>
        <v>F1384</v>
      </c>
      <c r="AK316" s="1" t="str">
        <f ca="1">IFERROR(__xludf.DUMMYFUNCTION("""COMPUTED_VALUE"""),"Marié(e)")</f>
        <v>Marié(e)</v>
      </c>
      <c r="AL316" s="1" t="str">
        <f ca="1">IFERROR(__xludf.DUMMYFUNCTION("""COMPUTED_VALUE"""),"Marié(e)")</f>
        <v>Marié(e)</v>
      </c>
      <c r="AM316" s="1" t="str">
        <f ca="1">IFERROR(__xludf.DUMMYFUNCTION("""COMPUTED_VALUE"""),"F1384")</f>
        <v>F1384</v>
      </c>
    </row>
    <row r="317" spans="1:39" ht="13" x14ac:dyDescent="0.15">
      <c r="A317" s="1" t="str">
        <f ca="1">IFERROR(__xludf.DUMMYFUNCTION("""COMPUTED_VALUE"""),"KIWAN Adam")</f>
        <v>KIWAN Adam</v>
      </c>
      <c r="B317" s="1" t="str">
        <f ca="1">IFERROR(__xludf.DUMMYFUNCTION("""COMPUTED_VALUE"""),"KIWAN")</f>
        <v>KIWAN</v>
      </c>
      <c r="C317" s="1" t="str">
        <f ca="1">IFERROR(__xludf.DUMMYFUNCTION("""COMPUTED_VALUE"""),"Adam")</f>
        <v>Adam</v>
      </c>
      <c r="D317" s="1" t="str">
        <f ca="1">IFERROR(__xludf.DUMMYFUNCTION("""COMPUTED_VALUE"""),"1397E1")</f>
        <v>1397E1</v>
      </c>
      <c r="E317" s="2">
        <f ca="1">IFERROR(__xludf.DUMMYFUNCTION("""COMPUTED_VALUE"""),43178)</f>
        <v>43178</v>
      </c>
      <c r="F317" s="1" t="str">
        <f ca="1">IFERROR(__xludf.DUMMYFUNCTION("""COMPUTED_VALUE"""),"CE1A")</f>
        <v>CE1A</v>
      </c>
      <c r="G317" s="1" t="str">
        <f ca="1">IFERROR(__xludf.DUMMYFUNCTION("""COMPUTED_VALUE"""),"CE1")</f>
        <v>CE1</v>
      </c>
      <c r="H317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317" s="1"/>
      <c r="J317" s="1"/>
      <c r="K317" s="1"/>
      <c r="L317" s="1"/>
      <c r="M317" s="1"/>
      <c r="N317" s="1" t="str">
        <f ca="1">IFERROR(__xludf.DUMMYFUNCTION("""COMPUTED_VALUE"""),"Garçon")</f>
        <v>Garçon</v>
      </c>
      <c r="O317" s="1"/>
      <c r="P317" s="1" t="str">
        <f ca="1">IFERROR(__xludf.DUMMYFUNCTION("""COMPUTED_VALUE"""),"SENEGAL")</f>
        <v>SENEGAL</v>
      </c>
      <c r="Q317" s="1" t="str">
        <f ca="1">IFERROR(__xludf.DUMMYFUNCTION("""COMPUTED_VALUE"""),"FRANCE")</f>
        <v>FRANCE</v>
      </c>
      <c r="R317" s="1"/>
      <c r="S317" s="1"/>
      <c r="T317" s="1" t="str">
        <f ca="1">IFERROR(__xludf.DUMMYFUNCTION("""COMPUTED_VALUE"""),"KIWAN Christel")</f>
        <v>KIWAN Christel</v>
      </c>
      <c r="U317" s="1" t="str">
        <f ca="1">IFERROR(__xludf.DUMMYFUNCTION("""COMPUTED_VALUE"""),"KIWAN Ali")</f>
        <v>KIWAN Ali</v>
      </c>
      <c r="V317" s="1" t="str">
        <f ca="1">IFERROR(__xludf.DUMMYFUNCTION("""COMPUTED_VALUE"""),"christellegedeon92@gmail.com")</f>
        <v>christellegedeon92@gmail.com</v>
      </c>
      <c r="W317" s="1" t="str">
        <f ca="1">IFERROR(__xludf.DUMMYFUNCTION("""COMPUTED_VALUE"""),"ali_kiwane@outlook.fr")</f>
        <v>ali_kiwane@outlook.fr</v>
      </c>
      <c r="X317" s="1" t="str">
        <f ca="1">IFERROR(__xludf.DUMMYFUNCTION("""COMPUTED_VALUE"""),"+221 77 887 36 04")</f>
        <v>+221 77 887 36 04</v>
      </c>
      <c r="Y317" s="1" t="str">
        <f ca="1">IFERROR(__xludf.DUMMYFUNCTION("""COMPUTED_VALUE"""),"+221 77 706 40 30")</f>
        <v>+221 77 706 40 30</v>
      </c>
      <c r="Z317" s="1" t="str">
        <f ca="1">IFERROR(__xludf.DUMMYFUNCTION("""COMPUTED_VALUE"""),"+221 77 887 36 04")</f>
        <v>+221 77 887 36 04</v>
      </c>
      <c r="AA317" s="1" t="str">
        <f ca="1">IFERROR(__xludf.DUMMYFUNCTION("""COMPUTED_VALUE"""),"+221")</f>
        <v>+221</v>
      </c>
      <c r="AB317" s="2">
        <f ca="1">IFERROR(__xludf.DUMMYFUNCTION("""COMPUTED_VALUE"""),32548)</f>
        <v>32548</v>
      </c>
      <c r="AC317" s="2">
        <f ca="1">IFERROR(__xludf.DUMMYFUNCTION("""COMPUTED_VALUE"""),34523)</f>
        <v>34523</v>
      </c>
      <c r="AD317" s="1" t="str">
        <f ca="1">IFERROR(__xludf.DUMMYFUNCTION("""COMPUTED_VALUE"""),"MERE")</f>
        <v>MERE</v>
      </c>
      <c r="AE317" s="1" t="str">
        <f ca="1">IFERROR(__xludf.DUMMYFUNCTION("""COMPUTED_VALUE"""),"PERE")</f>
        <v>PERE</v>
      </c>
      <c r="AF317" s="1" t="str">
        <f ca="1">IFERROR(__xludf.DUMMYFUNCTION("""COMPUTED_VALUE"""),"FRANCE")</f>
        <v>FRANCE</v>
      </c>
      <c r="AG317" s="1" t="str">
        <f ca="1">IFERROR(__xludf.DUMMYFUNCTION("""COMPUTED_VALUE"""),"FRANCE")</f>
        <v>FRANCE</v>
      </c>
      <c r="AH317" s="1" t="str">
        <f ca="1">IFERROR(__xludf.DUMMYFUNCTION("""COMPUTED_VALUE"""),"SENEGAL")</f>
        <v>SENEGAL</v>
      </c>
      <c r="AI317" s="1" t="str">
        <f ca="1">IFERROR(__xludf.DUMMYFUNCTION("""COMPUTED_VALUE"""),"SENEGAL")</f>
        <v>SENEGAL</v>
      </c>
      <c r="AJ317" s="1" t="str">
        <f ca="1">IFERROR(__xludf.DUMMYFUNCTION("""COMPUTED_VALUE"""),"F1397")</f>
        <v>F1397</v>
      </c>
      <c r="AK317" s="1" t="str">
        <f ca="1">IFERROR(__xludf.DUMMYFUNCTION("""COMPUTED_VALUE"""),"Marié(e)")</f>
        <v>Marié(e)</v>
      </c>
      <c r="AL317" s="1" t="str">
        <f ca="1">IFERROR(__xludf.DUMMYFUNCTION("""COMPUTED_VALUE"""),"Marié(e)")</f>
        <v>Marié(e)</v>
      </c>
      <c r="AM317" s="1" t="str">
        <f ca="1">IFERROR(__xludf.DUMMYFUNCTION("""COMPUTED_VALUE"""),"F1397")</f>
        <v>F1397</v>
      </c>
    </row>
    <row r="318" spans="1:39" ht="13" x14ac:dyDescent="0.15">
      <c r="A318" s="1" t="str">
        <f ca="1">IFERROR(__xludf.DUMMYFUNCTION("""COMPUTED_VALUE"""),"KOEGLER Abdoulaye Pascal")</f>
        <v>KOEGLER Abdoulaye Pascal</v>
      </c>
      <c r="B318" s="1" t="str">
        <f ca="1">IFERROR(__xludf.DUMMYFUNCTION("""COMPUTED_VALUE"""),"KOEGLER")</f>
        <v>KOEGLER</v>
      </c>
      <c r="C318" s="1" t="str">
        <f ca="1">IFERROR(__xludf.DUMMYFUNCTION("""COMPUTED_VALUE"""),"Abdoulaye Pascal")</f>
        <v>Abdoulaye Pascal</v>
      </c>
      <c r="D318" s="1" t="str">
        <f ca="1">IFERROR(__xludf.DUMMYFUNCTION("""COMPUTED_VALUE"""),"1399E1")</f>
        <v>1399E1</v>
      </c>
      <c r="E318" s="2">
        <f ca="1">IFERROR(__xludf.DUMMYFUNCTION("""COMPUTED_VALUE"""),43661)</f>
        <v>43661</v>
      </c>
      <c r="F318" s="1" t="str">
        <f ca="1">IFERROR(__xludf.DUMMYFUNCTION("""COMPUTED_VALUE"""),"CP")</f>
        <v>CP</v>
      </c>
      <c r="G318" s="1" t="str">
        <f ca="1">IFERROR(__xludf.DUMMYFUNCTION("""COMPUTED_VALUE"""),"CP")</f>
        <v>CP</v>
      </c>
      <c r="H318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318" s="1"/>
      <c r="J318" s="1"/>
      <c r="K318" s="1"/>
      <c r="L318" s="1"/>
      <c r="M318" s="1"/>
      <c r="N318" s="1" t="str">
        <f ca="1">IFERROR(__xludf.DUMMYFUNCTION("""COMPUTED_VALUE"""),"Garçon")</f>
        <v>Garçon</v>
      </c>
      <c r="O318" s="1"/>
      <c r="P318" s="1" t="str">
        <f ca="1">IFERROR(__xludf.DUMMYFUNCTION("""COMPUTED_VALUE"""),"FRANCE")</f>
        <v>FRANCE</v>
      </c>
      <c r="Q318" s="1"/>
      <c r="R318" s="1"/>
      <c r="S318" s="1"/>
      <c r="T318" s="1" t="str">
        <f ca="1">IFERROR(__xludf.DUMMYFUNCTION("""COMPUTED_VALUE"""),"MANGA Oulimatou Djilang")</f>
        <v>MANGA Oulimatou Djilang</v>
      </c>
      <c r="U318" s="1"/>
      <c r="V318" s="1" t="str">
        <f ca="1">IFERROR(__xludf.DUMMYFUNCTION("""COMPUTED_VALUE"""),"oulimata.manga.4321@gmail.com")</f>
        <v>oulimata.manga.4321@gmail.com</v>
      </c>
      <c r="W318" s="1"/>
      <c r="X318" s="1" t="str">
        <f ca="1">IFERROR(__xludf.DUMMYFUNCTION("""COMPUTED_VALUE"""),"77 247 84 39")</f>
        <v>77 247 84 39</v>
      </c>
      <c r="Y318" s="1"/>
      <c r="Z318" s="1"/>
      <c r="AA318" s="1"/>
      <c r="AB318" s="2">
        <f ca="1">IFERROR(__xludf.DUMMYFUNCTION("""COMPUTED_VALUE"""),31779)</f>
        <v>31779</v>
      </c>
      <c r="AC318" s="1"/>
      <c r="AD318" s="1" t="str">
        <f ca="1">IFERROR(__xludf.DUMMYFUNCTION("""COMPUTED_VALUE"""),"MERE")</f>
        <v>MERE</v>
      </c>
      <c r="AE318" s="1"/>
      <c r="AF318" s="1" t="str">
        <f ca="1">IFERROR(__xludf.DUMMYFUNCTION("""COMPUTED_VALUE"""),"SENEGAL")</f>
        <v>SENEGAL</v>
      </c>
      <c r="AG318" s="1"/>
      <c r="AH318" s="1"/>
      <c r="AI318" s="1"/>
      <c r="AJ318" s="1" t="str">
        <f ca="1">IFERROR(__xludf.DUMMYFUNCTION("""COMPUTED_VALUE"""),"F1399")</f>
        <v>F1399</v>
      </c>
      <c r="AK318" s="1" t="str">
        <f ca="1">IFERROR(__xludf.DUMMYFUNCTION("""COMPUTED_VALUE"""),"Célibataire")</f>
        <v>Célibataire</v>
      </c>
      <c r="AL318" s="1"/>
      <c r="AM318" s="1" t="str">
        <f ca="1">IFERROR(__xludf.DUMMYFUNCTION("""COMPUTED_VALUE"""),"F1399")</f>
        <v>F1399</v>
      </c>
    </row>
    <row r="319" spans="1:39" ht="13" x14ac:dyDescent="0.15">
      <c r="A319" s="1" t="str">
        <f ca="1">IFERROR(__xludf.DUMMYFUNCTION("""COMPUTED_VALUE"""),"KONATE Serigne Bethio")</f>
        <v>KONATE Serigne Bethio</v>
      </c>
      <c r="B319" s="1" t="str">
        <f ca="1">IFERROR(__xludf.DUMMYFUNCTION("""COMPUTED_VALUE"""),"KONATE")</f>
        <v>KONATE</v>
      </c>
      <c r="C319" s="1" t="str">
        <f ca="1">IFERROR(__xludf.DUMMYFUNCTION("""COMPUTED_VALUE"""),"Serigne Bethio")</f>
        <v>Serigne Bethio</v>
      </c>
      <c r="D319" s="1" t="str">
        <f ca="1">IFERROR(__xludf.DUMMYFUNCTION("""COMPUTED_VALUE"""),"1400E1")</f>
        <v>1400E1</v>
      </c>
      <c r="E319" s="2">
        <f ca="1">IFERROR(__xludf.DUMMYFUNCTION("""COMPUTED_VALUE"""),42474)</f>
        <v>42474</v>
      </c>
      <c r="F319" s="1" t="str">
        <f ca="1">IFERROR(__xludf.DUMMYFUNCTION("""COMPUTED_VALUE"""),"CM1B")</f>
        <v>CM1B</v>
      </c>
      <c r="G319" s="1" t="str">
        <f ca="1">IFERROR(__xludf.DUMMYFUNCTION("""COMPUTED_VALUE"""),"CM1")</f>
        <v>CM1</v>
      </c>
      <c r="H319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319" s="1"/>
      <c r="J319" s="1"/>
      <c r="K319" s="1"/>
      <c r="L319" s="1"/>
      <c r="M319" s="1"/>
      <c r="N319" s="1" t="str">
        <f ca="1">IFERROR(__xludf.DUMMYFUNCTION("""COMPUTED_VALUE"""),"Garçon")</f>
        <v>Garçon</v>
      </c>
      <c r="O319" s="1"/>
      <c r="P319" s="1" t="str">
        <f ca="1">IFERROR(__xludf.DUMMYFUNCTION("""COMPUTED_VALUE"""),"SENEGAL")</f>
        <v>SENEGAL</v>
      </c>
      <c r="Q319" s="1"/>
      <c r="R319" s="1"/>
      <c r="S319" s="1"/>
      <c r="T319" s="1" t="str">
        <f ca="1">IFERROR(__xludf.DUMMYFUNCTION("""COMPUTED_VALUE"""),"SY Ndeye Ngalla")</f>
        <v>SY Ndeye Ngalla</v>
      </c>
      <c r="U319" s="1"/>
      <c r="V319" s="1" t="str">
        <f ca="1">IFERROR(__xludf.DUMMYFUNCTION("""COMPUTED_VALUE"""),"ndeyengallasy@gmail.com")</f>
        <v>ndeyengallasy@gmail.com</v>
      </c>
      <c r="W319" s="1"/>
      <c r="X319" s="1" t="str">
        <f ca="1">IFERROR(__xludf.DUMMYFUNCTION("""COMPUTED_VALUE"""),"+221 77 246 62 88")</f>
        <v>+221 77 246 62 88</v>
      </c>
      <c r="Y319" s="1"/>
      <c r="Z319" s="1" t="str">
        <f ca="1">IFERROR(__xludf.DUMMYFUNCTION("""COMPUTED_VALUE"""),"+221")</f>
        <v>+221</v>
      </c>
      <c r="AA319" s="1"/>
      <c r="AB319" s="2">
        <f ca="1">IFERROR(__xludf.DUMMYFUNCTION("""COMPUTED_VALUE"""),32945)</f>
        <v>32945</v>
      </c>
      <c r="AC319" s="1"/>
      <c r="AD319" s="1" t="str">
        <f ca="1">IFERROR(__xludf.DUMMYFUNCTION("""COMPUTED_VALUE"""),"MERE")</f>
        <v>MERE</v>
      </c>
      <c r="AE319" s="1"/>
      <c r="AF319" s="1" t="str">
        <f ca="1">IFERROR(__xludf.DUMMYFUNCTION("""COMPUTED_VALUE"""),"SENEGAL")</f>
        <v>SENEGAL</v>
      </c>
      <c r="AG319" s="1"/>
      <c r="AH319" s="1"/>
      <c r="AI319" s="1"/>
      <c r="AJ319" s="1" t="str">
        <f ca="1">IFERROR(__xludf.DUMMYFUNCTION("""COMPUTED_VALUE"""),"F1400")</f>
        <v>F1400</v>
      </c>
      <c r="AK319" s="1" t="str">
        <f ca="1">IFERROR(__xludf.DUMMYFUNCTION("""COMPUTED_VALUE"""),"Marié(e)")</f>
        <v>Marié(e)</v>
      </c>
      <c r="AL319" s="1"/>
      <c r="AM319" s="1" t="str">
        <f ca="1">IFERROR(__xludf.DUMMYFUNCTION("""COMPUTED_VALUE"""),"F1400")</f>
        <v>F1400</v>
      </c>
    </row>
    <row r="320" spans="1:39" ht="13" x14ac:dyDescent="0.15">
      <c r="A320" s="1" t="str">
        <f ca="1">IFERROR(__xludf.DUMMYFUNCTION("""COMPUTED_VALUE"""),"KONATÉ Sokhna Aïda Saliou")</f>
        <v>KONATÉ Sokhna Aïda Saliou</v>
      </c>
      <c r="B320" s="1" t="str">
        <f ca="1">IFERROR(__xludf.DUMMYFUNCTION("""COMPUTED_VALUE"""),"KONATÉ")</f>
        <v>KONATÉ</v>
      </c>
      <c r="C320" s="1" t="str">
        <f ca="1">IFERROR(__xludf.DUMMYFUNCTION("""COMPUTED_VALUE"""),"Sokhna Aïda Saliou")</f>
        <v>Sokhna Aïda Saliou</v>
      </c>
      <c r="D320" s="1" t="str">
        <f ca="1">IFERROR(__xludf.DUMMYFUNCTION("""COMPUTED_VALUE"""),"1400E3")</f>
        <v>1400E3</v>
      </c>
      <c r="E320" s="2">
        <f ca="1">IFERROR(__xludf.DUMMYFUNCTION("""COMPUTED_VALUE"""),43913)</f>
        <v>43913</v>
      </c>
      <c r="F320" s="1" t="str">
        <f ca="1">IFERROR(__xludf.DUMMYFUNCTION("""COMPUTED_VALUE"""),"Mat 2")</f>
        <v>Mat 2</v>
      </c>
      <c r="G320" s="1" t="str">
        <f ca="1">IFERROR(__xludf.DUMMYFUNCTION("""COMPUTED_VALUE"""),"GS")</f>
        <v>GS</v>
      </c>
      <c r="H320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320" s="1"/>
      <c r="J320" s="1"/>
      <c r="K320" s="1"/>
      <c r="L320" s="1"/>
      <c r="M320" s="1"/>
      <c r="N320" s="1" t="str">
        <f ca="1">IFERROR(__xludf.DUMMYFUNCTION("""COMPUTED_VALUE"""),"Fille")</f>
        <v>Fille</v>
      </c>
      <c r="O320" s="1"/>
      <c r="P320" s="1" t="str">
        <f ca="1">IFERROR(__xludf.DUMMYFUNCTION("""COMPUTED_VALUE"""),"SENEGAL")</f>
        <v>SENEGAL</v>
      </c>
      <c r="Q320" s="1" t="str">
        <f ca="1">IFERROR(__xludf.DUMMYFUNCTION("""COMPUTED_VALUE"""),"SENEGAL")</f>
        <v>SENEGAL</v>
      </c>
      <c r="R320" s="1"/>
      <c r="S320" s="1"/>
      <c r="T320" s="1" t="str">
        <f ca="1">IFERROR(__xludf.DUMMYFUNCTION("""COMPUTED_VALUE"""),"SY Ndeye Ngalla")</f>
        <v>SY Ndeye Ngalla</v>
      </c>
      <c r="U320" s="1"/>
      <c r="V320" s="1" t="str">
        <f ca="1">IFERROR(__xludf.DUMMYFUNCTION("""COMPUTED_VALUE"""),"ndeyengallasy@gmail.com")</f>
        <v>ndeyengallasy@gmail.com</v>
      </c>
      <c r="W320" s="1"/>
      <c r="X320" s="1" t="str">
        <f ca="1">IFERROR(__xludf.DUMMYFUNCTION("""COMPUTED_VALUE"""),"+221 77 246 62 88")</f>
        <v>+221 77 246 62 88</v>
      </c>
      <c r="Y320" s="1"/>
      <c r="Z320" s="1" t="str">
        <f ca="1">IFERROR(__xludf.DUMMYFUNCTION("""COMPUTED_VALUE"""),"+221")</f>
        <v>+221</v>
      </c>
      <c r="AA320" s="1"/>
      <c r="AB320" s="2">
        <f ca="1">IFERROR(__xludf.DUMMYFUNCTION("""COMPUTED_VALUE"""),32945)</f>
        <v>32945</v>
      </c>
      <c r="AC320" s="1"/>
      <c r="AD320" s="1" t="str">
        <f ca="1">IFERROR(__xludf.DUMMYFUNCTION("""COMPUTED_VALUE"""),"MERE")</f>
        <v>MERE</v>
      </c>
      <c r="AE320" s="1"/>
      <c r="AF320" s="1" t="str">
        <f ca="1">IFERROR(__xludf.DUMMYFUNCTION("""COMPUTED_VALUE"""),"SENEGAL")</f>
        <v>SENEGAL</v>
      </c>
      <c r="AG320" s="1"/>
      <c r="AH320" s="1"/>
      <c r="AI320" s="1"/>
      <c r="AJ320" s="1" t="str">
        <f ca="1">IFERROR(__xludf.DUMMYFUNCTION("""COMPUTED_VALUE"""),"F1400")</f>
        <v>F1400</v>
      </c>
      <c r="AK320" s="1" t="str">
        <f ca="1">IFERROR(__xludf.DUMMYFUNCTION("""COMPUTED_VALUE"""),"Marié(e)")</f>
        <v>Marié(e)</v>
      </c>
      <c r="AL320" s="1"/>
      <c r="AM320" s="1" t="str">
        <f ca="1">IFERROR(__xludf.DUMMYFUNCTION("""COMPUTED_VALUE"""),"F1400")</f>
        <v>F1400</v>
      </c>
    </row>
    <row r="321" spans="1:39" ht="13" x14ac:dyDescent="0.15">
      <c r="A321" s="1" t="str">
        <f ca="1">IFERROR(__xludf.DUMMYFUNCTION("""COMPUTED_VALUE"""),"KOUROUMA Bakary")</f>
        <v>KOUROUMA Bakary</v>
      </c>
      <c r="B321" s="1" t="str">
        <f ca="1">IFERROR(__xludf.DUMMYFUNCTION("""COMPUTED_VALUE"""),"KOUROUMA")</f>
        <v>KOUROUMA</v>
      </c>
      <c r="C321" s="1" t="str">
        <f ca="1">IFERROR(__xludf.DUMMYFUNCTION("""COMPUTED_VALUE"""),"Bakary")</f>
        <v>Bakary</v>
      </c>
      <c r="D321" s="1" t="str">
        <f ca="1">IFERROR(__xludf.DUMMYFUNCTION("""COMPUTED_VALUE"""),"1402E1")</f>
        <v>1402E1</v>
      </c>
      <c r="E321" s="2">
        <f ca="1">IFERROR(__xludf.DUMMYFUNCTION("""COMPUTED_VALUE"""),39025)</f>
        <v>39025</v>
      </c>
      <c r="F321" s="1" t="str">
        <f ca="1">IFERROR(__xludf.DUMMYFUNCTION("""COMPUTED_VALUE"""),"TERMINALE1")</f>
        <v>TERMINALE1</v>
      </c>
      <c r="G321" s="1" t="str">
        <f ca="1">IFERROR(__xludf.DUMMYFUNCTION("""COMPUTED_VALUE"""),"Terminale")</f>
        <v>Terminale</v>
      </c>
      <c r="H321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321" s="1" t="str">
        <f ca="1">IFERROR(__xludf.DUMMYFUNCTION("""COMPUTED_VALUE"""),"LVA Anglais")</f>
        <v>LVA Anglais</v>
      </c>
      <c r="J321" s="1" t="str">
        <f ca="1">IFERROR(__xludf.DUMMYFUNCTION("""COMPUTED_VALUE"""),"LVB Espagnol")</f>
        <v>LVB Espagnol</v>
      </c>
      <c r="K321" s="1"/>
      <c r="L321" s="1"/>
      <c r="M321" s="1" t="str">
        <f ca="1">IFERROR(__xludf.DUMMYFUNCTION("""COMPUTED_VALUE"""),"SPE MATHS, SPE SES")</f>
        <v>SPE MATHS, SPE SES</v>
      </c>
      <c r="N321" s="1" t="str">
        <f ca="1">IFERROR(__xludf.DUMMYFUNCTION("""COMPUTED_VALUE"""),"Garçon")</f>
        <v>Garçon</v>
      </c>
      <c r="O321" s="1"/>
      <c r="P321" s="1" t="str">
        <f ca="1">IFERROR(__xludf.DUMMYFUNCTION("""COMPUTED_VALUE"""),"GUINEE")</f>
        <v>GUINEE</v>
      </c>
      <c r="Q321" s="1"/>
      <c r="R321" s="1" t="str">
        <f ca="1">IFERROR(__xludf.DUMMYFUNCTION("""COMPUTED_VALUE"""),"bakary.kourouma@lfjpsaly.org")</f>
        <v>bakary.kourouma@lfjpsaly.org</v>
      </c>
      <c r="S321" s="1"/>
      <c r="T321" s="1" t="str">
        <f ca="1">IFERROR(__xludf.DUMMYFUNCTION("""COMPUTED_VALUE"""),"KOUROUMA Aboubacar Sidiki")</f>
        <v>KOUROUMA Aboubacar Sidiki</v>
      </c>
      <c r="U321" s="1" t="str">
        <f ca="1">IFERROR(__xludf.DUMMYFUNCTION("""COMPUTED_VALUE"""),"CAMARA Aminata")</f>
        <v>CAMARA Aminata</v>
      </c>
      <c r="V321" s="1" t="str">
        <f ca="1">IFERROR(__xludf.DUMMYFUNCTION("""COMPUTED_VALUE"""),"askourouma2019@gmail.com")</f>
        <v>askourouma2019@gmail.com</v>
      </c>
      <c r="W321" s="1" t="str">
        <f ca="1">IFERROR(__xludf.DUMMYFUNCTION("""COMPUTED_VALUE"""),"askourouma2019@gmail.com")</f>
        <v>askourouma2019@gmail.com</v>
      </c>
      <c r="X321" s="1" t="str">
        <f ca="1">IFERROR(__xludf.DUMMYFUNCTION("""COMPUTED_VALUE"""),"+221 78 385 11 03")</f>
        <v>+221 78 385 11 03</v>
      </c>
      <c r="Y321" s="1" t="str">
        <f ca="1">IFERROR(__xludf.DUMMYFUNCTION("""COMPUTED_VALUE"""),"+221 78 385 11 03")</f>
        <v>+221 78 385 11 03</v>
      </c>
      <c r="Z321" s="1" t="str">
        <f ca="1">IFERROR(__xludf.DUMMYFUNCTION("""COMPUTED_VALUE"""),"+221 78 385 11 03")</f>
        <v>+221 78 385 11 03</v>
      </c>
      <c r="AA321" s="1" t="str">
        <f ca="1">IFERROR(__xludf.DUMMYFUNCTION("""COMPUTED_VALUE"""),"+221 78 385 11 03")</f>
        <v>+221 78 385 11 03</v>
      </c>
      <c r="AB321" s="2">
        <f ca="1">IFERROR(__xludf.DUMMYFUNCTION("""COMPUTED_VALUE"""),24217)</f>
        <v>24217</v>
      </c>
      <c r="AC321" s="2">
        <f ca="1">IFERROR(__xludf.DUMMYFUNCTION("""COMPUTED_VALUE"""),33876)</f>
        <v>33876</v>
      </c>
      <c r="AD321" s="1" t="str">
        <f ca="1">IFERROR(__xludf.DUMMYFUNCTION("""COMPUTED_VALUE"""),"PERE")</f>
        <v>PERE</v>
      </c>
      <c r="AE321" s="1" t="str">
        <f ca="1">IFERROR(__xludf.DUMMYFUNCTION("""COMPUTED_VALUE"""),"AUTRE LIEN")</f>
        <v>AUTRE LIEN</v>
      </c>
      <c r="AF321" s="1" t="str">
        <f ca="1">IFERROR(__xludf.DUMMYFUNCTION("""COMPUTED_VALUE"""),"GUINEE")</f>
        <v>GUINEE</v>
      </c>
      <c r="AG321" s="1" t="str">
        <f ca="1">IFERROR(__xludf.DUMMYFUNCTION("""COMPUTED_VALUE"""),"GUINEE")</f>
        <v>GUINEE</v>
      </c>
      <c r="AH321" s="1"/>
      <c r="AI321" s="1"/>
      <c r="AJ321" s="1" t="str">
        <f ca="1">IFERROR(__xludf.DUMMYFUNCTION("""COMPUTED_VALUE"""),"F1402")</f>
        <v>F1402</v>
      </c>
      <c r="AK321" s="1" t="str">
        <f ca="1">IFERROR(__xludf.DUMMYFUNCTION("""COMPUTED_VALUE"""),"Marié(e)")</f>
        <v>Marié(e)</v>
      </c>
      <c r="AL321" s="1" t="str">
        <f ca="1">IFERROR(__xludf.DUMMYFUNCTION("""COMPUTED_VALUE"""),"Marié(e)")</f>
        <v>Marié(e)</v>
      </c>
      <c r="AM321" s="1" t="str">
        <f ca="1">IFERROR(__xludf.DUMMYFUNCTION("""COMPUTED_VALUE"""),"F1402")</f>
        <v>F1402</v>
      </c>
    </row>
    <row r="322" spans="1:39" ht="13" x14ac:dyDescent="0.15">
      <c r="A322" s="1" t="str">
        <f ca="1">IFERROR(__xludf.DUMMYFUNCTION("""COMPUTED_VALUE"""),"KOUROUMA Karamba Bisto")</f>
        <v>KOUROUMA Karamba Bisto</v>
      </c>
      <c r="B322" s="1" t="str">
        <f ca="1">IFERROR(__xludf.DUMMYFUNCTION("""COMPUTED_VALUE"""),"KOUROUMA")</f>
        <v>KOUROUMA</v>
      </c>
      <c r="C322" s="1" t="str">
        <f ca="1">IFERROR(__xludf.DUMMYFUNCTION("""COMPUTED_VALUE"""),"Karamba Bisto")</f>
        <v>Karamba Bisto</v>
      </c>
      <c r="D322" s="1" t="str">
        <f ca="1">IFERROR(__xludf.DUMMYFUNCTION("""COMPUTED_VALUE"""),"1402E2")</f>
        <v>1402E2</v>
      </c>
      <c r="E322" s="2">
        <f ca="1">IFERROR(__xludf.DUMMYFUNCTION("""COMPUTED_VALUE"""),41208)</f>
        <v>41208</v>
      </c>
      <c r="F322" s="1" t="str">
        <f ca="1">IFERROR(__xludf.DUMMYFUNCTION("""COMPUTED_VALUE"""),"5EME2")</f>
        <v>5EME2</v>
      </c>
      <c r="G322" s="1" t="str">
        <f ca="1">IFERROR(__xludf.DUMMYFUNCTION("""COMPUTED_VALUE"""),"5ème")</f>
        <v>5ème</v>
      </c>
      <c r="H322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322" s="1" t="str">
        <f ca="1">IFERROR(__xludf.DUMMYFUNCTION("""COMPUTED_VALUE"""),"LVA Anglais")</f>
        <v>LVA Anglais</v>
      </c>
      <c r="J322" s="1" t="str">
        <f ca="1">IFERROR(__xludf.DUMMYFUNCTION("""COMPUTED_VALUE"""),"LVB Espagnol")</f>
        <v>LVB Espagnol</v>
      </c>
      <c r="K322" s="1"/>
      <c r="L322" s="1"/>
      <c r="M322" s="1"/>
      <c r="N322" s="1" t="str">
        <f ca="1">IFERROR(__xludf.DUMMYFUNCTION("""COMPUTED_VALUE"""),"Garçon")</f>
        <v>Garçon</v>
      </c>
      <c r="O322" s="1"/>
      <c r="P322" s="1" t="str">
        <f ca="1">IFERROR(__xludf.DUMMYFUNCTION("""COMPUTED_VALUE"""),"GUINEE")</f>
        <v>GUINEE</v>
      </c>
      <c r="Q322" s="1"/>
      <c r="R322" s="1" t="str">
        <f ca="1">IFERROR(__xludf.DUMMYFUNCTION("""COMPUTED_VALUE"""),"karamba.kourouma@lfjpsaly.org")</f>
        <v>karamba.kourouma@lfjpsaly.org</v>
      </c>
      <c r="S322" s="1"/>
      <c r="T322" s="1" t="str">
        <f ca="1">IFERROR(__xludf.DUMMYFUNCTION("""COMPUTED_VALUE"""),"KOUROUMA Aboubacar Sidiki")</f>
        <v>KOUROUMA Aboubacar Sidiki</v>
      </c>
      <c r="U322" s="1" t="str">
        <f ca="1">IFERROR(__xludf.DUMMYFUNCTION("""COMPUTED_VALUE"""),"CAMARA Aminata")</f>
        <v>CAMARA Aminata</v>
      </c>
      <c r="V322" s="1" t="str">
        <f ca="1">IFERROR(__xludf.DUMMYFUNCTION("""COMPUTED_VALUE"""),"askourouma2019@gmail.com")</f>
        <v>askourouma2019@gmail.com</v>
      </c>
      <c r="W322" s="1" t="str">
        <f ca="1">IFERROR(__xludf.DUMMYFUNCTION("""COMPUTED_VALUE"""),"askourouma2019@gmail.com")</f>
        <v>askourouma2019@gmail.com</v>
      </c>
      <c r="X322" s="1" t="str">
        <f ca="1">IFERROR(__xludf.DUMMYFUNCTION("""COMPUTED_VALUE"""),"+221 78 385 11 03")</f>
        <v>+221 78 385 11 03</v>
      </c>
      <c r="Y322" s="1" t="str">
        <f ca="1">IFERROR(__xludf.DUMMYFUNCTION("""COMPUTED_VALUE"""),"+221 78 385 11 03")</f>
        <v>+221 78 385 11 03</v>
      </c>
      <c r="Z322" s="1" t="str">
        <f ca="1">IFERROR(__xludf.DUMMYFUNCTION("""COMPUTED_VALUE"""),"+221 78 385 11 03")</f>
        <v>+221 78 385 11 03</v>
      </c>
      <c r="AA322" s="1" t="str">
        <f ca="1">IFERROR(__xludf.DUMMYFUNCTION("""COMPUTED_VALUE"""),"+221 78 385 11 03")</f>
        <v>+221 78 385 11 03</v>
      </c>
      <c r="AB322" s="2">
        <f ca="1">IFERROR(__xludf.DUMMYFUNCTION("""COMPUTED_VALUE"""),24217)</f>
        <v>24217</v>
      </c>
      <c r="AC322" s="2">
        <f ca="1">IFERROR(__xludf.DUMMYFUNCTION("""COMPUTED_VALUE"""),33876)</f>
        <v>33876</v>
      </c>
      <c r="AD322" s="1" t="str">
        <f ca="1">IFERROR(__xludf.DUMMYFUNCTION("""COMPUTED_VALUE"""),"PERE")</f>
        <v>PERE</v>
      </c>
      <c r="AE322" s="1" t="str">
        <f ca="1">IFERROR(__xludf.DUMMYFUNCTION("""COMPUTED_VALUE"""),"AUTRE LIEN")</f>
        <v>AUTRE LIEN</v>
      </c>
      <c r="AF322" s="1" t="str">
        <f ca="1">IFERROR(__xludf.DUMMYFUNCTION("""COMPUTED_VALUE"""),"GUINEE")</f>
        <v>GUINEE</v>
      </c>
      <c r="AG322" s="1" t="str">
        <f ca="1">IFERROR(__xludf.DUMMYFUNCTION("""COMPUTED_VALUE"""),"GUINEE")</f>
        <v>GUINEE</v>
      </c>
      <c r="AH322" s="1"/>
      <c r="AI322" s="1"/>
      <c r="AJ322" s="1" t="str">
        <f ca="1">IFERROR(__xludf.DUMMYFUNCTION("""COMPUTED_VALUE"""),"F1402")</f>
        <v>F1402</v>
      </c>
      <c r="AK322" s="1" t="str">
        <f ca="1">IFERROR(__xludf.DUMMYFUNCTION("""COMPUTED_VALUE"""),"Marié(e)")</f>
        <v>Marié(e)</v>
      </c>
      <c r="AL322" s="1" t="str">
        <f ca="1">IFERROR(__xludf.DUMMYFUNCTION("""COMPUTED_VALUE"""),"Marié(e)")</f>
        <v>Marié(e)</v>
      </c>
      <c r="AM322" s="1" t="str">
        <f ca="1">IFERROR(__xludf.DUMMYFUNCTION("""COMPUTED_VALUE"""),"F1402")</f>
        <v>F1402</v>
      </c>
    </row>
    <row r="323" spans="1:39" ht="13" x14ac:dyDescent="0.15">
      <c r="A323" s="1" t="str">
        <f ca="1">IFERROR(__xludf.DUMMYFUNCTION("""COMPUTED_VALUE"""),"KOUROUMA Marguerite")</f>
        <v>KOUROUMA Marguerite</v>
      </c>
      <c r="B323" s="1" t="str">
        <f ca="1">IFERROR(__xludf.DUMMYFUNCTION("""COMPUTED_VALUE"""),"KOUROUMA")</f>
        <v>KOUROUMA</v>
      </c>
      <c r="C323" s="1" t="str">
        <f ca="1">IFERROR(__xludf.DUMMYFUNCTION("""COMPUTED_VALUE"""),"Marguerite")</f>
        <v>Marguerite</v>
      </c>
      <c r="D323" s="1" t="str">
        <f ca="1">IFERROR(__xludf.DUMMYFUNCTION("""COMPUTED_VALUE"""),"1402E3")</f>
        <v>1402E3</v>
      </c>
      <c r="E323" s="2">
        <f ca="1">IFERROR(__xludf.DUMMYFUNCTION("""COMPUTED_VALUE"""),40200)</f>
        <v>40200</v>
      </c>
      <c r="F323" s="1" t="str">
        <f ca="1">IFERROR(__xludf.DUMMYFUNCTION("""COMPUTED_VALUE"""),"3EME2")</f>
        <v>3EME2</v>
      </c>
      <c r="G323" s="1" t="str">
        <f ca="1">IFERROR(__xludf.DUMMYFUNCTION("""COMPUTED_VALUE"""),"3ème")</f>
        <v>3ème</v>
      </c>
      <c r="H323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323" s="1" t="str">
        <f ca="1">IFERROR(__xludf.DUMMYFUNCTION("""COMPUTED_VALUE"""),"LVA Anglais")</f>
        <v>LVA Anglais</v>
      </c>
      <c r="J323" s="1" t="str">
        <f ca="1">IFERROR(__xludf.DUMMYFUNCTION("""COMPUTED_VALUE"""),"LVB Espagnol")</f>
        <v>LVB Espagnol</v>
      </c>
      <c r="K323" s="1"/>
      <c r="L323" s="1"/>
      <c r="M323" s="1"/>
      <c r="N323" s="1" t="str">
        <f ca="1">IFERROR(__xludf.DUMMYFUNCTION("""COMPUTED_VALUE"""),"Fille")</f>
        <v>Fille</v>
      </c>
      <c r="O323" s="1"/>
      <c r="P323" s="1" t="str">
        <f ca="1">IFERROR(__xludf.DUMMYFUNCTION("""COMPUTED_VALUE"""),"GUINEE")</f>
        <v>GUINEE</v>
      </c>
      <c r="Q323" s="1"/>
      <c r="R323" s="1" t="str">
        <f ca="1">IFERROR(__xludf.DUMMYFUNCTION("""COMPUTED_VALUE"""),"marguerite.kourouma@lfjpsaly.org")</f>
        <v>marguerite.kourouma@lfjpsaly.org</v>
      </c>
      <c r="S323" s="1" t="str">
        <f ca="1">IFERROR(__xludf.DUMMYFUNCTION("""COMPUTED_VALUE"""),"+221 77 692 23 80")</f>
        <v>+221 77 692 23 80</v>
      </c>
      <c r="T323" s="1" t="str">
        <f ca="1">IFERROR(__xludf.DUMMYFUNCTION("""COMPUTED_VALUE"""),"KOUROUMA Aboubacar Sidiki")</f>
        <v>KOUROUMA Aboubacar Sidiki</v>
      </c>
      <c r="U323" s="1" t="str">
        <f ca="1">IFERROR(__xludf.DUMMYFUNCTION("""COMPUTED_VALUE"""),"CAMARA Aminata")</f>
        <v>CAMARA Aminata</v>
      </c>
      <c r="V323" s="1" t="str">
        <f ca="1">IFERROR(__xludf.DUMMYFUNCTION("""COMPUTED_VALUE"""),"askourouma2019@gmail.com")</f>
        <v>askourouma2019@gmail.com</v>
      </c>
      <c r="W323" s="1" t="str">
        <f ca="1">IFERROR(__xludf.DUMMYFUNCTION("""COMPUTED_VALUE"""),"askourouma2019@gmail.com")</f>
        <v>askourouma2019@gmail.com</v>
      </c>
      <c r="X323" s="1" t="str">
        <f ca="1">IFERROR(__xludf.DUMMYFUNCTION("""COMPUTED_VALUE"""),"+221 78 385 11 03")</f>
        <v>+221 78 385 11 03</v>
      </c>
      <c r="Y323" s="1" t="str">
        <f ca="1">IFERROR(__xludf.DUMMYFUNCTION("""COMPUTED_VALUE"""),"+221 78 385 11 03")</f>
        <v>+221 78 385 11 03</v>
      </c>
      <c r="Z323" s="1" t="str">
        <f ca="1">IFERROR(__xludf.DUMMYFUNCTION("""COMPUTED_VALUE"""),"+221 78 385 11 03")</f>
        <v>+221 78 385 11 03</v>
      </c>
      <c r="AA323" s="1" t="str">
        <f ca="1">IFERROR(__xludf.DUMMYFUNCTION("""COMPUTED_VALUE"""),"+221 78 385 11 03")</f>
        <v>+221 78 385 11 03</v>
      </c>
      <c r="AB323" s="2">
        <f ca="1">IFERROR(__xludf.DUMMYFUNCTION("""COMPUTED_VALUE"""),24217)</f>
        <v>24217</v>
      </c>
      <c r="AC323" s="2">
        <f ca="1">IFERROR(__xludf.DUMMYFUNCTION("""COMPUTED_VALUE"""),33876)</f>
        <v>33876</v>
      </c>
      <c r="AD323" s="1" t="str">
        <f ca="1">IFERROR(__xludf.DUMMYFUNCTION("""COMPUTED_VALUE"""),"PERE")</f>
        <v>PERE</v>
      </c>
      <c r="AE323" s="1" t="str">
        <f ca="1">IFERROR(__xludf.DUMMYFUNCTION("""COMPUTED_VALUE"""),"AUTRE LIEN")</f>
        <v>AUTRE LIEN</v>
      </c>
      <c r="AF323" s="1" t="str">
        <f ca="1">IFERROR(__xludf.DUMMYFUNCTION("""COMPUTED_VALUE"""),"GUINEE")</f>
        <v>GUINEE</v>
      </c>
      <c r="AG323" s="1" t="str">
        <f ca="1">IFERROR(__xludf.DUMMYFUNCTION("""COMPUTED_VALUE"""),"GUINEE")</f>
        <v>GUINEE</v>
      </c>
      <c r="AH323" s="1"/>
      <c r="AI323" s="1"/>
      <c r="AJ323" s="1" t="str">
        <f ca="1">IFERROR(__xludf.DUMMYFUNCTION("""COMPUTED_VALUE"""),"F1402")</f>
        <v>F1402</v>
      </c>
      <c r="AK323" s="1" t="str">
        <f ca="1">IFERROR(__xludf.DUMMYFUNCTION("""COMPUTED_VALUE"""),"Marié(e)")</f>
        <v>Marié(e)</v>
      </c>
      <c r="AL323" s="1" t="str">
        <f ca="1">IFERROR(__xludf.DUMMYFUNCTION("""COMPUTED_VALUE"""),"Marié(e)")</f>
        <v>Marié(e)</v>
      </c>
      <c r="AM323" s="1" t="str">
        <f ca="1">IFERROR(__xludf.DUMMYFUNCTION("""COMPUTED_VALUE"""),"F1402")</f>
        <v>F1402</v>
      </c>
    </row>
    <row r="324" spans="1:39" ht="13" x14ac:dyDescent="0.15">
      <c r="A324" s="1" t="str">
        <f ca="1">IFERROR(__xludf.DUMMYFUNCTION("""COMPUTED_VALUE"""),"LABBE Mathis Alain Latyr")</f>
        <v>LABBE Mathis Alain Latyr</v>
      </c>
      <c r="B324" s="1" t="str">
        <f ca="1">IFERROR(__xludf.DUMMYFUNCTION("""COMPUTED_VALUE"""),"LABBE")</f>
        <v>LABBE</v>
      </c>
      <c r="C324" s="1" t="str">
        <f ca="1">IFERROR(__xludf.DUMMYFUNCTION("""COMPUTED_VALUE"""),"Mathis Alain Latyr")</f>
        <v>Mathis Alain Latyr</v>
      </c>
      <c r="D324" s="1" t="str">
        <f ca="1">IFERROR(__xludf.DUMMYFUNCTION("""COMPUTED_VALUE"""),"1403E1")</f>
        <v>1403E1</v>
      </c>
      <c r="E324" s="2">
        <f ca="1">IFERROR(__xludf.DUMMYFUNCTION("""COMPUTED_VALUE"""),42293)</f>
        <v>42293</v>
      </c>
      <c r="F324" s="1" t="str">
        <f ca="1">IFERROR(__xludf.DUMMYFUNCTION("""COMPUTED_VALUE"""),"CM1A")</f>
        <v>CM1A</v>
      </c>
      <c r="G324" s="1" t="str">
        <f ca="1">IFERROR(__xludf.DUMMYFUNCTION("""COMPUTED_VALUE"""),"CM1")</f>
        <v>CM1</v>
      </c>
      <c r="H324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324" s="1"/>
      <c r="J324" s="1"/>
      <c r="K324" s="1"/>
      <c r="L324" s="1"/>
      <c r="M324" s="1"/>
      <c r="N324" s="1" t="str">
        <f ca="1">IFERROR(__xludf.DUMMYFUNCTION("""COMPUTED_VALUE"""),"Garçon")</f>
        <v>Garçon</v>
      </c>
      <c r="O324" s="1"/>
      <c r="P324" s="1" t="str">
        <f ca="1">IFERROR(__xludf.DUMMYFUNCTION("""COMPUTED_VALUE"""),"FRANCE")</f>
        <v>FRANCE</v>
      </c>
      <c r="Q324" s="1"/>
      <c r="R324" s="1"/>
      <c r="S324" s="1"/>
      <c r="T324" s="1" t="str">
        <f ca="1">IFERROR(__xludf.DUMMYFUNCTION("""COMPUTED_VALUE"""),"NDOUR Louise Seynabou")</f>
        <v>NDOUR Louise Seynabou</v>
      </c>
      <c r="U324" s="1"/>
      <c r="V324" s="1" t="str">
        <f ca="1">IFERROR(__xludf.DUMMYFUNCTION("""COMPUTED_VALUE"""),"louisendour07091993@gmail.com")</f>
        <v>louisendour07091993@gmail.com</v>
      </c>
      <c r="W324" s="1"/>
      <c r="X324" s="1" t="str">
        <f ca="1">IFERROR(__xludf.DUMMYFUNCTION("""COMPUTED_VALUE"""),"+221 77 848 72 15")</f>
        <v>+221 77 848 72 15</v>
      </c>
      <c r="Y324" s="1"/>
      <c r="Z324" s="1" t="str">
        <f ca="1">IFERROR(__xludf.DUMMYFUNCTION("""COMPUTED_VALUE"""),"+221")</f>
        <v>+221</v>
      </c>
      <c r="AA324" s="1"/>
      <c r="AB324" s="2">
        <f ca="1">IFERROR(__xludf.DUMMYFUNCTION("""COMPUTED_VALUE"""),34219)</f>
        <v>34219</v>
      </c>
      <c r="AC324" s="1"/>
      <c r="AD324" s="1" t="str">
        <f ca="1">IFERROR(__xludf.DUMMYFUNCTION("""COMPUTED_VALUE"""),"MERE")</f>
        <v>MERE</v>
      </c>
      <c r="AE324" s="1"/>
      <c r="AF324" s="1" t="str">
        <f ca="1">IFERROR(__xludf.DUMMYFUNCTION("""COMPUTED_VALUE"""),"SENEGAL")</f>
        <v>SENEGAL</v>
      </c>
      <c r="AG324" s="1"/>
      <c r="AH324" s="1" t="str">
        <f ca="1">IFERROR(__xludf.DUMMYFUNCTION("""COMPUTED_VALUE"""),"SENEGAL")</f>
        <v>SENEGAL</v>
      </c>
      <c r="AI324" s="1"/>
      <c r="AJ324" s="1" t="str">
        <f ca="1">IFERROR(__xludf.DUMMYFUNCTION("""COMPUTED_VALUE"""),"F1403")</f>
        <v>F1403</v>
      </c>
      <c r="AK324" s="1" t="str">
        <f ca="1">IFERROR(__xludf.DUMMYFUNCTION("""COMPUTED_VALUE"""),"Séparé(e)")</f>
        <v>Séparé(e)</v>
      </c>
      <c r="AL324" s="1"/>
      <c r="AM324" s="1" t="str">
        <f ca="1">IFERROR(__xludf.DUMMYFUNCTION("""COMPUTED_VALUE"""),"F1403")</f>
        <v>F1403</v>
      </c>
    </row>
    <row r="325" spans="1:39" ht="13" x14ac:dyDescent="0.15">
      <c r="A325" s="1" t="str">
        <f ca="1">IFERROR(__xludf.DUMMYFUNCTION("""COMPUTED_VALUE"""),"LABBE Timéo André Gustave")</f>
        <v>LABBE Timéo André Gustave</v>
      </c>
      <c r="B325" s="1" t="str">
        <f ca="1">IFERROR(__xludf.DUMMYFUNCTION("""COMPUTED_VALUE"""),"LABBE")</f>
        <v>LABBE</v>
      </c>
      <c r="C325" s="1" t="str">
        <f ca="1">IFERROR(__xludf.DUMMYFUNCTION("""COMPUTED_VALUE"""),"Timéo André Gustave")</f>
        <v>Timéo André Gustave</v>
      </c>
      <c r="D325" s="1" t="str">
        <f ca="1">IFERROR(__xludf.DUMMYFUNCTION("""COMPUTED_VALUE"""),"1403E2")</f>
        <v>1403E2</v>
      </c>
      <c r="E325" s="2">
        <f ca="1">IFERROR(__xludf.DUMMYFUNCTION("""COMPUTED_VALUE"""),43102)</f>
        <v>43102</v>
      </c>
      <c r="F325" s="1" t="str">
        <f ca="1">IFERROR(__xludf.DUMMYFUNCTION("""COMPUTED_VALUE"""),"CE1B")</f>
        <v>CE1B</v>
      </c>
      <c r="G325" s="1" t="str">
        <f ca="1">IFERROR(__xludf.DUMMYFUNCTION("""COMPUTED_VALUE"""),"CE1")</f>
        <v>CE1</v>
      </c>
      <c r="H325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325" s="1"/>
      <c r="J325" s="1"/>
      <c r="K325" s="1"/>
      <c r="L325" s="1"/>
      <c r="M325" s="1"/>
      <c r="N325" s="1" t="str">
        <f ca="1">IFERROR(__xludf.DUMMYFUNCTION("""COMPUTED_VALUE"""),"Garçon")</f>
        <v>Garçon</v>
      </c>
      <c r="O325" s="1"/>
      <c r="P325" s="1" t="str">
        <f ca="1">IFERROR(__xludf.DUMMYFUNCTION("""COMPUTED_VALUE"""),"FRANCE")</f>
        <v>FRANCE</v>
      </c>
      <c r="Q325" s="1"/>
      <c r="R325" s="1"/>
      <c r="S325" s="1"/>
      <c r="T325" s="1" t="str">
        <f ca="1">IFERROR(__xludf.DUMMYFUNCTION("""COMPUTED_VALUE"""),"NDOUR Louise Seynabou")</f>
        <v>NDOUR Louise Seynabou</v>
      </c>
      <c r="U325" s="1"/>
      <c r="V325" s="1" t="str">
        <f ca="1">IFERROR(__xludf.DUMMYFUNCTION("""COMPUTED_VALUE"""),"louisendour07091993@gmail.com")</f>
        <v>louisendour07091993@gmail.com</v>
      </c>
      <c r="W325" s="1"/>
      <c r="X325" s="1" t="str">
        <f ca="1">IFERROR(__xludf.DUMMYFUNCTION("""COMPUTED_VALUE"""),"+221 77 848 72 15")</f>
        <v>+221 77 848 72 15</v>
      </c>
      <c r="Y325" s="1"/>
      <c r="Z325" s="1" t="str">
        <f ca="1">IFERROR(__xludf.DUMMYFUNCTION("""COMPUTED_VALUE"""),"+221")</f>
        <v>+221</v>
      </c>
      <c r="AA325" s="1"/>
      <c r="AB325" s="2">
        <f ca="1">IFERROR(__xludf.DUMMYFUNCTION("""COMPUTED_VALUE"""),34219)</f>
        <v>34219</v>
      </c>
      <c r="AC325" s="1"/>
      <c r="AD325" s="1" t="str">
        <f ca="1">IFERROR(__xludf.DUMMYFUNCTION("""COMPUTED_VALUE"""),"MERE")</f>
        <v>MERE</v>
      </c>
      <c r="AE325" s="1"/>
      <c r="AF325" s="1" t="str">
        <f ca="1">IFERROR(__xludf.DUMMYFUNCTION("""COMPUTED_VALUE"""),"SENEGAL")</f>
        <v>SENEGAL</v>
      </c>
      <c r="AG325" s="1"/>
      <c r="AH325" s="1" t="str">
        <f ca="1">IFERROR(__xludf.DUMMYFUNCTION("""COMPUTED_VALUE"""),"SENEGAL")</f>
        <v>SENEGAL</v>
      </c>
      <c r="AI325" s="1"/>
      <c r="AJ325" s="1" t="str">
        <f ca="1">IFERROR(__xludf.DUMMYFUNCTION("""COMPUTED_VALUE"""),"F1403")</f>
        <v>F1403</v>
      </c>
      <c r="AK325" s="1" t="str">
        <f ca="1">IFERROR(__xludf.DUMMYFUNCTION("""COMPUTED_VALUE"""),"Séparé(e)")</f>
        <v>Séparé(e)</v>
      </c>
      <c r="AL325" s="1"/>
      <c r="AM325" s="1" t="str">
        <f ca="1">IFERROR(__xludf.DUMMYFUNCTION("""COMPUTED_VALUE"""),"F1403")</f>
        <v>F1403</v>
      </c>
    </row>
    <row r="326" spans="1:39" ht="13" x14ac:dyDescent="0.15">
      <c r="A326" s="1" t="str">
        <f ca="1">IFERROR(__xludf.DUMMYFUNCTION("""COMPUTED_VALUE"""),"LAFITTE Jade")</f>
        <v>LAFITTE Jade</v>
      </c>
      <c r="B326" s="1" t="str">
        <f ca="1">IFERROR(__xludf.DUMMYFUNCTION("""COMPUTED_VALUE"""),"LAFITTE")</f>
        <v>LAFITTE</v>
      </c>
      <c r="C326" s="1" t="str">
        <f ca="1">IFERROR(__xludf.DUMMYFUNCTION("""COMPUTED_VALUE"""),"Jade")</f>
        <v>Jade</v>
      </c>
      <c r="D326" s="1" t="str">
        <f ca="1">IFERROR(__xludf.DUMMYFUNCTION("""COMPUTED_VALUE"""),"1404E1")</f>
        <v>1404E1</v>
      </c>
      <c r="E326" s="2">
        <f ca="1">IFERROR(__xludf.DUMMYFUNCTION("""COMPUTED_VALUE"""),41235)</f>
        <v>41235</v>
      </c>
      <c r="F326" s="1" t="str">
        <f ca="1">IFERROR(__xludf.DUMMYFUNCTION("""COMPUTED_VALUE"""),"5EME1")</f>
        <v>5EME1</v>
      </c>
      <c r="G326" s="1" t="str">
        <f ca="1">IFERROR(__xludf.DUMMYFUNCTION("""COMPUTED_VALUE"""),"5ème")</f>
        <v>5ème</v>
      </c>
      <c r="H326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326" s="1" t="str">
        <f ca="1">IFERROR(__xludf.DUMMYFUNCTION("""COMPUTED_VALUE"""),"LVA Anglais")</f>
        <v>LVA Anglais</v>
      </c>
      <c r="J326" s="1" t="str">
        <f ca="1">IFERROR(__xludf.DUMMYFUNCTION("""COMPUTED_VALUE"""),"LVB Espagnol")</f>
        <v>LVB Espagnol</v>
      </c>
      <c r="K326" s="1"/>
      <c r="L326" s="1"/>
      <c r="M326" s="1"/>
      <c r="N326" s="1" t="str">
        <f ca="1">IFERROR(__xludf.DUMMYFUNCTION("""COMPUTED_VALUE"""),"Fille")</f>
        <v>Fille</v>
      </c>
      <c r="O326" s="1"/>
      <c r="P326" s="1" t="str">
        <f ca="1">IFERROR(__xludf.DUMMYFUNCTION("""COMPUTED_VALUE"""),"FRANCE")</f>
        <v>FRANCE</v>
      </c>
      <c r="Q326" s="1" t="str">
        <f ca="1">IFERROR(__xludf.DUMMYFUNCTION("""COMPUTED_VALUE"""),"SENEGAL")</f>
        <v>SENEGAL</v>
      </c>
      <c r="R326" s="1" t="str">
        <f ca="1">IFERROR(__xludf.DUMMYFUNCTION("""COMPUTED_VALUE"""),"jade.lafitte@lfjpsaly.org")</f>
        <v>jade.lafitte@lfjpsaly.org</v>
      </c>
      <c r="S326" s="1"/>
      <c r="T326" s="1" t="str">
        <f ca="1">IFERROR(__xludf.DUMMYFUNCTION("""COMPUTED_VALUE"""),"LAFITTE Babou Seynabou")</f>
        <v>LAFITTE Babou Seynabou</v>
      </c>
      <c r="U326" s="1" t="str">
        <f ca="1">IFERROR(__xludf.DUMMYFUNCTION("""COMPUTED_VALUE"""),"LAFITTE Patrick")</f>
        <v>LAFITTE Patrick</v>
      </c>
      <c r="V326" s="1" t="str">
        <f ca="1">IFERROR(__xludf.DUMMYFUNCTION("""COMPUTED_VALUE"""),"lafittezeina@outlook.fr")</f>
        <v>lafittezeina@outlook.fr</v>
      </c>
      <c r="W326" s="1" t="str">
        <f ca="1">IFERROR(__xludf.DUMMYFUNCTION("""COMPUTED_VALUE"""),"lafittepatrick@hotmail.fr")</f>
        <v>lafittepatrick@hotmail.fr</v>
      </c>
      <c r="X326" s="1" t="str">
        <f ca="1">IFERROR(__xludf.DUMMYFUNCTION("""COMPUTED_VALUE"""),"+221 77 579 54 65")</f>
        <v>+221 77 579 54 65</v>
      </c>
      <c r="Y326" s="1" t="str">
        <f ca="1">IFERROR(__xludf.DUMMYFUNCTION("""COMPUTED_VALUE"""),"+221 77 378 66 07")</f>
        <v>+221 77 378 66 07</v>
      </c>
      <c r="Z326" s="1" t="str">
        <f ca="1">IFERROR(__xludf.DUMMYFUNCTION("""COMPUTED_VALUE"""),"+221")</f>
        <v>+221</v>
      </c>
      <c r="AA326" s="1" t="str">
        <f ca="1">IFERROR(__xludf.DUMMYFUNCTION("""COMPUTED_VALUE"""),"+221")</f>
        <v>+221</v>
      </c>
      <c r="AB326" s="2">
        <f ca="1">IFERROR(__xludf.DUMMYFUNCTION("""COMPUTED_VALUE"""),27456)</f>
        <v>27456</v>
      </c>
      <c r="AC326" s="2">
        <f ca="1">IFERROR(__xludf.DUMMYFUNCTION("""COMPUTED_VALUE"""),20457)</f>
        <v>20457</v>
      </c>
      <c r="AD326" s="1" t="str">
        <f ca="1">IFERROR(__xludf.DUMMYFUNCTION("""COMPUTED_VALUE"""),"MERE")</f>
        <v>MERE</v>
      </c>
      <c r="AE326" s="1" t="str">
        <f ca="1">IFERROR(__xludf.DUMMYFUNCTION("""COMPUTED_VALUE"""),"PERE")</f>
        <v>PERE</v>
      </c>
      <c r="AF326" s="1" t="str">
        <f ca="1">IFERROR(__xludf.DUMMYFUNCTION("""COMPUTED_VALUE"""),"SENEGAL")</f>
        <v>SENEGAL</v>
      </c>
      <c r="AG326" s="1" t="str">
        <f ca="1">IFERROR(__xludf.DUMMYFUNCTION("""COMPUTED_VALUE"""),"FRANCE")</f>
        <v>FRANCE</v>
      </c>
      <c r="AH326" s="1" t="str">
        <f ca="1">IFERROR(__xludf.DUMMYFUNCTION("""COMPUTED_VALUE"""),"FRANCE")</f>
        <v>FRANCE</v>
      </c>
      <c r="AI326" s="1" t="str">
        <f ca="1">IFERROR(__xludf.DUMMYFUNCTION("""COMPUTED_VALUE"""),"SENEGAL")</f>
        <v>SENEGAL</v>
      </c>
      <c r="AJ326" s="1" t="str">
        <f ca="1">IFERROR(__xludf.DUMMYFUNCTION("""COMPUTED_VALUE"""),"F1404")</f>
        <v>F1404</v>
      </c>
      <c r="AK326" s="1" t="str">
        <f ca="1">IFERROR(__xludf.DUMMYFUNCTION("""COMPUTED_VALUE"""),"Marié(e)")</f>
        <v>Marié(e)</v>
      </c>
      <c r="AL326" s="1" t="str">
        <f ca="1">IFERROR(__xludf.DUMMYFUNCTION("""COMPUTED_VALUE"""),"Marié(e)")</f>
        <v>Marié(e)</v>
      </c>
      <c r="AM326" s="1" t="str">
        <f ca="1">IFERROR(__xludf.DUMMYFUNCTION("""COMPUTED_VALUE"""),"F1404")</f>
        <v>F1404</v>
      </c>
    </row>
    <row r="327" spans="1:39" ht="13" x14ac:dyDescent="0.15">
      <c r="A327" s="1" t="str">
        <f ca="1">IFERROR(__xludf.DUMMYFUNCTION("""COMPUTED_VALUE"""),"LAH Adil")</f>
        <v>LAH Adil</v>
      </c>
      <c r="B327" s="1" t="str">
        <f ca="1">IFERROR(__xludf.DUMMYFUNCTION("""COMPUTED_VALUE"""),"LAH")</f>
        <v>LAH</v>
      </c>
      <c r="C327" s="1" t="str">
        <f ca="1">IFERROR(__xludf.DUMMYFUNCTION("""COMPUTED_VALUE"""),"Adil")</f>
        <v>Adil</v>
      </c>
      <c r="D327" s="1" t="str">
        <f ca="1">IFERROR(__xludf.DUMMYFUNCTION("""COMPUTED_VALUE"""),"1405E1")</f>
        <v>1405E1</v>
      </c>
      <c r="E327" s="2">
        <f ca="1">IFERROR(__xludf.DUMMYFUNCTION("""COMPUTED_VALUE"""),41799)</f>
        <v>41799</v>
      </c>
      <c r="F327" s="1" t="str">
        <f ca="1">IFERROR(__xludf.DUMMYFUNCTION("""COMPUTED_VALUE"""),"5EME1")</f>
        <v>5EME1</v>
      </c>
      <c r="G327" s="1" t="str">
        <f ca="1">IFERROR(__xludf.DUMMYFUNCTION("""COMPUTED_VALUE"""),"5ème")</f>
        <v>5ème</v>
      </c>
      <c r="H327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327" s="1" t="str">
        <f ca="1">IFERROR(__xludf.DUMMYFUNCTION("""COMPUTED_VALUE"""),"LVA Anglais")</f>
        <v>LVA Anglais</v>
      </c>
      <c r="J327" s="1" t="str">
        <f ca="1">IFERROR(__xludf.DUMMYFUNCTION("""COMPUTED_VALUE"""),"LVB Espagnol")</f>
        <v>LVB Espagnol</v>
      </c>
      <c r="K327" s="1"/>
      <c r="L327" s="1"/>
      <c r="M327" s="1"/>
      <c r="N327" s="1" t="str">
        <f ca="1">IFERROR(__xludf.DUMMYFUNCTION("""COMPUTED_VALUE"""),"Garçon")</f>
        <v>Garçon</v>
      </c>
      <c r="O327" s="1"/>
      <c r="P327" s="1" t="str">
        <f ca="1">IFERROR(__xludf.DUMMYFUNCTION("""COMPUTED_VALUE"""),"FRANCE")</f>
        <v>FRANCE</v>
      </c>
      <c r="Q327" s="1"/>
      <c r="R327" s="1" t="str">
        <f ca="1">IFERROR(__xludf.DUMMYFUNCTION("""COMPUTED_VALUE"""),"adil.lah@lfjpsaly.org")</f>
        <v>adil.lah@lfjpsaly.org</v>
      </c>
      <c r="S327" s="1"/>
      <c r="T327" s="1" t="str">
        <f ca="1">IFERROR(__xludf.DUMMYFUNCTION("""COMPUTED_VALUE"""),"LAH Amélie")</f>
        <v>LAH Amélie</v>
      </c>
      <c r="U327" s="1" t="str">
        <f ca="1">IFERROR(__xludf.DUMMYFUNCTION("""COMPUTED_VALUE"""),"LAH Amadou")</f>
        <v>LAH Amadou</v>
      </c>
      <c r="V327" s="1" t="str">
        <f ca="1">IFERROR(__xludf.DUMMYFUNCTION("""COMPUTED_VALUE"""),"ameliefaux@hotmail.com")</f>
        <v>ameliefaux@hotmail.com</v>
      </c>
      <c r="W327" s="1" t="str">
        <f ca="1">IFERROR(__xludf.DUMMYFUNCTION("""COMPUTED_VALUE"""),"amadoulah@hotmail.fr")</f>
        <v>amadoulah@hotmail.fr</v>
      </c>
      <c r="X327" s="1" t="str">
        <f ca="1">IFERROR(__xludf.DUMMYFUNCTION("""COMPUTED_VALUE"""),"+221 78 100 49 28")</f>
        <v>+221 78 100 49 28</v>
      </c>
      <c r="Y327" s="1" t="str">
        <f ca="1">IFERROR(__xludf.DUMMYFUNCTION("""COMPUTED_VALUE"""),"+221 77 889 29 48")</f>
        <v>+221 77 889 29 48</v>
      </c>
      <c r="Z327" s="1" t="str">
        <f ca="1">IFERROR(__xludf.DUMMYFUNCTION("""COMPUTED_VALUE"""),"+221")</f>
        <v>+221</v>
      </c>
      <c r="AA327" s="1" t="str">
        <f ca="1">IFERROR(__xludf.DUMMYFUNCTION("""COMPUTED_VALUE"""),"+221")</f>
        <v>+221</v>
      </c>
      <c r="AB327" s="2">
        <f ca="1">IFERROR(__xludf.DUMMYFUNCTION("""COMPUTED_VALUE"""),29797)</f>
        <v>29797</v>
      </c>
      <c r="AC327" s="2">
        <f ca="1">IFERROR(__xludf.DUMMYFUNCTION("""COMPUTED_VALUE"""),27433)</f>
        <v>27433</v>
      </c>
      <c r="AD327" s="1" t="str">
        <f ca="1">IFERROR(__xludf.DUMMYFUNCTION("""COMPUTED_VALUE"""),"MERE")</f>
        <v>MERE</v>
      </c>
      <c r="AE327" s="1" t="str">
        <f ca="1">IFERROR(__xludf.DUMMYFUNCTION("""COMPUTED_VALUE"""),"PERE")</f>
        <v>PERE</v>
      </c>
      <c r="AF327" s="1" t="str">
        <f ca="1">IFERROR(__xludf.DUMMYFUNCTION("""COMPUTED_VALUE"""),"FRANCE")</f>
        <v>FRANCE</v>
      </c>
      <c r="AG327" s="1" t="str">
        <f ca="1">IFERROR(__xludf.DUMMYFUNCTION("""COMPUTED_VALUE"""),"FRANCE")</f>
        <v>FRANCE</v>
      </c>
      <c r="AH327" s="1"/>
      <c r="AI327" s="1" t="str">
        <f ca="1">IFERROR(__xludf.DUMMYFUNCTION("""COMPUTED_VALUE"""),"SENEGAL")</f>
        <v>SENEGAL</v>
      </c>
      <c r="AJ327" s="1" t="str">
        <f ca="1">IFERROR(__xludf.DUMMYFUNCTION("""COMPUTED_VALUE"""),"F1405")</f>
        <v>F1405</v>
      </c>
      <c r="AK327" s="1" t="str">
        <f ca="1">IFERROR(__xludf.DUMMYFUNCTION("""COMPUTED_VALUE"""),"Marié(e)")</f>
        <v>Marié(e)</v>
      </c>
      <c r="AL327" s="1" t="str">
        <f ca="1">IFERROR(__xludf.DUMMYFUNCTION("""COMPUTED_VALUE"""),"Marié(e)")</f>
        <v>Marié(e)</v>
      </c>
      <c r="AM327" s="1" t="str">
        <f ca="1">IFERROR(__xludf.DUMMYFUNCTION("""COMPUTED_VALUE"""),"F1405")</f>
        <v>F1405</v>
      </c>
    </row>
    <row r="328" spans="1:39" ht="13" x14ac:dyDescent="0.15">
      <c r="A328" s="1" t="str">
        <f ca="1">IFERROR(__xludf.DUMMYFUNCTION("""COMPUTED_VALUE"""),"LAH Aïssa")</f>
        <v>LAH Aïssa</v>
      </c>
      <c r="B328" s="1" t="str">
        <f ca="1">IFERROR(__xludf.DUMMYFUNCTION("""COMPUTED_VALUE"""),"LAH")</f>
        <v>LAH</v>
      </c>
      <c r="C328" s="1" t="str">
        <f ca="1">IFERROR(__xludf.DUMMYFUNCTION("""COMPUTED_VALUE"""),"Aïssa")</f>
        <v>Aïssa</v>
      </c>
      <c r="D328" s="1" t="str">
        <f ca="1">IFERROR(__xludf.DUMMYFUNCTION("""COMPUTED_VALUE"""),"1405E2")</f>
        <v>1405E2</v>
      </c>
      <c r="E328" s="2">
        <f ca="1">IFERROR(__xludf.DUMMYFUNCTION("""COMPUTED_VALUE"""),40060)</f>
        <v>40060</v>
      </c>
      <c r="F328" s="1" t="str">
        <f ca="1">IFERROR(__xludf.DUMMYFUNCTION("""COMPUTED_VALUE"""),"1ERE1")</f>
        <v>1ERE1</v>
      </c>
      <c r="G328" s="1" t="str">
        <f ca="1">IFERROR(__xludf.DUMMYFUNCTION("""COMPUTED_VALUE"""),"1ère")</f>
        <v>1ère</v>
      </c>
      <c r="H328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328" s="1" t="str">
        <f ca="1">IFERROR(__xludf.DUMMYFUNCTION("""COMPUTED_VALUE"""),"LVA Anglais")</f>
        <v>LVA Anglais</v>
      </c>
      <c r="J328" s="1" t="str">
        <f ca="1">IFERROR(__xludf.DUMMYFUNCTION("""COMPUTED_VALUE"""),"LVB Espagnol")</f>
        <v>LVB Espagnol</v>
      </c>
      <c r="K328" s="1"/>
      <c r="L328" s="1"/>
      <c r="M328" s="1" t="str">
        <f ca="1">IFERROR(__xludf.DUMMYFUNCTION("""COMPUTED_VALUE"""),"SPE HGGSP, SPE MATHS, SPE SES")</f>
        <v>SPE HGGSP, SPE MATHS, SPE SES</v>
      </c>
      <c r="N328" s="1" t="str">
        <f ca="1">IFERROR(__xludf.DUMMYFUNCTION("""COMPUTED_VALUE"""),"Fille")</f>
        <v>Fille</v>
      </c>
      <c r="O328" s="1"/>
      <c r="P328" s="1" t="str">
        <f ca="1">IFERROR(__xludf.DUMMYFUNCTION("""COMPUTED_VALUE"""),"FRANCE")</f>
        <v>FRANCE</v>
      </c>
      <c r="Q328" s="1"/>
      <c r="R328" s="1" t="str">
        <f ca="1">IFERROR(__xludf.DUMMYFUNCTION("""COMPUTED_VALUE"""),"aissa.lah@lfjpsaly.org")</f>
        <v>aissa.lah@lfjpsaly.org</v>
      </c>
      <c r="S328" s="1" t="str">
        <f ca="1">IFERROR(__xludf.DUMMYFUNCTION("""COMPUTED_VALUE"""),"+221")</f>
        <v>+221</v>
      </c>
      <c r="T328" s="1" t="str">
        <f ca="1">IFERROR(__xludf.DUMMYFUNCTION("""COMPUTED_VALUE"""),"LAH Amélie")</f>
        <v>LAH Amélie</v>
      </c>
      <c r="U328" s="1" t="str">
        <f ca="1">IFERROR(__xludf.DUMMYFUNCTION("""COMPUTED_VALUE"""),"LAH Amadou")</f>
        <v>LAH Amadou</v>
      </c>
      <c r="V328" s="1" t="str">
        <f ca="1">IFERROR(__xludf.DUMMYFUNCTION("""COMPUTED_VALUE"""),"ameliefaux@hotmail.com")</f>
        <v>ameliefaux@hotmail.com</v>
      </c>
      <c r="W328" s="1" t="str">
        <f ca="1">IFERROR(__xludf.DUMMYFUNCTION("""COMPUTED_VALUE"""),"amadoulah@hotmail.fr")</f>
        <v>amadoulah@hotmail.fr</v>
      </c>
      <c r="X328" s="1" t="str">
        <f ca="1">IFERROR(__xludf.DUMMYFUNCTION("""COMPUTED_VALUE"""),"+221 78 100 49 28")</f>
        <v>+221 78 100 49 28</v>
      </c>
      <c r="Y328" s="1" t="str">
        <f ca="1">IFERROR(__xludf.DUMMYFUNCTION("""COMPUTED_VALUE"""),"+221 77 889 29 48")</f>
        <v>+221 77 889 29 48</v>
      </c>
      <c r="Z328" s="1" t="str">
        <f ca="1">IFERROR(__xludf.DUMMYFUNCTION("""COMPUTED_VALUE"""),"+221")</f>
        <v>+221</v>
      </c>
      <c r="AA328" s="1" t="str">
        <f ca="1">IFERROR(__xludf.DUMMYFUNCTION("""COMPUTED_VALUE"""),"+221")</f>
        <v>+221</v>
      </c>
      <c r="AB328" s="2">
        <f ca="1">IFERROR(__xludf.DUMMYFUNCTION("""COMPUTED_VALUE"""),29797)</f>
        <v>29797</v>
      </c>
      <c r="AC328" s="2">
        <f ca="1">IFERROR(__xludf.DUMMYFUNCTION("""COMPUTED_VALUE"""),27433)</f>
        <v>27433</v>
      </c>
      <c r="AD328" s="1" t="str">
        <f ca="1">IFERROR(__xludf.DUMMYFUNCTION("""COMPUTED_VALUE"""),"MERE")</f>
        <v>MERE</v>
      </c>
      <c r="AE328" s="1" t="str">
        <f ca="1">IFERROR(__xludf.DUMMYFUNCTION("""COMPUTED_VALUE"""),"PERE")</f>
        <v>PERE</v>
      </c>
      <c r="AF328" s="1" t="str">
        <f ca="1">IFERROR(__xludf.DUMMYFUNCTION("""COMPUTED_VALUE"""),"FRANCE")</f>
        <v>FRANCE</v>
      </c>
      <c r="AG328" s="1" t="str">
        <f ca="1">IFERROR(__xludf.DUMMYFUNCTION("""COMPUTED_VALUE"""),"FRANCE")</f>
        <v>FRANCE</v>
      </c>
      <c r="AH328" s="1"/>
      <c r="AI328" s="1" t="str">
        <f ca="1">IFERROR(__xludf.DUMMYFUNCTION("""COMPUTED_VALUE"""),"SENEGAL")</f>
        <v>SENEGAL</v>
      </c>
      <c r="AJ328" s="1" t="str">
        <f ca="1">IFERROR(__xludf.DUMMYFUNCTION("""COMPUTED_VALUE"""),"F1405")</f>
        <v>F1405</v>
      </c>
      <c r="AK328" s="1" t="str">
        <f ca="1">IFERROR(__xludf.DUMMYFUNCTION("""COMPUTED_VALUE"""),"Marié(e)")</f>
        <v>Marié(e)</v>
      </c>
      <c r="AL328" s="1" t="str">
        <f ca="1">IFERROR(__xludf.DUMMYFUNCTION("""COMPUTED_VALUE"""),"Marié(e)")</f>
        <v>Marié(e)</v>
      </c>
      <c r="AM328" s="1" t="str">
        <f ca="1">IFERROR(__xludf.DUMMYFUNCTION("""COMPUTED_VALUE"""),"F1405")</f>
        <v>F1405</v>
      </c>
    </row>
    <row r="329" spans="1:39" ht="13" x14ac:dyDescent="0.15">
      <c r="A329" s="1" t="str">
        <f ca="1">IFERROR(__xludf.DUMMYFUNCTION("""COMPUTED_VALUE"""),"LAM Magate Aïcha")</f>
        <v>LAM Magate Aïcha</v>
      </c>
      <c r="B329" s="1" t="str">
        <f ca="1">IFERROR(__xludf.DUMMYFUNCTION("""COMPUTED_VALUE"""),"LAM")</f>
        <v>LAM</v>
      </c>
      <c r="C329" s="1" t="str">
        <f ca="1">IFERROR(__xludf.DUMMYFUNCTION("""COMPUTED_VALUE"""),"Magate Aïcha")</f>
        <v>Magate Aïcha</v>
      </c>
      <c r="D329" s="1" t="str">
        <f ca="1">IFERROR(__xludf.DUMMYFUNCTION("""COMPUTED_VALUE"""),"11674S2274")</f>
        <v>11674S2274</v>
      </c>
      <c r="E329" s="2">
        <f ca="1">IFERROR(__xludf.DUMMYFUNCTION("""COMPUTED_VALUE"""),40043)</f>
        <v>40043</v>
      </c>
      <c r="F329" s="1" t="str">
        <f ca="1">IFERROR(__xludf.DUMMYFUNCTION("""COMPUTED_VALUE"""),"1ERE1")</f>
        <v>1ERE1</v>
      </c>
      <c r="G329" s="1" t="str">
        <f ca="1">IFERROR(__xludf.DUMMYFUNCTION("""COMPUTED_VALUE"""),"1ère")</f>
        <v>1ère</v>
      </c>
      <c r="H329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329" s="1" t="str">
        <f ca="1">IFERROR(__xludf.DUMMYFUNCTION("""COMPUTED_VALUE"""),"LVA Anglais")</f>
        <v>LVA Anglais</v>
      </c>
      <c r="J329" s="1" t="str">
        <f ca="1">IFERROR(__xludf.DUMMYFUNCTION("""COMPUTED_VALUE"""),"LVB Espagnol")</f>
        <v>LVB Espagnol</v>
      </c>
      <c r="K329" s="1"/>
      <c r="L329" s="1"/>
      <c r="M329" s="1" t="str">
        <f ca="1">IFERROR(__xludf.DUMMYFUNCTION("""COMPUTED_VALUE"""),"SPE HGGSP, SPE LLCE AMC, SPE SES")</f>
        <v>SPE HGGSP, SPE LLCE AMC, SPE SES</v>
      </c>
      <c r="N329" s="1" t="str">
        <f ca="1">IFERROR(__xludf.DUMMYFUNCTION("""COMPUTED_VALUE"""),"Garçon")</f>
        <v>Garçon</v>
      </c>
      <c r="O329" s="1"/>
      <c r="P329" s="1" t="str">
        <f ca="1">IFERROR(__xludf.DUMMYFUNCTION("""COMPUTED_VALUE"""),"SENEGAL")</f>
        <v>SENEGAL</v>
      </c>
      <c r="Q329" s="1"/>
      <c r="R329" s="1" t="str">
        <f ca="1">IFERROR(__xludf.DUMMYFUNCTION("""COMPUTED_VALUE"""),"magate.lam@lfjpsaly.org")</f>
        <v>magate.lam@lfjpsaly.org</v>
      </c>
      <c r="S329" s="1" t="str">
        <f ca="1">IFERROR(__xludf.DUMMYFUNCTION("""COMPUTED_VALUE"""),"+221 78 524 27 92")</f>
        <v>+221 78 524 27 92</v>
      </c>
      <c r="T329" s="1" t="str">
        <f ca="1">IFERROR(__xludf.DUMMYFUNCTION("""COMPUTED_VALUE"""),"DE Dior Bineta Marthe")</f>
        <v>DE Dior Bineta Marthe</v>
      </c>
      <c r="U329" s="1" t="str">
        <f ca="1">IFERROR(__xludf.DUMMYFUNCTION("""COMPUTED_VALUE"""),"LAM Adama")</f>
        <v>LAM Adama</v>
      </c>
      <c r="V329" s="1" t="str">
        <f ca="1">IFERROR(__xludf.DUMMYFUNCTION("""COMPUTED_VALUE"""),"thiofel@hotmail.com")</f>
        <v>thiofel@hotmail.com</v>
      </c>
      <c r="W329" s="1" t="str">
        <f ca="1">IFERROR(__xludf.DUMMYFUNCTION("""COMPUTED_VALUE"""),"adamalam@gmail.com")</f>
        <v>adamalam@gmail.com</v>
      </c>
      <c r="X329" s="1" t="str">
        <f ca="1">IFERROR(__xludf.DUMMYFUNCTION("""COMPUTED_VALUE"""),"+221 77 646 07 19")</f>
        <v>+221 77 646 07 19</v>
      </c>
      <c r="Y329" s="1" t="str">
        <f ca="1">IFERROR(__xludf.DUMMYFUNCTION("""COMPUTED_VALUE"""),"+221 77 637 57 26")</f>
        <v>+221 77 637 57 26</v>
      </c>
      <c r="Z329" s="1" t="str">
        <f ca="1">IFERROR(__xludf.DUMMYFUNCTION("""COMPUTED_VALUE"""),"+221 77 646 07 19")</f>
        <v>+221 77 646 07 19</v>
      </c>
      <c r="AA329" s="1" t="str">
        <f ca="1">IFERROR(__xludf.DUMMYFUNCTION("""COMPUTED_VALUE"""),"+221")</f>
        <v>+221</v>
      </c>
      <c r="AB329" s="2">
        <f ca="1">IFERROR(__xludf.DUMMYFUNCTION("""COMPUTED_VALUE"""),24046)</f>
        <v>24046</v>
      </c>
      <c r="AC329" s="2">
        <f ca="1">IFERROR(__xludf.DUMMYFUNCTION("""COMPUTED_VALUE"""),18993)</f>
        <v>18993</v>
      </c>
      <c r="AD329" s="1" t="str">
        <f ca="1">IFERROR(__xludf.DUMMYFUNCTION("""COMPUTED_VALUE"""),"MERE")</f>
        <v>MERE</v>
      </c>
      <c r="AE329" s="1" t="str">
        <f ca="1">IFERROR(__xludf.DUMMYFUNCTION("""COMPUTED_VALUE"""),"PERE")</f>
        <v>PERE</v>
      </c>
      <c r="AF329" s="1" t="str">
        <f ca="1">IFERROR(__xludf.DUMMYFUNCTION("""COMPUTED_VALUE"""),"SENEGAL")</f>
        <v>SENEGAL</v>
      </c>
      <c r="AG329" s="1" t="str">
        <f ca="1">IFERROR(__xludf.DUMMYFUNCTION("""COMPUTED_VALUE"""),"SENEGAL")</f>
        <v>SENEGAL</v>
      </c>
      <c r="AH329" s="1"/>
      <c r="AI329" s="1"/>
      <c r="AJ329" s="1" t="str">
        <f ca="1">IFERROR(__xludf.DUMMYFUNCTION("""COMPUTED_VALUE"""),"U11674")</f>
        <v>U11674</v>
      </c>
      <c r="AK329" s="1" t="str">
        <f ca="1">IFERROR(__xludf.DUMMYFUNCTION("""COMPUTED_VALUE"""),"Marié(e)")</f>
        <v>Marié(e)</v>
      </c>
      <c r="AL329" s="1" t="str">
        <f ca="1">IFERROR(__xludf.DUMMYFUNCTION("""COMPUTED_VALUE"""),"Marié(e)")</f>
        <v>Marié(e)</v>
      </c>
      <c r="AM329" s="1" t="str">
        <f ca="1">IFERROR(__xludf.DUMMYFUNCTION("""COMPUTED_VALUE"""),"U11674")</f>
        <v>U11674</v>
      </c>
    </row>
    <row r="330" spans="1:39" ht="13" x14ac:dyDescent="0.15">
      <c r="A330" s="1" t="str">
        <f ca="1">IFERROR(__xludf.DUMMYFUNCTION("""COMPUTED_VALUE"""),"LAMBERT Clara Noémie")</f>
        <v>LAMBERT Clara Noémie</v>
      </c>
      <c r="B330" s="1" t="str">
        <f ca="1">IFERROR(__xludf.DUMMYFUNCTION("""COMPUTED_VALUE"""),"LAMBERT")</f>
        <v>LAMBERT</v>
      </c>
      <c r="C330" s="1" t="str">
        <f ca="1">IFERROR(__xludf.DUMMYFUNCTION("""COMPUTED_VALUE"""),"Clara Noémie")</f>
        <v>Clara Noémie</v>
      </c>
      <c r="D330" s="1" t="str">
        <f ca="1">IFERROR(__xludf.DUMMYFUNCTION("""COMPUTED_VALUE"""),"1406E1")</f>
        <v>1406E1</v>
      </c>
      <c r="E330" s="2">
        <f ca="1">IFERROR(__xludf.DUMMYFUNCTION("""COMPUTED_VALUE"""),40063)</f>
        <v>40063</v>
      </c>
      <c r="F330" s="1" t="str">
        <f ca="1">IFERROR(__xludf.DUMMYFUNCTION("""COMPUTED_VALUE"""),"1ERE2")</f>
        <v>1ERE2</v>
      </c>
      <c r="G330" s="1" t="str">
        <f ca="1">IFERROR(__xludf.DUMMYFUNCTION("""COMPUTED_VALUE"""),"1ère")</f>
        <v>1ère</v>
      </c>
      <c r="H330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330" s="1" t="str">
        <f ca="1">IFERROR(__xludf.DUMMYFUNCTION("""COMPUTED_VALUE"""),"LVA Anglais")</f>
        <v>LVA Anglais</v>
      </c>
      <c r="J330" s="1" t="str">
        <f ca="1">IFERROR(__xludf.DUMMYFUNCTION("""COMPUTED_VALUE"""),"LVB Espagnol")</f>
        <v>LVB Espagnol</v>
      </c>
      <c r="K330" s="1"/>
      <c r="L330" s="1"/>
      <c r="M330" s="1" t="str">
        <f ca="1">IFERROR(__xludf.DUMMYFUNCTION("""COMPUTED_VALUE"""),"SPE MATHS, SPE SPC, SPE SVT")</f>
        <v>SPE MATHS, SPE SPC, SPE SVT</v>
      </c>
      <c r="N330" s="1" t="str">
        <f ca="1">IFERROR(__xludf.DUMMYFUNCTION("""COMPUTED_VALUE"""),"Fille")</f>
        <v>Fille</v>
      </c>
      <c r="O330" s="1"/>
      <c r="P330" s="1" t="str">
        <f ca="1">IFERROR(__xludf.DUMMYFUNCTION("""COMPUTED_VALUE"""),"FRANCE")</f>
        <v>FRANCE</v>
      </c>
      <c r="Q330" s="1" t="str">
        <f ca="1">IFERROR(__xludf.DUMMYFUNCTION("""COMPUTED_VALUE"""),"SENEGAL")</f>
        <v>SENEGAL</v>
      </c>
      <c r="R330" s="1" t="str">
        <f ca="1">IFERROR(__xludf.DUMMYFUNCTION("""COMPUTED_VALUE"""),"clara.lambert@lfjpsaly.org")</f>
        <v>clara.lambert@lfjpsaly.org</v>
      </c>
      <c r="S330" s="1" t="str">
        <f ca="1">IFERROR(__xludf.DUMMYFUNCTION("""COMPUTED_VALUE"""),"+221 77 509 30 97")</f>
        <v>+221 77 509 30 97</v>
      </c>
      <c r="T330" s="1" t="str">
        <f ca="1">IFERROR(__xludf.DUMMYFUNCTION("""COMPUTED_VALUE"""),"LAMBERT Francis")</f>
        <v>LAMBERT Francis</v>
      </c>
      <c r="U330" s="1" t="str">
        <f ca="1">IFERROR(__xludf.DUMMYFUNCTION("""COMPUTED_VALUE"""),"LAMBERT Marie-Paul")</f>
        <v>LAMBERT Marie-Paul</v>
      </c>
      <c r="V330" s="1" t="str">
        <f ca="1">IFERROR(__xludf.DUMMYFUNCTION("""COMPUTED_VALUE"""),"francis.lambert@dbmail.com")</f>
        <v>francis.lambert@dbmail.com</v>
      </c>
      <c r="W330" s="1" t="str">
        <f ca="1">IFERROR(__xludf.DUMMYFUNCTION("""COMPUTED_VALUE"""),"mariepaul0873@gmail.com")</f>
        <v>mariepaul0873@gmail.com</v>
      </c>
      <c r="X330" s="1" t="str">
        <f ca="1">IFERROR(__xludf.DUMMYFUNCTION("""COMPUTED_VALUE"""),"+221 77 429 34 33")</f>
        <v>+221 77 429 34 33</v>
      </c>
      <c r="Y330" s="1" t="str">
        <f ca="1">IFERROR(__xludf.DUMMYFUNCTION("""COMPUTED_VALUE"""),"+221")</f>
        <v>+221</v>
      </c>
      <c r="Z330" s="1" t="str">
        <f ca="1">IFERROR(__xludf.DUMMYFUNCTION("""COMPUTED_VALUE"""),"+221")</f>
        <v>+221</v>
      </c>
      <c r="AA330" s="1" t="str">
        <f ca="1">IFERROR(__xludf.DUMMYFUNCTION("""COMPUTED_VALUE"""),"+221")</f>
        <v>+221</v>
      </c>
      <c r="AB330" s="2">
        <f ca="1">IFERROR(__xludf.DUMMYFUNCTION("""COMPUTED_VALUE"""),16795)</f>
        <v>16795</v>
      </c>
      <c r="AC330" s="2">
        <f ca="1">IFERROR(__xludf.DUMMYFUNCTION("""COMPUTED_VALUE"""),26903)</f>
        <v>26903</v>
      </c>
      <c r="AD330" s="1" t="str">
        <f ca="1">IFERROR(__xludf.DUMMYFUNCTION("""COMPUTED_VALUE"""),"PERE")</f>
        <v>PERE</v>
      </c>
      <c r="AE330" s="1" t="str">
        <f ca="1">IFERROR(__xludf.DUMMYFUNCTION("""COMPUTED_VALUE"""),"MERE")</f>
        <v>MERE</v>
      </c>
      <c r="AF330" s="1" t="str">
        <f ca="1">IFERROR(__xludf.DUMMYFUNCTION("""COMPUTED_VALUE"""),"FRANCE")</f>
        <v>FRANCE</v>
      </c>
      <c r="AG330" s="1" t="str">
        <f ca="1">IFERROR(__xludf.DUMMYFUNCTION("""COMPUTED_VALUE"""),"FRANCE")</f>
        <v>FRANCE</v>
      </c>
      <c r="AH330" s="1" t="str">
        <f ca="1">IFERROR(__xludf.DUMMYFUNCTION("""COMPUTED_VALUE"""),"SENEGAL")</f>
        <v>SENEGAL</v>
      </c>
      <c r="AI330" s="1" t="str">
        <f ca="1">IFERROR(__xludf.DUMMYFUNCTION("""COMPUTED_VALUE"""),"SENEGAL")</f>
        <v>SENEGAL</v>
      </c>
      <c r="AJ330" s="1" t="str">
        <f ca="1">IFERROR(__xludf.DUMMYFUNCTION("""COMPUTED_VALUE"""),"F1406")</f>
        <v>F1406</v>
      </c>
      <c r="AK330" s="1" t="str">
        <f ca="1">IFERROR(__xludf.DUMMYFUNCTION("""COMPUTED_VALUE"""),"Marié(e)")</f>
        <v>Marié(e)</v>
      </c>
      <c r="AL330" s="1" t="str">
        <f ca="1">IFERROR(__xludf.DUMMYFUNCTION("""COMPUTED_VALUE"""),"Marié(e)")</f>
        <v>Marié(e)</v>
      </c>
      <c r="AM330" s="1" t="str">
        <f ca="1">IFERROR(__xludf.DUMMYFUNCTION("""COMPUTED_VALUE"""),"F1406")</f>
        <v>F1406</v>
      </c>
    </row>
    <row r="331" spans="1:39" ht="13" x14ac:dyDescent="0.15">
      <c r="A331" s="1" t="str">
        <f ca="1">IFERROR(__xludf.DUMMYFUNCTION("""COMPUTED_VALUE"""),"LANZETTI Luigi")</f>
        <v>LANZETTI Luigi</v>
      </c>
      <c r="B331" s="1" t="str">
        <f ca="1">IFERROR(__xludf.DUMMYFUNCTION("""COMPUTED_VALUE"""),"LANZETTI")</f>
        <v>LANZETTI</v>
      </c>
      <c r="C331" s="1" t="str">
        <f ca="1">IFERROR(__xludf.DUMMYFUNCTION("""COMPUTED_VALUE"""),"Luigi")</f>
        <v>Luigi</v>
      </c>
      <c r="D331" s="1" t="str">
        <f ca="1">IFERROR(__xludf.DUMMYFUNCTION("""COMPUTED_VALUE"""),"1407E1")</f>
        <v>1407E1</v>
      </c>
      <c r="E331" s="2">
        <f ca="1">IFERROR(__xludf.DUMMYFUNCTION("""COMPUTED_VALUE"""),39741)</f>
        <v>39741</v>
      </c>
      <c r="F331" s="1" t="str">
        <f ca="1">IFERROR(__xludf.DUMMYFUNCTION("""COMPUTED_VALUE"""),"TERMINALE2")</f>
        <v>TERMINALE2</v>
      </c>
      <c r="G331" s="1" t="str">
        <f ca="1">IFERROR(__xludf.DUMMYFUNCTION("""COMPUTED_VALUE"""),"Terminale")</f>
        <v>Terminale</v>
      </c>
      <c r="H331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331" s="1" t="str">
        <f ca="1">IFERROR(__xludf.DUMMYFUNCTION("""COMPUTED_VALUE"""),"LVA Anglais")</f>
        <v>LVA Anglais</v>
      </c>
      <c r="J331" s="1" t="str">
        <f ca="1">IFERROR(__xludf.DUMMYFUNCTION("""COMPUTED_VALUE"""),"LVB Espagnol")</f>
        <v>LVB Espagnol</v>
      </c>
      <c r="K331" s="1"/>
      <c r="L331" s="1"/>
      <c r="M331" s="1" t="str">
        <f ca="1">IFERROR(__xludf.DUMMYFUNCTION("""COMPUTED_VALUE"""),"SPE LLCE AMC, SPE SES")</f>
        <v>SPE LLCE AMC, SPE SES</v>
      </c>
      <c r="N331" s="1" t="str">
        <f ca="1">IFERROR(__xludf.DUMMYFUNCTION("""COMPUTED_VALUE"""),"Garçon")</f>
        <v>Garçon</v>
      </c>
      <c r="O331" s="1"/>
      <c r="P331" s="1" t="str">
        <f ca="1">IFERROR(__xludf.DUMMYFUNCTION("""COMPUTED_VALUE"""),"SENEGAL")</f>
        <v>SENEGAL</v>
      </c>
      <c r="Q331" s="1" t="str">
        <f ca="1">IFERROR(__xludf.DUMMYFUNCTION("""COMPUTED_VALUE"""),"ITALIE")</f>
        <v>ITALIE</v>
      </c>
      <c r="R331" s="1" t="str">
        <f ca="1">IFERROR(__xludf.DUMMYFUNCTION("""COMPUTED_VALUE"""),"luigi.lanzetti@lfjpsaly.org")</f>
        <v>luigi.lanzetti@lfjpsaly.org</v>
      </c>
      <c r="S331" s="1"/>
      <c r="T331" s="1" t="str">
        <f ca="1">IFERROR(__xludf.DUMMYFUNCTION("""COMPUTED_VALUE"""),"LANZETTI Adriano")</f>
        <v>LANZETTI Adriano</v>
      </c>
      <c r="U331" s="1" t="str">
        <f ca="1">IFERROR(__xludf.DUMMYFUNCTION("""COMPUTED_VALUE"""),"GUEYE Anta Cheikh")</f>
        <v>GUEYE Anta Cheikh</v>
      </c>
      <c r="V331" s="1" t="str">
        <f ca="1">IFERROR(__xludf.DUMMYFUNCTION("""COMPUTED_VALUE"""),"lanzetty@hotmail.com")</f>
        <v>lanzetty@hotmail.com</v>
      </c>
      <c r="W331" s="1" t="str">
        <f ca="1">IFERROR(__xludf.DUMMYFUNCTION("""COMPUTED_VALUE"""),"lanzetty@hotmail.com")</f>
        <v>lanzetty@hotmail.com</v>
      </c>
      <c r="X331" s="1" t="str">
        <f ca="1">IFERROR(__xludf.DUMMYFUNCTION("""COMPUTED_VALUE"""),"+221 77 887 87 89")</f>
        <v>+221 77 887 87 89</v>
      </c>
      <c r="Y331" s="1" t="str">
        <f ca="1">IFERROR(__xludf.DUMMYFUNCTION("""COMPUTED_VALUE"""),"+221 77 768 60 59")</f>
        <v>+221 77 768 60 59</v>
      </c>
      <c r="Z331" s="1"/>
      <c r="AA331" s="1"/>
      <c r="AB331" s="2">
        <f ca="1">IFERROR(__xludf.DUMMYFUNCTION("""COMPUTED_VALUE"""),39741)</f>
        <v>39741</v>
      </c>
      <c r="AC331" s="2">
        <f ca="1">IFERROR(__xludf.DUMMYFUNCTION("""COMPUTED_VALUE"""),23169)</f>
        <v>23169</v>
      </c>
      <c r="AD331" s="1" t="str">
        <f ca="1">IFERROR(__xludf.DUMMYFUNCTION("""COMPUTED_VALUE"""),"PERE")</f>
        <v>PERE</v>
      </c>
      <c r="AE331" s="1" t="str">
        <f ca="1">IFERROR(__xludf.DUMMYFUNCTION("""COMPUTED_VALUE"""),"MERE")</f>
        <v>MERE</v>
      </c>
      <c r="AF331" s="1" t="str">
        <f ca="1">IFERROR(__xludf.DUMMYFUNCTION("""COMPUTED_VALUE"""),"ITALIE")</f>
        <v>ITALIE</v>
      </c>
      <c r="AG331" s="1" t="str">
        <f ca="1">IFERROR(__xludf.DUMMYFUNCTION("""COMPUTED_VALUE"""),"SENEGAL")</f>
        <v>SENEGAL</v>
      </c>
      <c r="AH331" s="1"/>
      <c r="AI331" s="1"/>
      <c r="AJ331" s="1" t="str">
        <f ca="1">IFERROR(__xludf.DUMMYFUNCTION("""COMPUTED_VALUE"""),"F1407")</f>
        <v>F1407</v>
      </c>
      <c r="AK331" s="1" t="str">
        <f ca="1">IFERROR(__xludf.DUMMYFUNCTION("""COMPUTED_VALUE"""),"Marié(e)")</f>
        <v>Marié(e)</v>
      </c>
      <c r="AL331" s="1" t="str">
        <f ca="1">IFERROR(__xludf.DUMMYFUNCTION("""COMPUTED_VALUE"""),"Marié(e)")</f>
        <v>Marié(e)</v>
      </c>
      <c r="AM331" s="1" t="str">
        <f ca="1">IFERROR(__xludf.DUMMYFUNCTION("""COMPUTED_VALUE"""),"F1407")</f>
        <v>F1407</v>
      </c>
    </row>
    <row r="332" spans="1:39" ht="13" x14ac:dyDescent="0.15">
      <c r="A332" s="1" t="str">
        <f ca="1">IFERROR(__xludf.DUMMYFUNCTION("""COMPUTED_VALUE"""),"LARUE Shaina Mya Lina")</f>
        <v>LARUE Shaina Mya Lina</v>
      </c>
      <c r="B332" s="1" t="str">
        <f ca="1">IFERROR(__xludf.DUMMYFUNCTION("""COMPUTED_VALUE"""),"LARUE")</f>
        <v>LARUE</v>
      </c>
      <c r="C332" s="1" t="str">
        <f ca="1">IFERROR(__xludf.DUMMYFUNCTION("""COMPUTED_VALUE"""),"Shaina Mya Lina")</f>
        <v>Shaina Mya Lina</v>
      </c>
      <c r="D332" s="1" t="str">
        <f ca="1">IFERROR(__xludf.DUMMYFUNCTION("""COMPUTED_VALUE"""),"1238E3")</f>
        <v>1238E3</v>
      </c>
      <c r="E332" s="2">
        <f ca="1">IFERROR(__xludf.DUMMYFUNCTION("""COMPUTED_VALUE"""),43958)</f>
        <v>43958</v>
      </c>
      <c r="F332" s="1" t="str">
        <f ca="1">IFERROR(__xludf.DUMMYFUNCTION("""COMPUTED_VALUE"""),"Mat 2")</f>
        <v>Mat 2</v>
      </c>
      <c r="G332" s="1" t="str">
        <f ca="1">IFERROR(__xludf.DUMMYFUNCTION("""COMPUTED_VALUE"""),"GS")</f>
        <v>GS</v>
      </c>
      <c r="H332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332" s="1"/>
      <c r="J332" s="1"/>
      <c r="K332" s="1"/>
      <c r="L332" s="1"/>
      <c r="M332" s="1"/>
      <c r="N332" s="1" t="str">
        <f ca="1">IFERROR(__xludf.DUMMYFUNCTION("""COMPUTED_VALUE"""),"Fille")</f>
        <v>Fille</v>
      </c>
      <c r="O332" s="1"/>
      <c r="P332" s="1" t="str">
        <f ca="1">IFERROR(__xludf.DUMMYFUNCTION("""COMPUTED_VALUE"""),"FRANCE")</f>
        <v>FRANCE</v>
      </c>
      <c r="Q332" s="1"/>
      <c r="R332" s="1"/>
      <c r="S332" s="1"/>
      <c r="T332" s="1" t="str">
        <f ca="1">IFERROR(__xludf.DUMMYFUNCTION("""COMPUTED_VALUE"""),"SOW Seynabou")</f>
        <v>SOW Seynabou</v>
      </c>
      <c r="U332" s="1" t="str">
        <f ca="1">IFERROR(__xludf.DUMMYFUNCTION("""COMPUTED_VALUE"""),"DELSOL Marc")</f>
        <v>DELSOL Marc</v>
      </c>
      <c r="V332" s="1" t="str">
        <f ca="1">IFERROR(__xludf.DUMMYFUNCTION("""COMPUTED_VALUE"""),"nabousow10@gmail.com")</f>
        <v>nabousow10@gmail.com</v>
      </c>
      <c r="W332" s="1" t="str">
        <f ca="1">IFERROR(__xludf.DUMMYFUNCTION("""COMPUTED_VALUE"""),"pedromarco635@gmail.com")</f>
        <v>pedromarco635@gmail.com</v>
      </c>
      <c r="X332" s="1" t="str">
        <f ca="1">IFERROR(__xludf.DUMMYFUNCTION("""COMPUTED_VALUE"""),"+221 77 698 06 74")</f>
        <v>+221 77 698 06 74</v>
      </c>
      <c r="Y332" s="1" t="str">
        <f ca="1">IFERROR(__xludf.DUMMYFUNCTION("""COMPUTED_VALUE"""),"+221 77 639 13 93")</f>
        <v>+221 77 639 13 93</v>
      </c>
      <c r="Z332" s="1" t="str">
        <f ca="1">IFERROR(__xludf.DUMMYFUNCTION("""COMPUTED_VALUE"""),"+221")</f>
        <v>+221</v>
      </c>
      <c r="AA332" s="1" t="str">
        <f ca="1">IFERROR(__xludf.DUMMYFUNCTION("""COMPUTED_VALUE"""),"+221 77 639 12 93")</f>
        <v>+221 77 639 12 93</v>
      </c>
      <c r="AB332" s="2">
        <f ca="1">IFERROR(__xludf.DUMMYFUNCTION("""COMPUTED_VALUE"""),33880)</f>
        <v>33880</v>
      </c>
      <c r="AC332" s="2">
        <f ca="1">IFERROR(__xludf.DUMMYFUNCTION("""COMPUTED_VALUE"""),19933)</f>
        <v>19933</v>
      </c>
      <c r="AD332" s="1" t="str">
        <f ca="1">IFERROR(__xludf.DUMMYFUNCTION("""COMPUTED_VALUE"""),"MERE")</f>
        <v>MERE</v>
      </c>
      <c r="AE332" s="1" t="str">
        <f ca="1">IFERROR(__xludf.DUMMYFUNCTION("""COMPUTED_VALUE"""),"AUTRE LIEN")</f>
        <v>AUTRE LIEN</v>
      </c>
      <c r="AF332" s="1" t="str">
        <f ca="1">IFERROR(__xludf.DUMMYFUNCTION("""COMPUTED_VALUE"""),"SENEGAL")</f>
        <v>SENEGAL</v>
      </c>
      <c r="AG332" s="1" t="str">
        <f ca="1">IFERROR(__xludf.DUMMYFUNCTION("""COMPUTED_VALUE"""),"FRANCE")</f>
        <v>FRANCE</v>
      </c>
      <c r="AH332" s="1"/>
      <c r="AI332" s="1"/>
      <c r="AJ332" s="1" t="str">
        <f ca="1">IFERROR(__xludf.DUMMYFUNCTION("""COMPUTED_VALUE"""),"F1238")</f>
        <v>F1238</v>
      </c>
      <c r="AK332" s="1" t="str">
        <f ca="1">IFERROR(__xludf.DUMMYFUNCTION("""COMPUTED_VALUE"""),"Célibataire")</f>
        <v>Célibataire</v>
      </c>
      <c r="AL332" s="1" t="str">
        <f ca="1">IFERROR(__xludf.DUMMYFUNCTION("""COMPUTED_VALUE"""),"Divorcée")</f>
        <v>Divorcée</v>
      </c>
      <c r="AM332" s="1" t="str">
        <f ca="1">IFERROR(__xludf.DUMMYFUNCTION("""COMPUTED_VALUE"""),"F1238")</f>
        <v>F1238</v>
      </c>
    </row>
    <row r="333" spans="1:39" ht="13" x14ac:dyDescent="0.15">
      <c r="A333" s="1" t="str">
        <f ca="1">IFERROR(__xludf.DUMMYFUNCTION("""COMPUTED_VALUE"""),"LATOUR Arlette")</f>
        <v>LATOUR Arlette</v>
      </c>
      <c r="B333" s="1" t="str">
        <f ca="1">IFERROR(__xludf.DUMMYFUNCTION("""COMPUTED_VALUE"""),"LATOUR")</f>
        <v>LATOUR</v>
      </c>
      <c r="C333" s="1" t="str">
        <f ca="1">IFERROR(__xludf.DUMMYFUNCTION("""COMPUTED_VALUE"""),"Arlette")</f>
        <v>Arlette</v>
      </c>
      <c r="D333" s="1" t="str">
        <f ca="1">IFERROR(__xludf.DUMMYFUNCTION("""COMPUTED_VALUE"""),"1409E1")</f>
        <v>1409E1</v>
      </c>
      <c r="E333" s="2">
        <f ca="1">IFERROR(__xludf.DUMMYFUNCTION("""COMPUTED_VALUE"""),43133)</f>
        <v>43133</v>
      </c>
      <c r="F333" s="1" t="str">
        <f ca="1">IFERROR(__xludf.DUMMYFUNCTION("""COMPUTED_VALUE"""),"CE1A")</f>
        <v>CE1A</v>
      </c>
      <c r="G333" s="1" t="str">
        <f ca="1">IFERROR(__xludf.DUMMYFUNCTION("""COMPUTED_VALUE"""),"CE1")</f>
        <v>CE1</v>
      </c>
      <c r="H333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333" s="1"/>
      <c r="J333" s="1"/>
      <c r="K333" s="1"/>
      <c r="L333" s="1"/>
      <c r="M333" s="1"/>
      <c r="N333" s="1" t="str">
        <f ca="1">IFERROR(__xludf.DUMMYFUNCTION("""COMPUTED_VALUE"""),"Fille")</f>
        <v>Fille</v>
      </c>
      <c r="O333" s="1"/>
      <c r="P333" s="1" t="str">
        <f ca="1">IFERROR(__xludf.DUMMYFUNCTION("""COMPUTED_VALUE"""),"FRANCE")</f>
        <v>FRANCE</v>
      </c>
      <c r="Q333" s="1" t="str">
        <f ca="1">IFERROR(__xludf.DUMMYFUNCTION("""COMPUTED_VALUE"""),"SENEGAL")</f>
        <v>SENEGAL</v>
      </c>
      <c r="R333" s="1"/>
      <c r="S333" s="1"/>
      <c r="T333" s="1" t="str">
        <f ca="1">IFERROR(__xludf.DUMMYFUNCTION("""COMPUTED_VALUE"""),"DEH Awa Dior")</f>
        <v>DEH Awa Dior</v>
      </c>
      <c r="U333" s="1"/>
      <c r="V333" s="1" t="str">
        <f ca="1">IFERROR(__xludf.DUMMYFUNCTION("""COMPUTED_VALUE"""),"awadiordhe@gmail.com")</f>
        <v>awadiordhe@gmail.com</v>
      </c>
      <c r="W333" s="1"/>
      <c r="X333" s="1" t="str">
        <f ca="1">IFERROR(__xludf.DUMMYFUNCTION("""COMPUTED_VALUE"""),"785957208")</f>
        <v>785957208</v>
      </c>
      <c r="Y333" s="1"/>
      <c r="Z333" s="1"/>
      <c r="AA333" s="1"/>
      <c r="AB333" s="2">
        <f ca="1">IFERROR(__xludf.DUMMYFUNCTION("""COMPUTED_VALUE"""),32902)</f>
        <v>32902</v>
      </c>
      <c r="AC333" s="1"/>
      <c r="AD333" s="1" t="str">
        <f ca="1">IFERROR(__xludf.DUMMYFUNCTION("""COMPUTED_VALUE"""),"MERE")</f>
        <v>MERE</v>
      </c>
      <c r="AE333" s="1"/>
      <c r="AF333" s="1" t="str">
        <f ca="1">IFERROR(__xludf.DUMMYFUNCTION("""COMPUTED_VALUE"""),"SENEGAL")</f>
        <v>SENEGAL</v>
      </c>
      <c r="AG333" s="1"/>
      <c r="AH333" s="1"/>
      <c r="AI333" s="1"/>
      <c r="AJ333" s="1" t="str">
        <f ca="1">IFERROR(__xludf.DUMMYFUNCTION("""COMPUTED_VALUE"""),"F1409")</f>
        <v>F1409</v>
      </c>
      <c r="AK333" s="1" t="str">
        <f ca="1">IFERROR(__xludf.DUMMYFUNCTION("""COMPUTED_VALUE"""),"Veuf(ve)")</f>
        <v>Veuf(ve)</v>
      </c>
      <c r="AL333" s="1"/>
      <c r="AM333" s="1" t="str">
        <f ca="1">IFERROR(__xludf.DUMMYFUNCTION("""COMPUTED_VALUE"""),"F1409")</f>
        <v>F1409</v>
      </c>
    </row>
    <row r="334" spans="1:39" ht="13" x14ac:dyDescent="0.15">
      <c r="A334" s="1" t="str">
        <f ca="1">IFERROR(__xludf.DUMMYFUNCTION("""COMPUTED_VALUE"""),"LAÜGT Mathilde")</f>
        <v>LAÜGT Mathilde</v>
      </c>
      <c r="B334" s="1" t="str">
        <f ca="1">IFERROR(__xludf.DUMMYFUNCTION("""COMPUTED_VALUE"""),"LAÜGT")</f>
        <v>LAÜGT</v>
      </c>
      <c r="C334" s="1" t="str">
        <f ca="1">IFERROR(__xludf.DUMMYFUNCTION("""COMPUTED_VALUE"""),"Mathilde")</f>
        <v>Mathilde</v>
      </c>
      <c r="D334" s="1" t="str">
        <f ca="1">IFERROR(__xludf.DUMMYFUNCTION("""COMPUTED_VALUE"""),"1410E1")</f>
        <v>1410E1</v>
      </c>
      <c r="E334" s="2">
        <f ca="1">IFERROR(__xludf.DUMMYFUNCTION("""COMPUTED_VALUE"""),43727)</f>
        <v>43727</v>
      </c>
      <c r="F334" s="1" t="str">
        <f ca="1">IFERROR(__xludf.DUMMYFUNCTION("""COMPUTED_VALUE"""),"CP-CE2")</f>
        <v>CP-CE2</v>
      </c>
      <c r="G334" s="1" t="str">
        <f ca="1">IFERROR(__xludf.DUMMYFUNCTION("""COMPUTED_VALUE"""),"CP")</f>
        <v>CP</v>
      </c>
      <c r="H334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334" s="1"/>
      <c r="J334" s="1"/>
      <c r="K334" s="1"/>
      <c r="L334" s="1"/>
      <c r="M334" s="1"/>
      <c r="N334" s="1" t="str">
        <f ca="1">IFERROR(__xludf.DUMMYFUNCTION("""COMPUTED_VALUE"""),"Fille")</f>
        <v>Fille</v>
      </c>
      <c r="O334" s="1"/>
      <c r="P334" s="1" t="str">
        <f ca="1">IFERROR(__xludf.DUMMYFUNCTION("""COMPUTED_VALUE"""),"FRANCE")</f>
        <v>FRANCE</v>
      </c>
      <c r="Q334" s="1"/>
      <c r="R334" s="1"/>
      <c r="S334" s="1"/>
      <c r="T334" s="1" t="str">
        <f ca="1">IFERROR(__xludf.DUMMYFUNCTION("""COMPUTED_VALUE"""),"LAÜGT Anaïs")</f>
        <v>LAÜGT Anaïs</v>
      </c>
      <c r="U334" s="1" t="str">
        <f ca="1">IFERROR(__xludf.DUMMYFUNCTION("""COMPUTED_VALUE"""),"LAÜGT Timothée")</f>
        <v>LAÜGT Timothée</v>
      </c>
      <c r="V334" s="1" t="str">
        <f ca="1">IFERROR(__xludf.DUMMYFUNCTION("""COMPUTED_VALUE"""),"anais.laugt@gmail.com")</f>
        <v>anais.laugt@gmail.com</v>
      </c>
      <c r="W334" s="1" t="str">
        <f ca="1">IFERROR(__xludf.DUMMYFUNCTION("""COMPUTED_VALUE"""),"tim.laugt@gmail.com")</f>
        <v>tim.laugt@gmail.com</v>
      </c>
      <c r="X334" s="1" t="str">
        <f ca="1">IFERROR(__xludf.DUMMYFUNCTION("""COMPUTED_VALUE"""),"78 486 66 95")</f>
        <v>78 486 66 95</v>
      </c>
      <c r="Y334" s="1" t="str">
        <f ca="1">IFERROR(__xludf.DUMMYFUNCTION("""COMPUTED_VALUE"""),"784605545")</f>
        <v>784605545</v>
      </c>
      <c r="Z334" s="1"/>
      <c r="AA334" s="1"/>
      <c r="AB334" s="2">
        <f ca="1">IFERROR(__xludf.DUMMYFUNCTION("""COMPUTED_VALUE"""),34124)</f>
        <v>34124</v>
      </c>
      <c r="AC334" s="2">
        <f ca="1">IFERROR(__xludf.DUMMYFUNCTION("""COMPUTED_VALUE"""),33247)</f>
        <v>33247</v>
      </c>
      <c r="AD334" s="1" t="str">
        <f ca="1">IFERROR(__xludf.DUMMYFUNCTION("""COMPUTED_VALUE"""),"MERE")</f>
        <v>MERE</v>
      </c>
      <c r="AE334" s="1" t="str">
        <f ca="1">IFERROR(__xludf.DUMMYFUNCTION("""COMPUTED_VALUE"""),"PERE")</f>
        <v>PERE</v>
      </c>
      <c r="AF334" s="1" t="str">
        <f ca="1">IFERROR(__xludf.DUMMYFUNCTION("""COMPUTED_VALUE"""),"FRANCE")</f>
        <v>FRANCE</v>
      </c>
      <c r="AG334" s="1" t="str">
        <f ca="1">IFERROR(__xludf.DUMMYFUNCTION("""COMPUTED_VALUE"""),"FRANCE")</f>
        <v>FRANCE</v>
      </c>
      <c r="AH334" s="1"/>
      <c r="AI334" s="1"/>
      <c r="AJ334" s="1" t="str">
        <f ca="1">IFERROR(__xludf.DUMMYFUNCTION("""COMPUTED_VALUE"""),"F1410")</f>
        <v>F1410</v>
      </c>
      <c r="AK334" s="1" t="str">
        <f ca="1">IFERROR(__xludf.DUMMYFUNCTION("""COMPUTED_VALUE"""),"Marié(e)")</f>
        <v>Marié(e)</v>
      </c>
      <c r="AL334" s="1" t="str">
        <f ca="1">IFERROR(__xludf.DUMMYFUNCTION("""COMPUTED_VALUE"""),"Marié(e)")</f>
        <v>Marié(e)</v>
      </c>
      <c r="AM334" s="1" t="str">
        <f ca="1">IFERROR(__xludf.DUMMYFUNCTION("""COMPUTED_VALUE"""),"F1410")</f>
        <v>F1410</v>
      </c>
    </row>
    <row r="335" spans="1:39" ht="13" x14ac:dyDescent="0.15">
      <c r="A335" s="1" t="str">
        <f ca="1">IFERROR(__xludf.DUMMYFUNCTION("""COMPUTED_VALUE"""),"LAÜGT Noa Alice")</f>
        <v>LAÜGT Noa Alice</v>
      </c>
      <c r="B335" s="1" t="str">
        <f ca="1">IFERROR(__xludf.DUMMYFUNCTION("""COMPUTED_VALUE"""),"LAÜGT")</f>
        <v>LAÜGT</v>
      </c>
      <c r="C335" s="1" t="str">
        <f ca="1">IFERROR(__xludf.DUMMYFUNCTION("""COMPUTED_VALUE"""),"Noa Alice")</f>
        <v>Noa Alice</v>
      </c>
      <c r="D335" s="1" t="str">
        <f ca="1">IFERROR(__xludf.DUMMYFUNCTION("""COMPUTED_VALUE"""),"1668E1")</f>
        <v>1668E1</v>
      </c>
      <c r="E335" s="2">
        <f ca="1">IFERROR(__xludf.DUMMYFUNCTION("""COMPUTED_VALUE"""),44906)</f>
        <v>44906</v>
      </c>
      <c r="F335" s="1" t="str">
        <f ca="1">IFERROR(__xludf.DUMMYFUNCTION("""COMPUTED_VALUE"""),"Mat 1")</f>
        <v>Mat 1</v>
      </c>
      <c r="G335" s="1" t="str">
        <f ca="1">IFERROR(__xludf.DUMMYFUNCTION("""COMPUTED_VALUE"""),"PS")</f>
        <v>PS</v>
      </c>
      <c r="H335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335" s="1"/>
      <c r="J335" s="1"/>
      <c r="K335" s="1"/>
      <c r="L335" s="1"/>
      <c r="M335" s="1"/>
      <c r="N335" s="1" t="str">
        <f ca="1">IFERROR(__xludf.DUMMYFUNCTION("""COMPUTED_VALUE"""),"Fille")</f>
        <v>Fille</v>
      </c>
      <c r="O335" s="1"/>
      <c r="P335" s="1" t="str">
        <f ca="1">IFERROR(__xludf.DUMMYFUNCTION("""COMPUTED_VALUE"""),"FRANCE")</f>
        <v>FRANCE</v>
      </c>
      <c r="Q335" s="1"/>
      <c r="R335" s="1"/>
      <c r="S335" s="1"/>
      <c r="T335" s="1" t="str">
        <f ca="1">IFERROR(__xludf.DUMMYFUNCTION("""COMPUTED_VALUE"""),"LAÜGT Anaïs")</f>
        <v>LAÜGT Anaïs</v>
      </c>
      <c r="U335" s="1" t="str">
        <f ca="1">IFERROR(__xludf.DUMMYFUNCTION("""COMPUTED_VALUE"""),"LAÜGT Timothée")</f>
        <v>LAÜGT Timothée</v>
      </c>
      <c r="V335" s="1" t="str">
        <f ca="1">IFERROR(__xludf.DUMMYFUNCTION("""COMPUTED_VALUE"""),"anais.laugt@gmail.com")</f>
        <v>anais.laugt@gmail.com</v>
      </c>
      <c r="W335" s="1" t="str">
        <f ca="1">IFERROR(__xludf.DUMMYFUNCTION("""COMPUTED_VALUE"""),"tim.laugt@gmail.com")</f>
        <v>tim.laugt@gmail.com</v>
      </c>
      <c r="X335" s="1" t="str">
        <f ca="1">IFERROR(__xludf.DUMMYFUNCTION("""COMPUTED_VALUE"""),"78 486 66 95")</f>
        <v>78 486 66 95</v>
      </c>
      <c r="Y335" s="1" t="str">
        <f ca="1">IFERROR(__xludf.DUMMYFUNCTION("""COMPUTED_VALUE"""),"784605545")</f>
        <v>784605545</v>
      </c>
      <c r="Z335" s="1"/>
      <c r="AA335" s="1"/>
      <c r="AB335" s="2">
        <f ca="1">IFERROR(__xludf.DUMMYFUNCTION("""COMPUTED_VALUE"""),34124)</f>
        <v>34124</v>
      </c>
      <c r="AC335" s="2">
        <f ca="1">IFERROR(__xludf.DUMMYFUNCTION("""COMPUTED_VALUE"""),33247)</f>
        <v>33247</v>
      </c>
      <c r="AD335" s="1" t="str">
        <f ca="1">IFERROR(__xludf.DUMMYFUNCTION("""COMPUTED_VALUE"""),"MERE")</f>
        <v>MERE</v>
      </c>
      <c r="AE335" s="1" t="str">
        <f ca="1">IFERROR(__xludf.DUMMYFUNCTION("""COMPUTED_VALUE"""),"PERE")</f>
        <v>PERE</v>
      </c>
      <c r="AF335" s="1" t="str">
        <f ca="1">IFERROR(__xludf.DUMMYFUNCTION("""COMPUTED_VALUE"""),"FRANCE")</f>
        <v>FRANCE</v>
      </c>
      <c r="AG335" s="1" t="str">
        <f ca="1">IFERROR(__xludf.DUMMYFUNCTION("""COMPUTED_VALUE"""),"FRANCE")</f>
        <v>FRANCE</v>
      </c>
      <c r="AH335" s="1"/>
      <c r="AI335" s="1"/>
      <c r="AJ335" s="1" t="str">
        <f ca="1">IFERROR(__xludf.DUMMYFUNCTION("""COMPUTED_VALUE"""),"F1410")</f>
        <v>F1410</v>
      </c>
      <c r="AK335" s="1" t="str">
        <f ca="1">IFERROR(__xludf.DUMMYFUNCTION("""COMPUTED_VALUE"""),"Marié(e)")</f>
        <v>Marié(e)</v>
      </c>
      <c r="AL335" s="1" t="str">
        <f ca="1">IFERROR(__xludf.DUMMYFUNCTION("""COMPUTED_VALUE"""),"Marié(e)")</f>
        <v>Marié(e)</v>
      </c>
      <c r="AM335" s="1" t="str">
        <f ca="1">IFERROR(__xludf.DUMMYFUNCTION("""COMPUTED_VALUE"""),"F1410")</f>
        <v>F1410</v>
      </c>
    </row>
    <row r="336" spans="1:39" ht="13" x14ac:dyDescent="0.15">
      <c r="A336" s="1" t="str">
        <f ca="1">IFERROR(__xludf.DUMMYFUNCTION("""COMPUTED_VALUE"""),"LAURIENTE Alexandra")</f>
        <v>LAURIENTE Alexandra</v>
      </c>
      <c r="B336" s="1" t="str">
        <f ca="1">IFERROR(__xludf.DUMMYFUNCTION("""COMPUTED_VALUE"""),"LAURIENTE")</f>
        <v>LAURIENTE</v>
      </c>
      <c r="C336" s="1" t="str">
        <f ca="1">IFERROR(__xludf.DUMMYFUNCTION("""COMPUTED_VALUE"""),"Alexandra")</f>
        <v>Alexandra</v>
      </c>
      <c r="D336" s="1" t="str">
        <f ca="1">IFERROR(__xludf.DUMMYFUNCTION("""COMPUTED_VALUE"""),"11800S2556")</f>
        <v>11800S2556</v>
      </c>
      <c r="E336" s="2">
        <f ca="1">IFERROR(__xludf.DUMMYFUNCTION("""COMPUTED_VALUE"""),40070)</f>
        <v>40070</v>
      </c>
      <c r="F336" s="1" t="str">
        <f ca="1">IFERROR(__xludf.DUMMYFUNCTION("""COMPUTED_VALUE"""),"1ERE1")</f>
        <v>1ERE1</v>
      </c>
      <c r="G336" s="1" t="str">
        <f ca="1">IFERROR(__xludf.DUMMYFUNCTION("""COMPUTED_VALUE"""),"1ère")</f>
        <v>1ère</v>
      </c>
      <c r="H336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336" s="1" t="str">
        <f ca="1">IFERROR(__xludf.DUMMYFUNCTION("""COMPUTED_VALUE"""),"LVA Anglais")</f>
        <v>LVA Anglais</v>
      </c>
      <c r="J336" s="1" t="str">
        <f ca="1">IFERROR(__xludf.DUMMYFUNCTION("""COMPUTED_VALUE"""),"Autre (CNED - langue à préciser)")</f>
        <v>Autre (CNED - langue à préciser)</v>
      </c>
      <c r="K336" s="1"/>
      <c r="L336" s="1"/>
      <c r="M336" s="1" t="str">
        <f ca="1">IFERROR(__xludf.DUMMYFUNCTION("""COMPUTED_VALUE"""),"SPE MATHS, SPE SPC, SPE SVT")</f>
        <v>SPE MATHS, SPE SPC, SPE SVT</v>
      </c>
      <c r="N336" s="1" t="str">
        <f ca="1">IFERROR(__xludf.DUMMYFUNCTION("""COMPUTED_VALUE"""),"Fille")</f>
        <v>Fille</v>
      </c>
      <c r="O336" s="1"/>
      <c r="P336" s="1" t="str">
        <f ca="1">IFERROR(__xludf.DUMMYFUNCTION("""COMPUTED_VALUE"""),"FRANCE")</f>
        <v>FRANCE</v>
      </c>
      <c r="Q336" s="1"/>
      <c r="R336" s="1" t="str">
        <f ca="1">IFERROR(__xludf.DUMMYFUNCTION("""COMPUTED_VALUE"""),"alexandra.lauriente@lfjpsaly.org")</f>
        <v>alexandra.lauriente@lfjpsaly.org</v>
      </c>
      <c r="S336" s="1" t="str">
        <f ca="1">IFERROR(__xludf.DUMMYFUNCTION("""COMPUTED_VALUE"""),"+221 77 510 39 24")</f>
        <v>+221 77 510 39 24</v>
      </c>
      <c r="T336" s="1" t="str">
        <f ca="1">IFERROR(__xludf.DUMMYFUNCTION("""COMPUTED_VALUE"""),"LAURIENTE Rokhaya")</f>
        <v>LAURIENTE Rokhaya</v>
      </c>
      <c r="U336" s="1" t="str">
        <f ca="1">IFERROR(__xludf.DUMMYFUNCTION("""COMPUTED_VALUE"""),"LAURIENTE Alain")</f>
        <v>LAURIENTE Alain</v>
      </c>
      <c r="V336" s="1" t="str">
        <f ca="1">IFERROR(__xludf.DUMMYFUNCTION("""COMPUTED_VALUE"""),"rokhaya.debree@hotmail.fr")</f>
        <v>rokhaya.debree@hotmail.fr</v>
      </c>
      <c r="W336" s="1" t="str">
        <f ca="1">IFERROR(__xludf.DUMMYFUNCTION("""COMPUTED_VALUE"""),"laurientealain@gmail.com")</f>
        <v>laurientealain@gmail.com</v>
      </c>
      <c r="X336" s="1" t="str">
        <f ca="1">IFERROR(__xludf.DUMMYFUNCTION("""COMPUTED_VALUE"""),"+221 77 510 39 24")</f>
        <v>+221 77 510 39 24</v>
      </c>
      <c r="Y336" s="1" t="str">
        <f ca="1">IFERROR(__xludf.DUMMYFUNCTION("""COMPUTED_VALUE"""),"+221 77 356 68 33")</f>
        <v>+221 77 356 68 33</v>
      </c>
      <c r="Z336" s="1" t="str">
        <f ca="1">IFERROR(__xludf.DUMMYFUNCTION("""COMPUTED_VALUE"""),"+33 6 84 99 11 70")</f>
        <v>+33 6 84 99 11 70</v>
      </c>
      <c r="AA336" s="1" t="str">
        <f ca="1">IFERROR(__xludf.DUMMYFUNCTION("""COMPUTED_VALUE"""),"+33 6 83 74 83 15")</f>
        <v>+33 6 83 74 83 15</v>
      </c>
      <c r="AB336" s="2">
        <f ca="1">IFERROR(__xludf.DUMMYFUNCTION("""COMPUTED_VALUE"""),25749)</f>
        <v>25749</v>
      </c>
      <c r="AC336" s="2">
        <f ca="1">IFERROR(__xludf.DUMMYFUNCTION("""COMPUTED_VALUE"""),21534)</f>
        <v>21534</v>
      </c>
      <c r="AD336" s="1" t="str">
        <f ca="1">IFERROR(__xludf.DUMMYFUNCTION("""COMPUTED_VALUE"""),"MERE")</f>
        <v>MERE</v>
      </c>
      <c r="AE336" s="1" t="str">
        <f ca="1">IFERROR(__xludf.DUMMYFUNCTION("""COMPUTED_VALUE"""),"PERE")</f>
        <v>PERE</v>
      </c>
      <c r="AF336" s="1" t="str">
        <f ca="1">IFERROR(__xludf.DUMMYFUNCTION("""COMPUTED_VALUE"""),"FRANCE")</f>
        <v>FRANCE</v>
      </c>
      <c r="AG336" s="1" t="str">
        <f ca="1">IFERROR(__xludf.DUMMYFUNCTION("""COMPUTED_VALUE"""),"FRANCE")</f>
        <v>FRANCE</v>
      </c>
      <c r="AH336" s="1" t="str">
        <f ca="1">IFERROR(__xludf.DUMMYFUNCTION("""COMPUTED_VALUE"""),"SENEGAL")</f>
        <v>SENEGAL</v>
      </c>
      <c r="AI336" s="1"/>
      <c r="AJ336" s="1" t="str">
        <f ca="1">IFERROR(__xludf.DUMMYFUNCTION("""COMPUTED_VALUE"""),"U11800")</f>
        <v>U11800</v>
      </c>
      <c r="AK336" s="1" t="str">
        <f ca="1">IFERROR(__xludf.DUMMYFUNCTION("""COMPUTED_VALUE"""),"Marié(e)")</f>
        <v>Marié(e)</v>
      </c>
      <c r="AL336" s="1" t="str">
        <f ca="1">IFERROR(__xludf.DUMMYFUNCTION("""COMPUTED_VALUE"""),"Marié(e)")</f>
        <v>Marié(e)</v>
      </c>
      <c r="AM336" s="1" t="str">
        <f ca="1">IFERROR(__xludf.DUMMYFUNCTION("""COMPUTED_VALUE"""),"U11800")</f>
        <v>U11800</v>
      </c>
    </row>
    <row r="337" spans="1:39" ht="13" x14ac:dyDescent="0.15">
      <c r="A337" s="1" t="str">
        <f ca="1">IFERROR(__xludf.DUMMYFUNCTION("""COMPUTED_VALUE"""),"LE COM Solen")</f>
        <v>LE COM Solen</v>
      </c>
      <c r="B337" s="1" t="str">
        <f ca="1">IFERROR(__xludf.DUMMYFUNCTION("""COMPUTED_VALUE"""),"LE COM")</f>
        <v>LE COM</v>
      </c>
      <c r="C337" s="1" t="str">
        <f ca="1">IFERROR(__xludf.DUMMYFUNCTION("""COMPUTED_VALUE"""),"Solen")</f>
        <v>Solen</v>
      </c>
      <c r="D337" s="1" t="str">
        <f ca="1">IFERROR(__xludf.DUMMYFUNCTION("""COMPUTED_VALUE"""),"1411E1")</f>
        <v>1411E1</v>
      </c>
      <c r="E337" s="2">
        <f ca="1">IFERROR(__xludf.DUMMYFUNCTION("""COMPUTED_VALUE"""),40723)</f>
        <v>40723</v>
      </c>
      <c r="F337" s="1" t="str">
        <f ca="1">IFERROR(__xludf.DUMMYFUNCTION("""COMPUTED_VALUE"""),"3EME2")</f>
        <v>3EME2</v>
      </c>
      <c r="G337" s="1" t="str">
        <f ca="1">IFERROR(__xludf.DUMMYFUNCTION("""COMPUTED_VALUE"""),"3ème")</f>
        <v>3ème</v>
      </c>
      <c r="H337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337" s="1" t="str">
        <f ca="1">IFERROR(__xludf.DUMMYFUNCTION("""COMPUTED_VALUE"""),"LVA Anglais")</f>
        <v>LVA Anglais</v>
      </c>
      <c r="J337" s="1" t="str">
        <f ca="1">IFERROR(__xludf.DUMMYFUNCTION("""COMPUTED_VALUE"""),"LVB Espagnol")</f>
        <v>LVB Espagnol</v>
      </c>
      <c r="K337" s="1"/>
      <c r="L337" s="1"/>
      <c r="M337" s="1"/>
      <c r="N337" s="1" t="str">
        <f ca="1">IFERROR(__xludf.DUMMYFUNCTION("""COMPUTED_VALUE"""),"Fille")</f>
        <v>Fille</v>
      </c>
      <c r="O337" s="1"/>
      <c r="P337" s="1" t="str">
        <f ca="1">IFERROR(__xludf.DUMMYFUNCTION("""COMPUTED_VALUE"""),"FRANCE")</f>
        <v>FRANCE</v>
      </c>
      <c r="Q337" s="1" t="str">
        <f ca="1">IFERROR(__xludf.DUMMYFUNCTION("""COMPUTED_VALUE"""),"SENEGAL")</f>
        <v>SENEGAL</v>
      </c>
      <c r="R337" s="1" t="str">
        <f ca="1">IFERROR(__xludf.DUMMYFUNCTION("""COMPUTED_VALUE"""),"solen.lecom@lfjpsaly.org")</f>
        <v>solen.lecom@lfjpsaly.org</v>
      </c>
      <c r="S337" s="1" t="str">
        <f ca="1">IFERROR(__xludf.DUMMYFUNCTION("""COMPUTED_VALUE"""),"+221")</f>
        <v>+221</v>
      </c>
      <c r="T337" s="1" t="str">
        <f ca="1">IFERROR(__xludf.DUMMYFUNCTION("""COMPUTED_VALUE"""),"LE COM Jean Pierre")</f>
        <v>LE COM Jean Pierre</v>
      </c>
      <c r="U337" s="1" t="str">
        <f ca="1">IFERROR(__xludf.DUMMYFUNCTION("""COMPUTED_VALUE"""),"DIOP Déguène")</f>
        <v>DIOP Déguène</v>
      </c>
      <c r="V337" s="1" t="str">
        <f ca="1">IFERROR(__xludf.DUMMYFUNCTION("""COMPUTED_VALUE"""),"salylesfiletsbleus@yahoo.fr")</f>
        <v>salylesfiletsbleus@yahoo.fr</v>
      </c>
      <c r="W337" s="1" t="str">
        <f ca="1">IFERROR(__xludf.DUMMYFUNCTION("""COMPUTED_VALUE"""),"salylesfiletsbleus@yahoo.fr")</f>
        <v>salylesfiletsbleus@yahoo.fr</v>
      </c>
      <c r="X337" s="1" t="str">
        <f ca="1">IFERROR(__xludf.DUMMYFUNCTION("""COMPUTED_VALUE"""),"77 448 28 26")</f>
        <v>77 448 28 26</v>
      </c>
      <c r="Y337" s="1" t="str">
        <f ca="1">IFERROR(__xludf.DUMMYFUNCTION("""COMPUTED_VALUE"""),"77 258 97 84")</f>
        <v>77 258 97 84</v>
      </c>
      <c r="Z337" s="1"/>
      <c r="AA337" s="1"/>
      <c r="AB337" s="2">
        <f ca="1">IFERROR(__xludf.DUMMYFUNCTION("""COMPUTED_VALUE"""),22391)</f>
        <v>22391</v>
      </c>
      <c r="AC337" s="2">
        <f ca="1">IFERROR(__xludf.DUMMYFUNCTION("""COMPUTED_VALUE"""),31779)</f>
        <v>31779</v>
      </c>
      <c r="AD337" s="1" t="str">
        <f ca="1">IFERROR(__xludf.DUMMYFUNCTION("""COMPUTED_VALUE"""),"PERE")</f>
        <v>PERE</v>
      </c>
      <c r="AE337" s="1" t="str">
        <f ca="1">IFERROR(__xludf.DUMMYFUNCTION("""COMPUTED_VALUE"""),"MERE")</f>
        <v>MERE</v>
      </c>
      <c r="AF337" s="1" t="str">
        <f ca="1">IFERROR(__xludf.DUMMYFUNCTION("""COMPUTED_VALUE"""),"FRANCE")</f>
        <v>FRANCE</v>
      </c>
      <c r="AG337" s="1" t="str">
        <f ca="1">IFERROR(__xludf.DUMMYFUNCTION("""COMPUTED_VALUE"""),"SENEGAL")</f>
        <v>SENEGAL</v>
      </c>
      <c r="AH337" s="1"/>
      <c r="AI337" s="1"/>
      <c r="AJ337" s="1" t="str">
        <f ca="1">IFERROR(__xludf.DUMMYFUNCTION("""COMPUTED_VALUE"""),"F1411")</f>
        <v>F1411</v>
      </c>
      <c r="AK337" s="1" t="str">
        <f ca="1">IFERROR(__xludf.DUMMYFUNCTION("""COMPUTED_VALUE"""),"Séparé(e)")</f>
        <v>Séparé(e)</v>
      </c>
      <c r="AL337" s="1" t="str">
        <f ca="1">IFERROR(__xludf.DUMMYFUNCTION("""COMPUTED_VALUE"""),"Séparé(e)")</f>
        <v>Séparé(e)</v>
      </c>
      <c r="AM337" s="1" t="str">
        <f ca="1">IFERROR(__xludf.DUMMYFUNCTION("""COMPUTED_VALUE"""),"F1411")</f>
        <v>F1411</v>
      </c>
    </row>
    <row r="338" spans="1:39" ht="13" x14ac:dyDescent="0.15">
      <c r="A338" s="1" t="str">
        <f ca="1">IFERROR(__xludf.DUMMYFUNCTION("""COMPUTED_VALUE"""),"LE MOAL Dylan")</f>
        <v>LE MOAL Dylan</v>
      </c>
      <c r="B338" s="1" t="str">
        <f ca="1">IFERROR(__xludf.DUMMYFUNCTION("""COMPUTED_VALUE"""),"LE MOAL")</f>
        <v>LE MOAL</v>
      </c>
      <c r="C338" s="1" t="str">
        <f ca="1">IFERROR(__xludf.DUMMYFUNCTION("""COMPUTED_VALUE"""),"Dylan")</f>
        <v>Dylan</v>
      </c>
      <c r="D338" s="1" t="str">
        <f ca="1">IFERROR(__xludf.DUMMYFUNCTION("""COMPUTED_VALUE"""),"1412E1")</f>
        <v>1412E1</v>
      </c>
      <c r="E338" s="2">
        <f ca="1">IFERROR(__xludf.DUMMYFUNCTION("""COMPUTED_VALUE"""),41934)</f>
        <v>41934</v>
      </c>
      <c r="F338" s="1" t="str">
        <f ca="1">IFERROR(__xludf.DUMMYFUNCTION("""COMPUTED_VALUE"""),"6EME1")</f>
        <v>6EME1</v>
      </c>
      <c r="G338" s="1" t="str">
        <f ca="1">IFERROR(__xludf.DUMMYFUNCTION("""COMPUTED_VALUE"""),"6ème")</f>
        <v>6ème</v>
      </c>
      <c r="H338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338" s="1" t="str">
        <f ca="1">IFERROR(__xludf.DUMMYFUNCTION("""COMPUTED_VALUE"""),"LVA Anglais")</f>
        <v>LVA Anglais</v>
      </c>
      <c r="J338" s="1" t="str">
        <f ca="1">IFERROR(__xludf.DUMMYFUNCTION("""COMPUTED_VALUE"""),"LVB Espagnol")</f>
        <v>LVB Espagnol</v>
      </c>
      <c r="K338" s="1"/>
      <c r="L338" s="1"/>
      <c r="M338" s="1"/>
      <c r="N338" s="1" t="str">
        <f ca="1">IFERROR(__xludf.DUMMYFUNCTION("""COMPUTED_VALUE"""),"Garçon")</f>
        <v>Garçon</v>
      </c>
      <c r="O338" s="1"/>
      <c r="P338" s="1" t="str">
        <f ca="1">IFERROR(__xludf.DUMMYFUNCTION("""COMPUTED_VALUE"""),"FRANCE")</f>
        <v>FRANCE</v>
      </c>
      <c r="Q338" s="1" t="str">
        <f ca="1">IFERROR(__xludf.DUMMYFUNCTION("""COMPUTED_VALUE"""),"SENEGAL")</f>
        <v>SENEGAL</v>
      </c>
      <c r="R338" s="1" t="str">
        <f ca="1">IFERROR(__xludf.DUMMYFUNCTION("""COMPUTED_VALUE"""),"dylan.lemoal@lfjpsaly.org")</f>
        <v>dylan.lemoal@lfjpsaly.org</v>
      </c>
      <c r="S338" s="1" t="str">
        <f ca="1">IFERROR(__xludf.DUMMYFUNCTION("""COMPUTED_VALUE"""),"+221 78 757 09 77")</f>
        <v>+221 78 757 09 77</v>
      </c>
      <c r="T338" s="1" t="str">
        <f ca="1">IFERROR(__xludf.DUMMYFUNCTION("""COMPUTED_VALUE"""),"LE MOAL Fatou")</f>
        <v>LE MOAL Fatou</v>
      </c>
      <c r="U338" s="1"/>
      <c r="V338" s="1" t="str">
        <f ca="1">IFERROR(__xludf.DUMMYFUNCTION("""COMPUTED_VALUE"""),"farafinamouso@hotmail.fr")</f>
        <v>farafinamouso@hotmail.fr</v>
      </c>
      <c r="W338" s="1"/>
      <c r="X338" s="1" t="str">
        <f ca="1">IFERROR(__xludf.DUMMYFUNCTION("""COMPUTED_VALUE"""),"776139778")</f>
        <v>776139778</v>
      </c>
      <c r="Y338" s="1"/>
      <c r="Z338" s="1"/>
      <c r="AA338" s="1"/>
      <c r="AB338" s="2">
        <f ca="1">IFERROR(__xludf.DUMMYFUNCTION("""COMPUTED_VALUE"""),27548)</f>
        <v>27548</v>
      </c>
      <c r="AC338" s="1"/>
      <c r="AD338" s="1" t="str">
        <f ca="1">IFERROR(__xludf.DUMMYFUNCTION("""COMPUTED_VALUE"""),"MERE")</f>
        <v>MERE</v>
      </c>
      <c r="AE338" s="1"/>
      <c r="AF338" s="1" t="str">
        <f ca="1">IFERROR(__xludf.DUMMYFUNCTION("""COMPUTED_VALUE"""),"FRANCE")</f>
        <v>FRANCE</v>
      </c>
      <c r="AG338" s="1"/>
      <c r="AH338" s="1"/>
      <c r="AI338" s="1"/>
      <c r="AJ338" s="1" t="str">
        <f ca="1">IFERROR(__xludf.DUMMYFUNCTION("""COMPUTED_VALUE"""),"F1412")</f>
        <v>F1412</v>
      </c>
      <c r="AK338" s="1" t="str">
        <f ca="1">IFERROR(__xludf.DUMMYFUNCTION("""COMPUTED_VALUE"""),"Veuf(ve)")</f>
        <v>Veuf(ve)</v>
      </c>
      <c r="AL338" s="1"/>
      <c r="AM338" s="1" t="str">
        <f ca="1">IFERROR(__xludf.DUMMYFUNCTION("""COMPUTED_VALUE"""),"F1412")</f>
        <v>F1412</v>
      </c>
    </row>
    <row r="339" spans="1:39" ht="13" x14ac:dyDescent="0.15">
      <c r="A339" s="1" t="str">
        <f ca="1">IFERROR(__xludf.DUMMYFUNCTION("""COMPUTED_VALUE"""),"LE ROCH Ambre")</f>
        <v>LE ROCH Ambre</v>
      </c>
      <c r="B339" s="1" t="str">
        <f ca="1">IFERROR(__xludf.DUMMYFUNCTION("""COMPUTED_VALUE"""),"LE ROCH")</f>
        <v>LE ROCH</v>
      </c>
      <c r="C339" s="1" t="str">
        <f ca="1">IFERROR(__xludf.DUMMYFUNCTION("""COMPUTED_VALUE"""),"Ambre")</f>
        <v>Ambre</v>
      </c>
      <c r="D339" s="1" t="str">
        <f ca="1">IFERROR(__xludf.DUMMYFUNCTION("""COMPUTED_VALUE"""),"1413E1")</f>
        <v>1413E1</v>
      </c>
      <c r="E339" s="2">
        <f ca="1">IFERROR(__xludf.DUMMYFUNCTION("""COMPUTED_VALUE"""),43672)</f>
        <v>43672</v>
      </c>
      <c r="F339" s="1" t="str">
        <f ca="1">IFERROR(__xludf.DUMMYFUNCTION("""COMPUTED_VALUE"""),"CP")</f>
        <v>CP</v>
      </c>
      <c r="G339" s="1" t="str">
        <f ca="1">IFERROR(__xludf.DUMMYFUNCTION("""COMPUTED_VALUE"""),"CP")</f>
        <v>CP</v>
      </c>
      <c r="H339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339" s="1"/>
      <c r="J339" s="1"/>
      <c r="K339" s="1"/>
      <c r="L339" s="1"/>
      <c r="M339" s="1"/>
      <c r="N339" s="1" t="str">
        <f ca="1">IFERROR(__xludf.DUMMYFUNCTION("""COMPUTED_VALUE"""),"Fille")</f>
        <v>Fille</v>
      </c>
      <c r="O339" s="1"/>
      <c r="P339" s="1" t="str">
        <f ca="1">IFERROR(__xludf.DUMMYFUNCTION("""COMPUTED_VALUE"""),"FRANCE")</f>
        <v>FRANCE</v>
      </c>
      <c r="Q339" s="1"/>
      <c r="R339" s="1"/>
      <c r="S339" s="1"/>
      <c r="T339" s="1" t="str">
        <f ca="1">IFERROR(__xludf.DUMMYFUNCTION("""COMPUTED_VALUE"""),"LE ROCH Alban")</f>
        <v>LE ROCH Alban</v>
      </c>
      <c r="U339" s="1" t="str">
        <f ca="1">IFERROR(__xludf.DUMMYFUNCTION("""COMPUTED_VALUE"""),"LE ROCH Adjoua")</f>
        <v>LE ROCH Adjoua</v>
      </c>
      <c r="V339" s="1" t="str">
        <f ca="1">IFERROR(__xludf.DUMMYFUNCTION("""COMPUTED_VALUE"""),"alr.pro@icloud.com")</f>
        <v>alr.pro@icloud.com</v>
      </c>
      <c r="W339" s="1" t="str">
        <f ca="1">IFERROR(__xludf.DUMMYFUNCTION("""COMPUTED_VALUE"""),"alr.pro@icloud.com")</f>
        <v>alr.pro@icloud.com</v>
      </c>
      <c r="X339" s="1" t="str">
        <f ca="1">IFERROR(__xludf.DUMMYFUNCTION("""COMPUTED_VALUE"""),"77 460 13 10")</f>
        <v>77 460 13 10</v>
      </c>
      <c r="Y339" s="1" t="str">
        <f ca="1">IFERROR(__xludf.DUMMYFUNCTION("""COMPUTED_VALUE"""),"774100773")</f>
        <v>774100773</v>
      </c>
      <c r="Z339" s="1"/>
      <c r="AA339" s="1"/>
      <c r="AB339" s="2">
        <f ca="1">IFERROR(__xludf.DUMMYFUNCTION("""COMPUTED_VALUE"""),29407)</f>
        <v>29407</v>
      </c>
      <c r="AC339" s="2">
        <f ca="1">IFERROR(__xludf.DUMMYFUNCTION("""COMPUTED_VALUE"""),33189)</f>
        <v>33189</v>
      </c>
      <c r="AD339" s="1" t="str">
        <f ca="1">IFERROR(__xludf.DUMMYFUNCTION("""COMPUTED_VALUE"""),"PERE")</f>
        <v>PERE</v>
      </c>
      <c r="AE339" s="1" t="str">
        <f ca="1">IFERROR(__xludf.DUMMYFUNCTION("""COMPUTED_VALUE"""),"MERE")</f>
        <v>MERE</v>
      </c>
      <c r="AF339" s="1" t="str">
        <f ca="1">IFERROR(__xludf.DUMMYFUNCTION("""COMPUTED_VALUE"""),"FRANCE")</f>
        <v>FRANCE</v>
      </c>
      <c r="AG339" s="1" t="str">
        <f ca="1">IFERROR(__xludf.DUMMYFUNCTION("""COMPUTED_VALUE"""),"COTE D'IVOIRE")</f>
        <v>COTE D'IVOIRE</v>
      </c>
      <c r="AH339" s="1"/>
      <c r="AI339" s="1"/>
      <c r="AJ339" s="1" t="str">
        <f ca="1">IFERROR(__xludf.DUMMYFUNCTION("""COMPUTED_VALUE"""),"F1413")</f>
        <v>F1413</v>
      </c>
      <c r="AK339" s="1" t="str">
        <f ca="1">IFERROR(__xludf.DUMMYFUNCTION("""COMPUTED_VALUE"""),"Marié(e)")</f>
        <v>Marié(e)</v>
      </c>
      <c r="AL339" s="1" t="str">
        <f ca="1">IFERROR(__xludf.DUMMYFUNCTION("""COMPUTED_VALUE"""),"Marié(e)")</f>
        <v>Marié(e)</v>
      </c>
      <c r="AM339" s="1" t="str">
        <f ca="1">IFERROR(__xludf.DUMMYFUNCTION("""COMPUTED_VALUE"""),"F1413")</f>
        <v>F1413</v>
      </c>
    </row>
    <row r="340" spans="1:39" ht="13" x14ac:dyDescent="0.15">
      <c r="A340" s="1" t="str">
        <f ca="1">IFERROR(__xludf.DUMMYFUNCTION("""COMPUTED_VALUE"""),"LE ROCH Emeraude")</f>
        <v>LE ROCH Emeraude</v>
      </c>
      <c r="B340" s="1" t="str">
        <f ca="1">IFERROR(__xludf.DUMMYFUNCTION("""COMPUTED_VALUE"""),"LE ROCH")</f>
        <v>LE ROCH</v>
      </c>
      <c r="C340" s="1" t="str">
        <f ca="1">IFERROR(__xludf.DUMMYFUNCTION("""COMPUTED_VALUE"""),"Emeraude")</f>
        <v>Emeraude</v>
      </c>
      <c r="D340" s="1" t="str">
        <f ca="1">IFERROR(__xludf.DUMMYFUNCTION("""COMPUTED_VALUE"""),"1413E2")</f>
        <v>1413E2</v>
      </c>
      <c r="E340" s="2">
        <f ca="1">IFERROR(__xludf.DUMMYFUNCTION("""COMPUTED_VALUE"""),44527)</f>
        <v>44527</v>
      </c>
      <c r="F340" s="1" t="str">
        <f ca="1">IFERROR(__xludf.DUMMYFUNCTION("""COMPUTED_VALUE"""),"Mat 3")</f>
        <v>Mat 3</v>
      </c>
      <c r="G340" s="1" t="str">
        <f ca="1">IFERROR(__xludf.DUMMYFUNCTION("""COMPUTED_VALUE"""),"MS")</f>
        <v>MS</v>
      </c>
      <c r="H340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340" s="1"/>
      <c r="J340" s="1"/>
      <c r="K340" s="1"/>
      <c r="L340" s="1"/>
      <c r="M340" s="1"/>
      <c r="N340" s="1" t="str">
        <f ca="1">IFERROR(__xludf.DUMMYFUNCTION("""COMPUTED_VALUE"""),"Fille")</f>
        <v>Fille</v>
      </c>
      <c r="O340" s="1"/>
      <c r="P340" s="1" t="str">
        <f ca="1">IFERROR(__xludf.DUMMYFUNCTION("""COMPUTED_VALUE"""),"FRANCE")</f>
        <v>FRANCE</v>
      </c>
      <c r="Q340" s="1"/>
      <c r="R340" s="1"/>
      <c r="S340" s="1"/>
      <c r="T340" s="1" t="str">
        <f ca="1">IFERROR(__xludf.DUMMYFUNCTION("""COMPUTED_VALUE"""),"LE ROCH Alban")</f>
        <v>LE ROCH Alban</v>
      </c>
      <c r="U340" s="1" t="str">
        <f ca="1">IFERROR(__xludf.DUMMYFUNCTION("""COMPUTED_VALUE"""),"LE ROCH Adjoua")</f>
        <v>LE ROCH Adjoua</v>
      </c>
      <c r="V340" s="1" t="str">
        <f ca="1">IFERROR(__xludf.DUMMYFUNCTION("""COMPUTED_VALUE"""),"alr.pro@icloud.com")</f>
        <v>alr.pro@icloud.com</v>
      </c>
      <c r="W340" s="1" t="str">
        <f ca="1">IFERROR(__xludf.DUMMYFUNCTION("""COMPUTED_VALUE"""),"alr.pro@icloud.com")</f>
        <v>alr.pro@icloud.com</v>
      </c>
      <c r="X340" s="1" t="str">
        <f ca="1">IFERROR(__xludf.DUMMYFUNCTION("""COMPUTED_VALUE"""),"77 460 13 10")</f>
        <v>77 460 13 10</v>
      </c>
      <c r="Y340" s="1" t="str">
        <f ca="1">IFERROR(__xludf.DUMMYFUNCTION("""COMPUTED_VALUE"""),"774100773")</f>
        <v>774100773</v>
      </c>
      <c r="Z340" s="1"/>
      <c r="AA340" s="1"/>
      <c r="AB340" s="2">
        <f ca="1">IFERROR(__xludf.DUMMYFUNCTION("""COMPUTED_VALUE"""),29407)</f>
        <v>29407</v>
      </c>
      <c r="AC340" s="2">
        <f ca="1">IFERROR(__xludf.DUMMYFUNCTION("""COMPUTED_VALUE"""),33189)</f>
        <v>33189</v>
      </c>
      <c r="AD340" s="1" t="str">
        <f ca="1">IFERROR(__xludf.DUMMYFUNCTION("""COMPUTED_VALUE"""),"PERE")</f>
        <v>PERE</v>
      </c>
      <c r="AE340" s="1" t="str">
        <f ca="1">IFERROR(__xludf.DUMMYFUNCTION("""COMPUTED_VALUE"""),"MERE")</f>
        <v>MERE</v>
      </c>
      <c r="AF340" s="1" t="str">
        <f ca="1">IFERROR(__xludf.DUMMYFUNCTION("""COMPUTED_VALUE"""),"FRANCE")</f>
        <v>FRANCE</v>
      </c>
      <c r="AG340" s="1" t="str">
        <f ca="1">IFERROR(__xludf.DUMMYFUNCTION("""COMPUTED_VALUE"""),"COTE D'IVOIRE")</f>
        <v>COTE D'IVOIRE</v>
      </c>
      <c r="AH340" s="1"/>
      <c r="AI340" s="1"/>
      <c r="AJ340" s="1" t="str">
        <f ca="1">IFERROR(__xludf.DUMMYFUNCTION("""COMPUTED_VALUE"""),"F1413")</f>
        <v>F1413</v>
      </c>
      <c r="AK340" s="1" t="str">
        <f ca="1">IFERROR(__xludf.DUMMYFUNCTION("""COMPUTED_VALUE"""),"Marié(e)")</f>
        <v>Marié(e)</v>
      </c>
      <c r="AL340" s="1" t="str">
        <f ca="1">IFERROR(__xludf.DUMMYFUNCTION("""COMPUTED_VALUE"""),"Marié(e)")</f>
        <v>Marié(e)</v>
      </c>
      <c r="AM340" s="1" t="str">
        <f ca="1">IFERROR(__xludf.DUMMYFUNCTION("""COMPUTED_VALUE"""),"F1413")</f>
        <v>F1413</v>
      </c>
    </row>
    <row r="341" spans="1:39" ht="13" x14ac:dyDescent="0.15">
      <c r="A341" s="1" t="str">
        <f ca="1">IFERROR(__xludf.DUMMYFUNCTION("""COMPUTED_VALUE"""),"LE ROCH Jade")</f>
        <v>LE ROCH Jade</v>
      </c>
      <c r="B341" s="1" t="str">
        <f ca="1">IFERROR(__xludf.DUMMYFUNCTION("""COMPUTED_VALUE"""),"LE ROCH")</f>
        <v>LE ROCH</v>
      </c>
      <c r="C341" s="1" t="str">
        <f ca="1">IFERROR(__xludf.DUMMYFUNCTION("""COMPUTED_VALUE"""),"Jade")</f>
        <v>Jade</v>
      </c>
      <c r="D341" s="1" t="str">
        <f ca="1">IFERROR(__xludf.DUMMYFUNCTION("""COMPUTED_VALUE"""),"1413E3")</f>
        <v>1413E3</v>
      </c>
      <c r="E341" s="2">
        <f ca="1">IFERROR(__xludf.DUMMYFUNCTION("""COMPUTED_VALUE"""),42127)</f>
        <v>42127</v>
      </c>
      <c r="F341" s="1" t="str">
        <f ca="1">IFERROR(__xludf.DUMMYFUNCTION("""COMPUTED_VALUE"""),"CM2A")</f>
        <v>CM2A</v>
      </c>
      <c r="G341" s="1" t="str">
        <f ca="1">IFERROR(__xludf.DUMMYFUNCTION("""COMPUTED_VALUE"""),"CM2")</f>
        <v>CM2</v>
      </c>
      <c r="H341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341" s="1"/>
      <c r="J341" s="1"/>
      <c r="K341" s="1"/>
      <c r="L341" s="1"/>
      <c r="M341" s="1"/>
      <c r="N341" s="1" t="str">
        <f ca="1">IFERROR(__xludf.DUMMYFUNCTION("""COMPUTED_VALUE"""),"Fille")</f>
        <v>Fille</v>
      </c>
      <c r="O341" s="1"/>
      <c r="P341" s="1" t="str">
        <f ca="1">IFERROR(__xludf.DUMMYFUNCTION("""COMPUTED_VALUE"""),"FRANCE")</f>
        <v>FRANCE</v>
      </c>
      <c r="Q341" s="1"/>
      <c r="R341" s="1"/>
      <c r="S341" s="1" t="str">
        <f ca="1">IFERROR(__xludf.DUMMYFUNCTION("""COMPUTED_VALUE"""),"+221 77 460 13 10")</f>
        <v>+221 77 460 13 10</v>
      </c>
      <c r="T341" s="1" t="str">
        <f ca="1">IFERROR(__xludf.DUMMYFUNCTION("""COMPUTED_VALUE"""),"LE ROCH Alban")</f>
        <v>LE ROCH Alban</v>
      </c>
      <c r="U341" s="1" t="str">
        <f ca="1">IFERROR(__xludf.DUMMYFUNCTION("""COMPUTED_VALUE"""),"LE ROCH Adjoua")</f>
        <v>LE ROCH Adjoua</v>
      </c>
      <c r="V341" s="1" t="str">
        <f ca="1">IFERROR(__xludf.DUMMYFUNCTION("""COMPUTED_VALUE"""),"alr.pro@icloud.com")</f>
        <v>alr.pro@icloud.com</v>
      </c>
      <c r="W341" s="1" t="str">
        <f ca="1">IFERROR(__xludf.DUMMYFUNCTION("""COMPUTED_VALUE"""),"alr.pro@icloud.com")</f>
        <v>alr.pro@icloud.com</v>
      </c>
      <c r="X341" s="1" t="str">
        <f ca="1">IFERROR(__xludf.DUMMYFUNCTION("""COMPUTED_VALUE"""),"77 460 13 10")</f>
        <v>77 460 13 10</v>
      </c>
      <c r="Y341" s="1" t="str">
        <f ca="1">IFERROR(__xludf.DUMMYFUNCTION("""COMPUTED_VALUE"""),"774100773")</f>
        <v>774100773</v>
      </c>
      <c r="Z341" s="1"/>
      <c r="AA341" s="1"/>
      <c r="AB341" s="2">
        <f ca="1">IFERROR(__xludf.DUMMYFUNCTION("""COMPUTED_VALUE"""),29407)</f>
        <v>29407</v>
      </c>
      <c r="AC341" s="2">
        <f ca="1">IFERROR(__xludf.DUMMYFUNCTION("""COMPUTED_VALUE"""),33189)</f>
        <v>33189</v>
      </c>
      <c r="AD341" s="1" t="str">
        <f ca="1">IFERROR(__xludf.DUMMYFUNCTION("""COMPUTED_VALUE"""),"PERE")</f>
        <v>PERE</v>
      </c>
      <c r="AE341" s="1" t="str">
        <f ca="1">IFERROR(__xludf.DUMMYFUNCTION("""COMPUTED_VALUE"""),"MERE")</f>
        <v>MERE</v>
      </c>
      <c r="AF341" s="1" t="str">
        <f ca="1">IFERROR(__xludf.DUMMYFUNCTION("""COMPUTED_VALUE"""),"FRANCE")</f>
        <v>FRANCE</v>
      </c>
      <c r="AG341" s="1" t="str">
        <f ca="1">IFERROR(__xludf.DUMMYFUNCTION("""COMPUTED_VALUE"""),"COTE D'IVOIRE")</f>
        <v>COTE D'IVOIRE</v>
      </c>
      <c r="AH341" s="1"/>
      <c r="AI341" s="1"/>
      <c r="AJ341" s="1" t="str">
        <f ca="1">IFERROR(__xludf.DUMMYFUNCTION("""COMPUTED_VALUE"""),"F1413")</f>
        <v>F1413</v>
      </c>
      <c r="AK341" s="1" t="str">
        <f ca="1">IFERROR(__xludf.DUMMYFUNCTION("""COMPUTED_VALUE"""),"Marié(e)")</f>
        <v>Marié(e)</v>
      </c>
      <c r="AL341" s="1" t="str">
        <f ca="1">IFERROR(__xludf.DUMMYFUNCTION("""COMPUTED_VALUE"""),"Marié(e)")</f>
        <v>Marié(e)</v>
      </c>
      <c r="AM341" s="1" t="str">
        <f ca="1">IFERROR(__xludf.DUMMYFUNCTION("""COMPUTED_VALUE"""),"F1413")</f>
        <v>F1413</v>
      </c>
    </row>
    <row r="342" spans="1:39" ht="13" x14ac:dyDescent="0.15">
      <c r="A342" s="1" t="str">
        <f ca="1">IFERROR(__xludf.DUMMYFUNCTION("""COMPUTED_VALUE"""),"LEBRERE Thaîs")</f>
        <v>LEBRERE Thaîs</v>
      </c>
      <c r="B342" s="1" t="str">
        <f ca="1">IFERROR(__xludf.DUMMYFUNCTION("""COMPUTED_VALUE"""),"LEBRERE")</f>
        <v>LEBRERE</v>
      </c>
      <c r="C342" s="1" t="str">
        <f ca="1">IFERROR(__xludf.DUMMYFUNCTION("""COMPUTED_VALUE"""),"Thaîs")</f>
        <v>Thaîs</v>
      </c>
      <c r="D342" s="1" t="str">
        <f ca="1">IFERROR(__xludf.DUMMYFUNCTION("""COMPUTED_VALUE"""),"1414E1")</f>
        <v>1414E1</v>
      </c>
      <c r="E342" s="2">
        <f ca="1">IFERROR(__xludf.DUMMYFUNCTION("""COMPUTED_VALUE"""),41300)</f>
        <v>41300</v>
      </c>
      <c r="F342" s="1" t="str">
        <f ca="1">IFERROR(__xludf.DUMMYFUNCTION("""COMPUTED_VALUE"""),"5EME1")</f>
        <v>5EME1</v>
      </c>
      <c r="G342" s="1" t="str">
        <f ca="1">IFERROR(__xludf.DUMMYFUNCTION("""COMPUTED_VALUE"""),"5ème")</f>
        <v>5ème</v>
      </c>
      <c r="H342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342" s="1" t="str">
        <f ca="1">IFERROR(__xludf.DUMMYFUNCTION("""COMPUTED_VALUE"""),"LVA Anglais")</f>
        <v>LVA Anglais</v>
      </c>
      <c r="J342" s="1" t="str">
        <f ca="1">IFERROR(__xludf.DUMMYFUNCTION("""COMPUTED_VALUE"""),"LVB Espagnol")</f>
        <v>LVB Espagnol</v>
      </c>
      <c r="K342" s="1"/>
      <c r="L342" s="1"/>
      <c r="M342" s="1"/>
      <c r="N342" s="1" t="str">
        <f ca="1">IFERROR(__xludf.DUMMYFUNCTION("""COMPUTED_VALUE"""),"Fille")</f>
        <v>Fille</v>
      </c>
      <c r="O342" s="1"/>
      <c r="P342" s="1" t="str">
        <f ca="1">IFERROR(__xludf.DUMMYFUNCTION("""COMPUTED_VALUE"""),"FRANCE")</f>
        <v>FRANCE</v>
      </c>
      <c r="Q342" s="1"/>
      <c r="R342" s="1" t="str">
        <f ca="1">IFERROR(__xludf.DUMMYFUNCTION("""COMPUTED_VALUE"""),"thais.lebrere@lfjpsaly.org")</f>
        <v>thais.lebrere@lfjpsaly.org</v>
      </c>
      <c r="S342" s="1"/>
      <c r="T342" s="1" t="str">
        <f ca="1">IFERROR(__xludf.DUMMYFUNCTION("""COMPUTED_VALUE"""),"NIVEL Fanny")</f>
        <v>NIVEL Fanny</v>
      </c>
      <c r="U342" s="1" t="str">
        <f ca="1">IFERROR(__xludf.DUMMYFUNCTION("""COMPUTED_VALUE"""),"LEBRERE Jean-Marie")</f>
        <v>LEBRERE Jean-Marie</v>
      </c>
      <c r="V342" s="1" t="str">
        <f ca="1">IFERROR(__xludf.DUMMYFUNCTION("""COMPUTED_VALUE"""),"fanny.nivel@gmail.com")</f>
        <v>fanny.nivel@gmail.com</v>
      </c>
      <c r="W342" s="1" t="str">
        <f ca="1">IFERROR(__xludf.DUMMYFUNCTION("""COMPUTED_VALUE"""),"lebrerejeanmarie@gmail.com")</f>
        <v>lebrerejeanmarie@gmail.com</v>
      </c>
      <c r="X342" s="1" t="str">
        <f ca="1">IFERROR(__xludf.DUMMYFUNCTION("""COMPUTED_VALUE"""),"77 487 73 78")</f>
        <v>77 487 73 78</v>
      </c>
      <c r="Y342" s="1" t="str">
        <f ca="1">IFERROR(__xludf.DUMMYFUNCTION("""COMPUTED_VALUE"""),"78 635 13 34")</f>
        <v>78 635 13 34</v>
      </c>
      <c r="Z342" s="1" t="str">
        <f ca="1">IFERROR(__xludf.DUMMYFUNCTION("""COMPUTED_VALUE"""),"+590 690 73 11 18")</f>
        <v>+590 690 73 11 18</v>
      </c>
      <c r="AA342" s="1"/>
      <c r="AB342" s="2">
        <f ca="1">IFERROR(__xludf.DUMMYFUNCTION("""COMPUTED_VALUE"""),30506)</f>
        <v>30506</v>
      </c>
      <c r="AC342" s="2">
        <f ca="1">IFERROR(__xludf.DUMMYFUNCTION("""COMPUTED_VALUE"""),26200)</f>
        <v>26200</v>
      </c>
      <c r="AD342" s="1" t="str">
        <f ca="1">IFERROR(__xludf.DUMMYFUNCTION("""COMPUTED_VALUE"""),"MERE")</f>
        <v>MERE</v>
      </c>
      <c r="AE342" s="1" t="str">
        <f ca="1">IFERROR(__xludf.DUMMYFUNCTION("""COMPUTED_VALUE"""),"PERE")</f>
        <v>PERE</v>
      </c>
      <c r="AF342" s="1" t="str">
        <f ca="1">IFERROR(__xludf.DUMMYFUNCTION("""COMPUTED_VALUE"""),"FRANCE")</f>
        <v>FRANCE</v>
      </c>
      <c r="AG342" s="1" t="str">
        <f ca="1">IFERROR(__xludf.DUMMYFUNCTION("""COMPUTED_VALUE"""),"FRANCE")</f>
        <v>FRANCE</v>
      </c>
      <c r="AH342" s="1"/>
      <c r="AI342" s="1"/>
      <c r="AJ342" s="1" t="str">
        <f ca="1">IFERROR(__xludf.DUMMYFUNCTION("""COMPUTED_VALUE"""),"F1414")</f>
        <v>F1414</v>
      </c>
      <c r="AK342" s="1" t="str">
        <f ca="1">IFERROR(__xludf.DUMMYFUNCTION("""COMPUTED_VALUE"""),"CONCUBINAGE")</f>
        <v>CONCUBINAGE</v>
      </c>
      <c r="AL342" s="1" t="str">
        <f ca="1">IFERROR(__xludf.DUMMYFUNCTION("""COMPUTED_VALUE"""),"CONCUBINAGE")</f>
        <v>CONCUBINAGE</v>
      </c>
      <c r="AM342" s="1" t="str">
        <f ca="1">IFERROR(__xludf.DUMMYFUNCTION("""COMPUTED_VALUE"""),"F1414")</f>
        <v>F1414</v>
      </c>
    </row>
    <row r="343" spans="1:39" ht="13" x14ac:dyDescent="0.15">
      <c r="A343" s="1" t="str">
        <f ca="1">IFERROR(__xludf.DUMMYFUNCTION("""COMPUTED_VALUE"""),"LEMAIRE Simon")</f>
        <v>LEMAIRE Simon</v>
      </c>
      <c r="B343" s="1" t="str">
        <f ca="1">IFERROR(__xludf.DUMMYFUNCTION("""COMPUTED_VALUE"""),"LEMAIRE")</f>
        <v>LEMAIRE</v>
      </c>
      <c r="C343" s="1" t="str">
        <f ca="1">IFERROR(__xludf.DUMMYFUNCTION("""COMPUTED_VALUE"""),"Simon")</f>
        <v>Simon</v>
      </c>
      <c r="D343" s="1" t="str">
        <f ca="1">IFERROR(__xludf.DUMMYFUNCTION("""COMPUTED_VALUE"""),"1416E1")</f>
        <v>1416E1</v>
      </c>
      <c r="E343" s="2">
        <f ca="1">IFERROR(__xludf.DUMMYFUNCTION("""COMPUTED_VALUE"""),39818)</f>
        <v>39818</v>
      </c>
      <c r="F343" s="1" t="str">
        <f ca="1">IFERROR(__xludf.DUMMYFUNCTION("""COMPUTED_VALUE"""),"1ERE1")</f>
        <v>1ERE1</v>
      </c>
      <c r="G343" s="1" t="str">
        <f ca="1">IFERROR(__xludf.DUMMYFUNCTION("""COMPUTED_VALUE"""),"1ère")</f>
        <v>1ère</v>
      </c>
      <c r="H343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343" s="1" t="str">
        <f ca="1">IFERROR(__xludf.DUMMYFUNCTION("""COMPUTED_VALUE"""),"LVA Anglais")</f>
        <v>LVA Anglais</v>
      </c>
      <c r="J343" s="1" t="str">
        <f ca="1">IFERROR(__xludf.DUMMYFUNCTION("""COMPUTED_VALUE"""),"LVB Espagnol")</f>
        <v>LVB Espagnol</v>
      </c>
      <c r="K343" s="1"/>
      <c r="L343" s="1"/>
      <c r="M343" s="1" t="str">
        <f ca="1">IFERROR(__xludf.DUMMYFUNCTION("""COMPUTED_VALUE"""),"SPE MATHS, SPE SES, SPE SPC")</f>
        <v>SPE MATHS, SPE SES, SPE SPC</v>
      </c>
      <c r="N343" s="1" t="str">
        <f ca="1">IFERROR(__xludf.DUMMYFUNCTION("""COMPUTED_VALUE"""),"Garçon")</f>
        <v>Garçon</v>
      </c>
      <c r="O343" s="1"/>
      <c r="P343" s="1" t="str">
        <f ca="1">IFERROR(__xludf.DUMMYFUNCTION("""COMPUTED_VALUE"""),"FRANCE")</f>
        <v>FRANCE</v>
      </c>
      <c r="Q343" s="1" t="str">
        <f ca="1">IFERROR(__xludf.DUMMYFUNCTION("""COMPUTED_VALUE"""),"SENEGAL")</f>
        <v>SENEGAL</v>
      </c>
      <c r="R343" s="1" t="str">
        <f ca="1">IFERROR(__xludf.DUMMYFUNCTION("""COMPUTED_VALUE"""),"simon.lemaire@lfjpsaly.org")</f>
        <v>simon.lemaire@lfjpsaly.org</v>
      </c>
      <c r="S343" s="1" t="str">
        <f ca="1">IFERROR(__xludf.DUMMYFUNCTION("""COMPUTED_VALUE"""),"+221 77 476 13 70")</f>
        <v>+221 77 476 13 70</v>
      </c>
      <c r="T343" s="1" t="str">
        <f ca="1">IFERROR(__xludf.DUMMYFUNCTION("""COMPUTED_VALUE"""),"LEMAIRE Penda")</f>
        <v>LEMAIRE Penda</v>
      </c>
      <c r="U343" s="1"/>
      <c r="V343" s="1" t="str">
        <f ca="1">IFERROR(__xludf.DUMMYFUNCTION("""COMPUTED_VALUE"""),"lemairependa@yahoo.com")</f>
        <v>lemairependa@yahoo.com</v>
      </c>
      <c r="W343" s="1"/>
      <c r="X343" s="1" t="str">
        <f ca="1">IFERROR(__xludf.DUMMYFUNCTION("""COMPUTED_VALUE"""),"+221 77 476 13 70")</f>
        <v>+221 77 476 13 70</v>
      </c>
      <c r="Y343" s="1"/>
      <c r="Z343" s="1" t="str">
        <f ca="1">IFERROR(__xludf.DUMMYFUNCTION("""COMPUTED_VALUE"""),"+33")</f>
        <v>+33</v>
      </c>
      <c r="AA343" s="1"/>
      <c r="AB343" s="2">
        <f ca="1">IFERROR(__xludf.DUMMYFUNCTION("""COMPUTED_VALUE"""),25226)</f>
        <v>25226</v>
      </c>
      <c r="AC343" s="1"/>
      <c r="AD343" s="1" t="str">
        <f ca="1">IFERROR(__xludf.DUMMYFUNCTION("""COMPUTED_VALUE"""),"MERE")</f>
        <v>MERE</v>
      </c>
      <c r="AE343" s="1"/>
      <c r="AF343" s="1" t="str">
        <f ca="1">IFERROR(__xludf.DUMMYFUNCTION("""COMPUTED_VALUE"""),"FRANCE")</f>
        <v>FRANCE</v>
      </c>
      <c r="AG343" s="1"/>
      <c r="AH343" s="1" t="str">
        <f ca="1">IFERROR(__xludf.DUMMYFUNCTION("""COMPUTED_VALUE"""),"SENEGAL")</f>
        <v>SENEGAL</v>
      </c>
      <c r="AI343" s="1"/>
      <c r="AJ343" s="1" t="str">
        <f ca="1">IFERROR(__xludf.DUMMYFUNCTION("""COMPUTED_VALUE"""),"F1416")</f>
        <v>F1416</v>
      </c>
      <c r="AK343" s="1" t="str">
        <f ca="1">IFERROR(__xludf.DUMMYFUNCTION("""COMPUTED_VALUE"""),"Veuf(ve)")</f>
        <v>Veuf(ve)</v>
      </c>
      <c r="AL343" s="1"/>
      <c r="AM343" s="1" t="str">
        <f ca="1">IFERROR(__xludf.DUMMYFUNCTION("""COMPUTED_VALUE"""),"F1416")</f>
        <v>F1416</v>
      </c>
    </row>
    <row r="344" spans="1:39" ht="13" x14ac:dyDescent="0.15">
      <c r="A344" s="1" t="str">
        <f ca="1">IFERROR(__xludf.DUMMYFUNCTION("""COMPUTED_VALUE"""),"LENOIR DEGROOTE Aitonui")</f>
        <v>LENOIR DEGROOTE Aitonui</v>
      </c>
      <c r="B344" s="1" t="str">
        <f ca="1">IFERROR(__xludf.DUMMYFUNCTION("""COMPUTED_VALUE"""),"LENOIR DEGROOTE")</f>
        <v>LENOIR DEGROOTE</v>
      </c>
      <c r="C344" s="1" t="str">
        <f ca="1">IFERROR(__xludf.DUMMYFUNCTION("""COMPUTED_VALUE"""),"Aitonui")</f>
        <v>Aitonui</v>
      </c>
      <c r="D344" s="1" t="str">
        <f ca="1">IFERROR(__xludf.DUMMYFUNCTION("""COMPUTED_VALUE"""),"1417E1")</f>
        <v>1417E1</v>
      </c>
      <c r="E344" s="2">
        <f ca="1">IFERROR(__xludf.DUMMYFUNCTION("""COMPUTED_VALUE"""),41046)</f>
        <v>41046</v>
      </c>
      <c r="F344" s="1" t="str">
        <f ca="1">IFERROR(__xludf.DUMMYFUNCTION("""COMPUTED_VALUE"""),"4EME1")</f>
        <v>4EME1</v>
      </c>
      <c r="G344" s="1" t="str">
        <f ca="1">IFERROR(__xludf.DUMMYFUNCTION("""COMPUTED_VALUE"""),"4ème")</f>
        <v>4ème</v>
      </c>
      <c r="H344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344" s="1" t="str">
        <f ca="1">IFERROR(__xludf.DUMMYFUNCTION("""COMPUTED_VALUE"""),"LVA Anglais")</f>
        <v>LVA Anglais</v>
      </c>
      <c r="J344" s="1" t="str">
        <f ca="1">IFERROR(__xludf.DUMMYFUNCTION("""COMPUTED_VALUE"""),"LVB Espagnol")</f>
        <v>LVB Espagnol</v>
      </c>
      <c r="K344" s="1"/>
      <c r="L344" s="1"/>
      <c r="M344" s="1"/>
      <c r="N344" s="1" t="str">
        <f ca="1">IFERROR(__xludf.DUMMYFUNCTION("""COMPUTED_VALUE"""),"Garçon")</f>
        <v>Garçon</v>
      </c>
      <c r="O344" s="1"/>
      <c r="P344" s="1" t="str">
        <f ca="1">IFERROR(__xludf.DUMMYFUNCTION("""COMPUTED_VALUE"""),"FRANCE")</f>
        <v>FRANCE</v>
      </c>
      <c r="Q344" s="1"/>
      <c r="R344" s="1" t="str">
        <f ca="1">IFERROR(__xludf.DUMMYFUNCTION("""COMPUTED_VALUE"""),"aitonui.lenoirdegroote@lfjpsaly.org")</f>
        <v>aitonui.lenoirdegroote@lfjpsaly.org</v>
      </c>
      <c r="S344" s="1" t="str">
        <f ca="1">IFERROR(__xludf.DUMMYFUNCTION("""COMPUTED_VALUE"""),"+221")</f>
        <v>+221</v>
      </c>
      <c r="T344" s="1" t="str">
        <f ca="1">IFERROR(__xludf.DUMMYFUNCTION("""COMPUTED_VALUE"""),"DEGROOTE Alizé")</f>
        <v>DEGROOTE Alizé</v>
      </c>
      <c r="U344" s="1" t="str">
        <f ca="1">IFERROR(__xludf.DUMMYFUNCTION("""COMPUTED_VALUE"""),"MALAQUIN Thomas")</f>
        <v>MALAQUIN Thomas</v>
      </c>
      <c r="V344" s="1" t="str">
        <f ca="1">IFERROR(__xludf.DUMMYFUNCTION("""COMPUTED_VALUE"""),"katia.degroote@gmail.com")</f>
        <v>katia.degroote@gmail.com</v>
      </c>
      <c r="W344" s="1" t="str">
        <f ca="1">IFERROR(__xludf.DUMMYFUNCTION("""COMPUTED_VALUE"""),"tomperformance@hotmail.fr")</f>
        <v>tomperformance@hotmail.fr</v>
      </c>
      <c r="X344" s="1" t="str">
        <f ca="1">IFERROR(__xludf.DUMMYFUNCTION("""COMPUTED_VALUE"""),"+221 77 768 62 74")</f>
        <v>+221 77 768 62 74</v>
      </c>
      <c r="Y344" s="1" t="str">
        <f ca="1">IFERROR(__xludf.DUMMYFUNCTION("""COMPUTED_VALUE"""),"+221 78 158 39 64")</f>
        <v>+221 78 158 39 64</v>
      </c>
      <c r="Z344" s="1" t="str">
        <f ca="1">IFERROR(__xludf.DUMMYFUNCTION("""COMPUTED_VALUE"""),"+221 77 768 62 74")</f>
        <v>+221 77 768 62 74</v>
      </c>
      <c r="AA344" s="1" t="str">
        <f ca="1">IFERROR(__xludf.DUMMYFUNCTION("""COMPUTED_VALUE"""),"+221 77 768 62 74")</f>
        <v>+221 77 768 62 74</v>
      </c>
      <c r="AB344" s="2">
        <f ca="1">IFERROR(__xludf.DUMMYFUNCTION("""COMPUTED_VALUE"""),34098)</f>
        <v>34098</v>
      </c>
      <c r="AC344" s="2">
        <f ca="1">IFERROR(__xludf.DUMMYFUNCTION("""COMPUTED_VALUE"""),31153)</f>
        <v>31153</v>
      </c>
      <c r="AD344" s="1" t="str">
        <f ca="1">IFERROR(__xludf.DUMMYFUNCTION("""COMPUTED_VALUE"""),"MERE")</f>
        <v>MERE</v>
      </c>
      <c r="AE344" s="1" t="str">
        <f ca="1">IFERROR(__xludf.DUMMYFUNCTION("""COMPUTED_VALUE"""),"AUTRE FAM.")</f>
        <v>AUTRE FAM.</v>
      </c>
      <c r="AF344" s="1" t="str">
        <f ca="1">IFERROR(__xludf.DUMMYFUNCTION("""COMPUTED_VALUE"""),"FRANCE")</f>
        <v>FRANCE</v>
      </c>
      <c r="AG344" s="1" t="str">
        <f ca="1">IFERROR(__xludf.DUMMYFUNCTION("""COMPUTED_VALUE"""),"FRANCE")</f>
        <v>FRANCE</v>
      </c>
      <c r="AH344" s="1"/>
      <c r="AI344" s="1"/>
      <c r="AJ344" s="1" t="str">
        <f ca="1">IFERROR(__xludf.DUMMYFUNCTION("""COMPUTED_VALUE"""),"F1417")</f>
        <v>F1417</v>
      </c>
      <c r="AK344" s="1" t="str">
        <f ca="1">IFERROR(__xludf.DUMMYFUNCTION("""COMPUTED_VALUE"""),"CONCUBINAGE")</f>
        <v>CONCUBINAGE</v>
      </c>
      <c r="AL344" s="1" t="str">
        <f ca="1">IFERROR(__xludf.DUMMYFUNCTION("""COMPUTED_VALUE"""),"Célibataire")</f>
        <v>Célibataire</v>
      </c>
      <c r="AM344" s="1" t="str">
        <f ca="1">IFERROR(__xludf.DUMMYFUNCTION("""COMPUTED_VALUE"""),"F1417")</f>
        <v>F1417</v>
      </c>
    </row>
    <row r="345" spans="1:39" ht="13" x14ac:dyDescent="0.15">
      <c r="A345" s="1" t="str">
        <f ca="1">IFERROR(__xludf.DUMMYFUNCTION("""COMPUTED_VALUE"""),"LENQUETTE Yama")</f>
        <v>LENQUETTE Yama</v>
      </c>
      <c r="B345" s="1" t="str">
        <f ca="1">IFERROR(__xludf.DUMMYFUNCTION("""COMPUTED_VALUE"""),"LENQUETTE")</f>
        <v>LENQUETTE</v>
      </c>
      <c r="C345" s="1" t="str">
        <f ca="1">IFERROR(__xludf.DUMMYFUNCTION("""COMPUTED_VALUE"""),"Yama")</f>
        <v>Yama</v>
      </c>
      <c r="D345" s="1" t="str">
        <f ca="1">IFERROR(__xludf.DUMMYFUNCTION("""COMPUTED_VALUE"""),"1669E1")</f>
        <v>1669E1</v>
      </c>
      <c r="E345" s="2">
        <f ca="1">IFERROR(__xludf.DUMMYFUNCTION("""COMPUTED_VALUE"""),40427)</f>
        <v>40427</v>
      </c>
      <c r="F345" s="1" t="str">
        <f ca="1">IFERROR(__xludf.DUMMYFUNCTION("""COMPUTED_VALUE"""),"2NDE2")</f>
        <v>2NDE2</v>
      </c>
      <c r="G345" s="1" t="str">
        <f ca="1">IFERROR(__xludf.DUMMYFUNCTION("""COMPUTED_VALUE"""),"2nde")</f>
        <v>2nde</v>
      </c>
      <c r="H345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345" s="1" t="str">
        <f ca="1">IFERROR(__xludf.DUMMYFUNCTION("""COMPUTED_VALUE"""),"LVA Anglais")</f>
        <v>LVA Anglais</v>
      </c>
      <c r="J345" s="1" t="str">
        <f ca="1">IFERROR(__xludf.DUMMYFUNCTION("""COMPUTED_VALUE"""),"LVB Espagnol")</f>
        <v>LVB Espagnol</v>
      </c>
      <c r="K345" s="1"/>
      <c r="L345" s="1"/>
      <c r="M345" s="1"/>
      <c r="N345" s="1" t="str">
        <f ca="1">IFERROR(__xludf.DUMMYFUNCTION("""COMPUTED_VALUE"""),"Fille")</f>
        <v>Fille</v>
      </c>
      <c r="O345" s="1"/>
      <c r="P345" s="1" t="str">
        <f ca="1">IFERROR(__xludf.DUMMYFUNCTION("""COMPUTED_VALUE"""),"FRANCE")</f>
        <v>FRANCE</v>
      </c>
      <c r="Q345" s="1" t="str">
        <f ca="1">IFERROR(__xludf.DUMMYFUNCTION("""COMPUTED_VALUE"""),"SENEGAL")</f>
        <v>SENEGAL</v>
      </c>
      <c r="R345" s="1" t="str">
        <f ca="1">IFERROR(__xludf.DUMMYFUNCTION("""COMPUTED_VALUE"""),"yama.lenquette@lfjpsaly.org")</f>
        <v>yama.lenquette@lfjpsaly.org</v>
      </c>
      <c r="S345" s="1" t="str">
        <f ca="1">IFERROR(__xludf.DUMMYFUNCTION("""COMPUTED_VALUE"""),"+221 77 310 25 26")</f>
        <v>+221 77 310 25 26</v>
      </c>
      <c r="T345" s="1" t="str">
        <f ca="1">IFERROR(__xludf.DUMMYFUNCTION("""COMPUTED_VALUE"""),"LENQUETTE Youri Georges")</f>
        <v>LENQUETTE Youri Georges</v>
      </c>
      <c r="U345" s="1" t="str">
        <f ca="1">IFERROR(__xludf.DUMMYFUNCTION("""COMPUTED_VALUE"""),"LENQUETTE Adja")</f>
        <v>LENQUETTE Adja</v>
      </c>
      <c r="V345" s="1" t="str">
        <f ca="1">IFERROR(__xludf.DUMMYFUNCTION("""COMPUTED_VALUE"""),"yourilenquette@gmail.com")</f>
        <v>yourilenquette@gmail.com</v>
      </c>
      <c r="W345" s="1" t="str">
        <f ca="1">IFERROR(__xludf.DUMMYFUNCTION("""COMPUTED_VALUE"""),"adjambaye2208@gmail.com")</f>
        <v>adjambaye2208@gmail.com</v>
      </c>
      <c r="X345" s="1" t="str">
        <f ca="1">IFERROR(__xludf.DUMMYFUNCTION("""COMPUTED_VALUE"""),"+221 77 310 25 26")</f>
        <v>+221 77 310 25 26</v>
      </c>
      <c r="Y345" s="1" t="str">
        <f ca="1">IFERROR(__xludf.DUMMYFUNCTION("""COMPUTED_VALUE"""),"+221 77 128 50 59")</f>
        <v>+221 77 128 50 59</v>
      </c>
      <c r="Z345" s="1"/>
      <c r="AA345" s="1"/>
      <c r="AB345" s="2">
        <f ca="1">IFERROR(__xludf.DUMMYFUNCTION("""COMPUTED_VALUE"""),20717)</f>
        <v>20717</v>
      </c>
      <c r="AC345" s="2">
        <f ca="1">IFERROR(__xludf.DUMMYFUNCTION("""COMPUTED_VALUE"""),31281)</f>
        <v>31281</v>
      </c>
      <c r="AD345" s="1" t="str">
        <f ca="1">IFERROR(__xludf.DUMMYFUNCTION("""COMPUTED_VALUE"""),"PERE")</f>
        <v>PERE</v>
      </c>
      <c r="AE345" s="1" t="str">
        <f ca="1">IFERROR(__xludf.DUMMYFUNCTION("""COMPUTED_VALUE"""),"MERE")</f>
        <v>MERE</v>
      </c>
      <c r="AF345" s="1" t="str">
        <f ca="1">IFERROR(__xludf.DUMMYFUNCTION("""COMPUTED_VALUE"""),"FRANCE")</f>
        <v>FRANCE</v>
      </c>
      <c r="AG345" s="1" t="str">
        <f ca="1">IFERROR(__xludf.DUMMYFUNCTION("""COMPUTED_VALUE"""),"SENEGAL")</f>
        <v>SENEGAL</v>
      </c>
      <c r="AH345" s="1" t="str">
        <f ca="1">IFERROR(__xludf.DUMMYFUNCTION("""COMPUTED_VALUE"""),"SENEGAL")</f>
        <v>SENEGAL</v>
      </c>
      <c r="AI345" s="1" t="str">
        <f ca="1">IFERROR(__xludf.DUMMYFUNCTION("""COMPUTED_VALUE"""),"FRANCE")</f>
        <v>FRANCE</v>
      </c>
      <c r="AJ345" s="1" t="str">
        <f ca="1">IFERROR(__xludf.DUMMYFUNCTION("""COMPUTED_VALUE"""),"F1669")</f>
        <v>F1669</v>
      </c>
      <c r="AK345" s="1" t="str">
        <f ca="1">IFERROR(__xludf.DUMMYFUNCTION("""COMPUTED_VALUE"""),"Marié(e)")</f>
        <v>Marié(e)</v>
      </c>
      <c r="AL345" s="1" t="str">
        <f ca="1">IFERROR(__xludf.DUMMYFUNCTION("""COMPUTED_VALUE"""),"Marié(e)")</f>
        <v>Marié(e)</v>
      </c>
      <c r="AM345" s="1" t="str">
        <f ca="1">IFERROR(__xludf.DUMMYFUNCTION("""COMPUTED_VALUE"""),"F1669")</f>
        <v>F1669</v>
      </c>
    </row>
    <row r="346" spans="1:39" ht="13" x14ac:dyDescent="0.15">
      <c r="A346" s="1" t="str">
        <f ca="1">IFERROR(__xludf.DUMMYFUNCTION("""COMPUTED_VALUE"""),"LEROY Anouchka")</f>
        <v>LEROY Anouchka</v>
      </c>
      <c r="B346" s="1" t="str">
        <f ca="1">IFERROR(__xludf.DUMMYFUNCTION("""COMPUTED_VALUE"""),"LEROY")</f>
        <v>LEROY</v>
      </c>
      <c r="C346" s="1" t="str">
        <f ca="1">IFERROR(__xludf.DUMMYFUNCTION("""COMPUTED_VALUE"""),"Anouchka")</f>
        <v>Anouchka</v>
      </c>
      <c r="D346" s="1" t="str">
        <f ca="1">IFERROR(__xludf.DUMMYFUNCTION("""COMPUTED_VALUE"""),"1419E1")</f>
        <v>1419E1</v>
      </c>
      <c r="E346" s="2">
        <f ca="1">IFERROR(__xludf.DUMMYFUNCTION("""COMPUTED_VALUE"""),40467)</f>
        <v>40467</v>
      </c>
      <c r="F346" s="1" t="str">
        <f ca="1">IFERROR(__xludf.DUMMYFUNCTION("""COMPUTED_VALUE"""),"2NDE1 COOP")</f>
        <v>2NDE1 COOP</v>
      </c>
      <c r="G346" s="1" t="str">
        <f ca="1">IFERROR(__xludf.DUMMYFUNCTION("""COMPUTED_VALUE"""),"2nde")</f>
        <v>2nde</v>
      </c>
      <c r="H346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346" s="1" t="str">
        <f ca="1">IFERROR(__xludf.DUMMYFUNCTION("""COMPUTED_VALUE"""),"LVA Anglais")</f>
        <v>LVA Anglais</v>
      </c>
      <c r="J346" s="1" t="str">
        <f ca="1">IFERROR(__xludf.DUMMYFUNCTION("""COMPUTED_VALUE"""),"LVB Espagnol")</f>
        <v>LVB Espagnol</v>
      </c>
      <c r="K346" s="1"/>
      <c r="L346" s="1"/>
      <c r="M346" s="1"/>
      <c r="N346" s="1" t="str">
        <f ca="1">IFERROR(__xludf.DUMMYFUNCTION("""COMPUTED_VALUE"""),"Fille")</f>
        <v>Fille</v>
      </c>
      <c r="O346" s="1"/>
      <c r="P346" s="1" t="str">
        <f ca="1">IFERROR(__xludf.DUMMYFUNCTION("""COMPUTED_VALUE"""),"FRANCE")</f>
        <v>FRANCE</v>
      </c>
      <c r="Q346" s="1"/>
      <c r="R346" s="1" t="str">
        <f ca="1">IFERROR(__xludf.DUMMYFUNCTION("""COMPUTED_VALUE"""),"anouchka.leroy@lfjpsaly.org")</f>
        <v>anouchka.leroy@lfjpsaly.org</v>
      </c>
      <c r="S346" s="1" t="str">
        <f ca="1">IFERROR(__xludf.DUMMYFUNCTION("""COMPUTED_VALUE"""),"+221 78 189 02 57")</f>
        <v>+221 78 189 02 57</v>
      </c>
      <c r="T346" s="1" t="str">
        <f ca="1">IFERROR(__xludf.DUMMYFUNCTION("""COMPUTED_VALUE"""),"LEROY Philippe")</f>
        <v>LEROY Philippe</v>
      </c>
      <c r="U346" s="1" t="str">
        <f ca="1">IFERROR(__xludf.DUMMYFUNCTION("""COMPUTED_VALUE"""),"LEROY Christine")</f>
        <v>LEROY Christine</v>
      </c>
      <c r="V346" s="1" t="str">
        <f ca="1">IFERROR(__xludf.DUMMYFUNCTION("""COMPUTED_VALUE"""),"pleroy1975@gmail.com")</f>
        <v>pleroy1975@gmail.com</v>
      </c>
      <c r="W346" s="1" t="str">
        <f ca="1">IFERROR(__xludf.DUMMYFUNCTION("""COMPUTED_VALUE"""),"cantherieu@hotmail.com")</f>
        <v>cantherieu@hotmail.com</v>
      </c>
      <c r="X346" s="1" t="str">
        <f ca="1">IFERROR(__xludf.DUMMYFUNCTION("""COMPUTED_VALUE"""),"+221 77 635 75 52")</f>
        <v>+221 77 635 75 52</v>
      </c>
      <c r="Y346" s="1" t="str">
        <f ca="1">IFERROR(__xludf.DUMMYFUNCTION("""COMPUTED_VALUE"""),"+221 77 625 88 74")</f>
        <v>+221 77 625 88 74</v>
      </c>
      <c r="Z346" s="1" t="str">
        <f ca="1">IFERROR(__xludf.DUMMYFUNCTION("""COMPUTED_VALUE"""),"+221")</f>
        <v>+221</v>
      </c>
      <c r="AA346" s="1" t="str">
        <f ca="1">IFERROR(__xludf.DUMMYFUNCTION("""COMPUTED_VALUE"""),"+221")</f>
        <v>+221</v>
      </c>
      <c r="AB346" s="2">
        <f ca="1">IFERROR(__xludf.DUMMYFUNCTION("""COMPUTED_VALUE"""),45811)</f>
        <v>45811</v>
      </c>
      <c r="AC346" s="2">
        <f ca="1">IFERROR(__xludf.DUMMYFUNCTION("""COMPUTED_VALUE"""),28158)</f>
        <v>28158</v>
      </c>
      <c r="AD346" s="1" t="str">
        <f ca="1">IFERROR(__xludf.DUMMYFUNCTION("""COMPUTED_VALUE"""),"PERE")</f>
        <v>PERE</v>
      </c>
      <c r="AE346" s="1" t="str">
        <f ca="1">IFERROR(__xludf.DUMMYFUNCTION("""COMPUTED_VALUE"""),"MERE")</f>
        <v>MERE</v>
      </c>
      <c r="AF346" s="1" t="str">
        <f ca="1">IFERROR(__xludf.DUMMYFUNCTION("""COMPUTED_VALUE"""),"FRANCE")</f>
        <v>FRANCE</v>
      </c>
      <c r="AG346" s="1" t="str">
        <f ca="1">IFERROR(__xludf.DUMMYFUNCTION("""COMPUTED_VALUE"""),"FRANCE")</f>
        <v>FRANCE</v>
      </c>
      <c r="AH346" s="1"/>
      <c r="AI346" s="1"/>
      <c r="AJ346" s="1" t="str">
        <f ca="1">IFERROR(__xludf.DUMMYFUNCTION("""COMPUTED_VALUE"""),"F1419")</f>
        <v>F1419</v>
      </c>
      <c r="AK346" s="1" t="str">
        <f ca="1">IFERROR(__xludf.DUMMYFUNCTION("""COMPUTED_VALUE"""),"Marié(e)")</f>
        <v>Marié(e)</v>
      </c>
      <c r="AL346" s="1" t="str">
        <f ca="1">IFERROR(__xludf.DUMMYFUNCTION("""COMPUTED_VALUE"""),"Marié(e)")</f>
        <v>Marié(e)</v>
      </c>
      <c r="AM346" s="1" t="str">
        <f ca="1">IFERROR(__xludf.DUMMYFUNCTION("""COMPUTED_VALUE"""),"F1419")</f>
        <v>F1419</v>
      </c>
    </row>
    <row r="347" spans="1:39" ht="13" x14ac:dyDescent="0.15">
      <c r="A347" s="1" t="str">
        <f ca="1">IFERROR(__xludf.DUMMYFUNCTION("""COMPUTED_VALUE"""),"LESAINT Abdou Latif")</f>
        <v>LESAINT Abdou Latif</v>
      </c>
      <c r="B347" s="1" t="str">
        <f ca="1">IFERROR(__xludf.DUMMYFUNCTION("""COMPUTED_VALUE"""),"LESAINT")</f>
        <v>LESAINT</v>
      </c>
      <c r="C347" s="1" t="str">
        <f ca="1">IFERROR(__xludf.DUMMYFUNCTION("""COMPUTED_VALUE"""),"Abdou Latif")</f>
        <v>Abdou Latif</v>
      </c>
      <c r="D347" s="1" t="str">
        <f ca="1">IFERROR(__xludf.DUMMYFUNCTION("""COMPUTED_VALUE"""),"1670E1")</f>
        <v>1670E1</v>
      </c>
      <c r="E347" s="2">
        <f ca="1">IFERROR(__xludf.DUMMYFUNCTION("""COMPUTED_VALUE"""),42605)</f>
        <v>42605</v>
      </c>
      <c r="F347" s="1" t="str">
        <f ca="1">IFERROR(__xludf.DUMMYFUNCTION("""COMPUTED_VALUE"""),"CM1B")</f>
        <v>CM1B</v>
      </c>
      <c r="G347" s="1" t="str">
        <f ca="1">IFERROR(__xludf.DUMMYFUNCTION("""COMPUTED_VALUE"""),"CM1")</f>
        <v>CM1</v>
      </c>
      <c r="H347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347" s="1"/>
      <c r="J347" s="1"/>
      <c r="K347" s="1"/>
      <c r="L347" s="1"/>
      <c r="M347" s="1"/>
      <c r="N347" s="1" t="str">
        <f ca="1">IFERROR(__xludf.DUMMYFUNCTION("""COMPUTED_VALUE"""),"Garçon")</f>
        <v>Garçon</v>
      </c>
      <c r="O347" s="1"/>
      <c r="P347" s="1" t="str">
        <f ca="1">IFERROR(__xludf.DUMMYFUNCTION("""COMPUTED_VALUE"""),"FRANCE")</f>
        <v>FRANCE</v>
      </c>
      <c r="Q347" s="1"/>
      <c r="R347" s="1"/>
      <c r="S347" s="1"/>
      <c r="T347" s="1" t="str">
        <f ca="1">IFERROR(__xludf.DUMMYFUNCTION("""COMPUTED_VALUE"""),"LESAINT Adji  Mareme")</f>
        <v>LESAINT Adji  Mareme</v>
      </c>
      <c r="U347" s="1" t="str">
        <f ca="1">IFERROR(__xludf.DUMMYFUNCTION("""COMPUTED_VALUE"""),"LESAINT Pascal")</f>
        <v>LESAINT Pascal</v>
      </c>
      <c r="V347" s="1" t="str">
        <f ca="1">IFERROR(__xludf.DUMMYFUNCTION("""COMPUTED_VALUE"""),"lesaint.pascal@orange.fr")</f>
        <v>lesaint.pascal@orange.fr</v>
      </c>
      <c r="W347" s="1" t="str">
        <f ca="1">IFERROR(__xludf.DUMMYFUNCTION("""COMPUTED_VALUE"""),"lesaint.pascal@orange.fr")</f>
        <v>lesaint.pascal@orange.fr</v>
      </c>
      <c r="X347" s="1" t="str">
        <f ca="1">IFERROR(__xludf.DUMMYFUNCTION("""COMPUTED_VALUE"""),"+221 71 048 95 42")</f>
        <v>+221 71 048 95 42</v>
      </c>
      <c r="Y347" s="1" t="str">
        <f ca="1">IFERROR(__xludf.DUMMYFUNCTION("""COMPUTED_VALUE"""),"+33 6 73 77 50 26")</f>
        <v>+33 6 73 77 50 26</v>
      </c>
      <c r="Z347" s="1" t="str">
        <f ca="1">IFERROR(__xludf.DUMMYFUNCTION("""COMPUTED_VALUE"""),"+221")</f>
        <v>+221</v>
      </c>
      <c r="AA347" s="1" t="str">
        <f ca="1">IFERROR(__xludf.DUMMYFUNCTION("""COMPUTED_VALUE"""),"+221")</f>
        <v>+221</v>
      </c>
      <c r="AB347" s="2">
        <f ca="1">IFERROR(__xludf.DUMMYFUNCTION("""COMPUTED_VALUE"""),29712)</f>
        <v>29712</v>
      </c>
      <c r="AC347" s="2">
        <f ca="1">IFERROR(__xludf.DUMMYFUNCTION("""COMPUTED_VALUE"""),23394)</f>
        <v>23394</v>
      </c>
      <c r="AD347" s="1" t="str">
        <f ca="1">IFERROR(__xludf.DUMMYFUNCTION("""COMPUTED_VALUE"""),"MERE")</f>
        <v>MERE</v>
      </c>
      <c r="AE347" s="1" t="str">
        <f ca="1">IFERROR(__xludf.DUMMYFUNCTION("""COMPUTED_VALUE"""),"PERE")</f>
        <v>PERE</v>
      </c>
      <c r="AF347" s="1" t="str">
        <f ca="1">IFERROR(__xludf.DUMMYFUNCTION("""COMPUTED_VALUE"""),"FRANCE")</f>
        <v>FRANCE</v>
      </c>
      <c r="AG347" s="1" t="str">
        <f ca="1">IFERROR(__xludf.DUMMYFUNCTION("""COMPUTED_VALUE"""),"FRANCE")</f>
        <v>FRANCE</v>
      </c>
      <c r="AH347" s="1" t="str">
        <f ca="1">IFERROR(__xludf.DUMMYFUNCTION("""COMPUTED_VALUE"""),"SENEGAL")</f>
        <v>SENEGAL</v>
      </c>
      <c r="AI347" s="1"/>
      <c r="AJ347" s="1" t="str">
        <f ca="1">IFERROR(__xludf.DUMMYFUNCTION("""COMPUTED_VALUE"""),"F1670")</f>
        <v>F1670</v>
      </c>
      <c r="AK347" s="1" t="str">
        <f ca="1">IFERROR(__xludf.DUMMYFUNCTION("""COMPUTED_VALUE"""),"Marié(e)")</f>
        <v>Marié(e)</v>
      </c>
      <c r="AL347" s="1" t="str">
        <f ca="1">IFERROR(__xludf.DUMMYFUNCTION("""COMPUTED_VALUE"""),"Marié(e)")</f>
        <v>Marié(e)</v>
      </c>
      <c r="AM347" s="1" t="str">
        <f ca="1">IFERROR(__xludf.DUMMYFUNCTION("""COMPUTED_VALUE"""),"F1670")</f>
        <v>F1670</v>
      </c>
    </row>
    <row r="348" spans="1:39" ht="13" x14ac:dyDescent="0.15">
      <c r="A348" s="1" t="str">
        <f ca="1">IFERROR(__xludf.DUMMYFUNCTION("""COMPUTED_VALUE"""),"LESAINT Samy Amet")</f>
        <v>LESAINT Samy Amet</v>
      </c>
      <c r="B348" s="1" t="str">
        <f ca="1">IFERROR(__xludf.DUMMYFUNCTION("""COMPUTED_VALUE"""),"LESAINT")</f>
        <v>LESAINT</v>
      </c>
      <c r="C348" s="1" t="str">
        <f ca="1">IFERROR(__xludf.DUMMYFUNCTION("""COMPUTED_VALUE"""),"Samy Amet")</f>
        <v>Samy Amet</v>
      </c>
      <c r="D348" s="1" t="str">
        <f ca="1">IFERROR(__xludf.DUMMYFUNCTION("""COMPUTED_VALUE"""),"1670E2")</f>
        <v>1670E2</v>
      </c>
      <c r="E348" s="2">
        <f ca="1">IFERROR(__xludf.DUMMYFUNCTION("""COMPUTED_VALUE"""),40709)</f>
        <v>40709</v>
      </c>
      <c r="F348" s="1" t="str">
        <f ca="1">IFERROR(__xludf.DUMMYFUNCTION("""COMPUTED_VALUE"""),"3EME2")</f>
        <v>3EME2</v>
      </c>
      <c r="G348" s="1" t="str">
        <f ca="1">IFERROR(__xludf.DUMMYFUNCTION("""COMPUTED_VALUE"""),"3ème")</f>
        <v>3ème</v>
      </c>
      <c r="H348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348" s="1" t="str">
        <f ca="1">IFERROR(__xludf.DUMMYFUNCTION("""COMPUTED_VALUE"""),"LVA Anglais")</f>
        <v>LVA Anglais</v>
      </c>
      <c r="J348" s="1" t="str">
        <f ca="1">IFERROR(__xludf.DUMMYFUNCTION("""COMPUTED_VALUE"""),"LVB Espagnol")</f>
        <v>LVB Espagnol</v>
      </c>
      <c r="K348" s="1"/>
      <c r="L348" s="1"/>
      <c r="M348" s="1"/>
      <c r="N348" s="1" t="str">
        <f ca="1">IFERROR(__xludf.DUMMYFUNCTION("""COMPUTED_VALUE"""),"Garçon")</f>
        <v>Garçon</v>
      </c>
      <c r="O348" s="1"/>
      <c r="P348" s="1" t="str">
        <f ca="1">IFERROR(__xludf.DUMMYFUNCTION("""COMPUTED_VALUE"""),"FRANCE")</f>
        <v>FRANCE</v>
      </c>
      <c r="Q348" s="1"/>
      <c r="R348" s="1" t="str">
        <f ca="1">IFERROR(__xludf.DUMMYFUNCTION("""COMPUTED_VALUE"""),"samy.lesaint@lfjpsaly.org")</f>
        <v>samy.lesaint@lfjpsaly.org</v>
      </c>
      <c r="S348" s="1" t="str">
        <f ca="1">IFERROR(__xludf.DUMMYFUNCTION("""COMPUTED_VALUE"""),"+221")</f>
        <v>+221</v>
      </c>
      <c r="T348" s="1" t="str">
        <f ca="1">IFERROR(__xludf.DUMMYFUNCTION("""COMPUTED_VALUE"""),"LESAINT Adji  Mareme")</f>
        <v>LESAINT Adji  Mareme</v>
      </c>
      <c r="U348" s="1" t="str">
        <f ca="1">IFERROR(__xludf.DUMMYFUNCTION("""COMPUTED_VALUE"""),"LESAINT Pascal")</f>
        <v>LESAINT Pascal</v>
      </c>
      <c r="V348" s="1" t="str">
        <f ca="1">IFERROR(__xludf.DUMMYFUNCTION("""COMPUTED_VALUE"""),"lesaint.pascal@orange.fr")</f>
        <v>lesaint.pascal@orange.fr</v>
      </c>
      <c r="W348" s="1" t="str">
        <f ca="1">IFERROR(__xludf.DUMMYFUNCTION("""COMPUTED_VALUE"""),"lesaint.pascal@orange.fr")</f>
        <v>lesaint.pascal@orange.fr</v>
      </c>
      <c r="X348" s="1" t="str">
        <f ca="1">IFERROR(__xludf.DUMMYFUNCTION("""COMPUTED_VALUE"""),"+221 71 048 95 42")</f>
        <v>+221 71 048 95 42</v>
      </c>
      <c r="Y348" s="1" t="str">
        <f ca="1">IFERROR(__xludf.DUMMYFUNCTION("""COMPUTED_VALUE"""),"+33 6 73 77 50 26")</f>
        <v>+33 6 73 77 50 26</v>
      </c>
      <c r="Z348" s="1" t="str">
        <f ca="1">IFERROR(__xludf.DUMMYFUNCTION("""COMPUTED_VALUE"""),"+221")</f>
        <v>+221</v>
      </c>
      <c r="AA348" s="1" t="str">
        <f ca="1">IFERROR(__xludf.DUMMYFUNCTION("""COMPUTED_VALUE"""),"+221")</f>
        <v>+221</v>
      </c>
      <c r="AB348" s="2">
        <f ca="1">IFERROR(__xludf.DUMMYFUNCTION("""COMPUTED_VALUE"""),29712)</f>
        <v>29712</v>
      </c>
      <c r="AC348" s="2">
        <f ca="1">IFERROR(__xludf.DUMMYFUNCTION("""COMPUTED_VALUE"""),23394)</f>
        <v>23394</v>
      </c>
      <c r="AD348" s="1" t="str">
        <f ca="1">IFERROR(__xludf.DUMMYFUNCTION("""COMPUTED_VALUE"""),"MERE")</f>
        <v>MERE</v>
      </c>
      <c r="AE348" s="1" t="str">
        <f ca="1">IFERROR(__xludf.DUMMYFUNCTION("""COMPUTED_VALUE"""),"PERE")</f>
        <v>PERE</v>
      </c>
      <c r="AF348" s="1" t="str">
        <f ca="1">IFERROR(__xludf.DUMMYFUNCTION("""COMPUTED_VALUE"""),"FRANCE")</f>
        <v>FRANCE</v>
      </c>
      <c r="AG348" s="1" t="str">
        <f ca="1">IFERROR(__xludf.DUMMYFUNCTION("""COMPUTED_VALUE"""),"FRANCE")</f>
        <v>FRANCE</v>
      </c>
      <c r="AH348" s="1" t="str">
        <f ca="1">IFERROR(__xludf.DUMMYFUNCTION("""COMPUTED_VALUE"""),"SENEGAL")</f>
        <v>SENEGAL</v>
      </c>
      <c r="AI348" s="1"/>
      <c r="AJ348" s="1" t="str">
        <f ca="1">IFERROR(__xludf.DUMMYFUNCTION("""COMPUTED_VALUE"""),"F1670")</f>
        <v>F1670</v>
      </c>
      <c r="AK348" s="1" t="str">
        <f ca="1">IFERROR(__xludf.DUMMYFUNCTION("""COMPUTED_VALUE"""),"Marié(e)")</f>
        <v>Marié(e)</v>
      </c>
      <c r="AL348" s="1" t="str">
        <f ca="1">IFERROR(__xludf.DUMMYFUNCTION("""COMPUTED_VALUE"""),"Marié(e)")</f>
        <v>Marié(e)</v>
      </c>
      <c r="AM348" s="1" t="str">
        <f ca="1">IFERROR(__xludf.DUMMYFUNCTION("""COMPUTED_VALUE"""),"F1670")</f>
        <v>F1670</v>
      </c>
    </row>
    <row r="349" spans="1:39" ht="13" x14ac:dyDescent="0.15">
      <c r="A349" s="1" t="str">
        <f ca="1">IFERROR(__xludf.DUMMYFUNCTION("""COMPUTED_VALUE"""),"LHUSSIER Ornella Eden")</f>
        <v>LHUSSIER Ornella Eden</v>
      </c>
      <c r="B349" s="1" t="str">
        <f ca="1">IFERROR(__xludf.DUMMYFUNCTION("""COMPUTED_VALUE"""),"LHUSSIER")</f>
        <v>LHUSSIER</v>
      </c>
      <c r="C349" s="1" t="str">
        <f ca="1">IFERROR(__xludf.DUMMYFUNCTION("""COMPUTED_VALUE"""),"Ornella Eden")</f>
        <v>Ornella Eden</v>
      </c>
      <c r="D349" s="1" t="str">
        <f ca="1">IFERROR(__xludf.DUMMYFUNCTION("""COMPUTED_VALUE"""),"1420E1")</f>
        <v>1420E1</v>
      </c>
      <c r="E349" s="2">
        <f ca="1">IFERROR(__xludf.DUMMYFUNCTION("""COMPUTED_VALUE"""),41220)</f>
        <v>41220</v>
      </c>
      <c r="F349" s="1" t="str">
        <f ca="1">IFERROR(__xludf.DUMMYFUNCTION("""COMPUTED_VALUE"""),"4EME1")</f>
        <v>4EME1</v>
      </c>
      <c r="G349" s="1" t="str">
        <f ca="1">IFERROR(__xludf.DUMMYFUNCTION("""COMPUTED_VALUE"""),"4ème")</f>
        <v>4ème</v>
      </c>
      <c r="H349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349" s="1" t="str">
        <f ca="1">IFERROR(__xludf.DUMMYFUNCTION("""COMPUTED_VALUE"""),"LVA Anglais")</f>
        <v>LVA Anglais</v>
      </c>
      <c r="J349" s="1" t="str">
        <f ca="1">IFERROR(__xludf.DUMMYFUNCTION("""COMPUTED_VALUE"""),"LVB Espagnol")</f>
        <v>LVB Espagnol</v>
      </c>
      <c r="K349" s="1"/>
      <c r="L349" s="1"/>
      <c r="M349" s="1"/>
      <c r="N349" s="1" t="str">
        <f ca="1">IFERROR(__xludf.DUMMYFUNCTION("""COMPUTED_VALUE"""),"Fille")</f>
        <v>Fille</v>
      </c>
      <c r="O349" s="1"/>
      <c r="P349" s="1" t="str">
        <f ca="1">IFERROR(__xludf.DUMMYFUNCTION("""COMPUTED_VALUE"""),"FRANCE")</f>
        <v>FRANCE</v>
      </c>
      <c r="Q349" s="1"/>
      <c r="R349" s="1" t="str">
        <f ca="1">IFERROR(__xludf.DUMMYFUNCTION("""COMPUTED_VALUE"""),"ornella.lhussier@lfjpsaly.org")</f>
        <v>ornella.lhussier@lfjpsaly.org</v>
      </c>
      <c r="S349" s="1"/>
      <c r="T349" s="1" t="str">
        <f ca="1">IFERROR(__xludf.DUMMYFUNCTION("""COMPUTED_VALUE"""),"LHUSSIER Claude")</f>
        <v>LHUSSIER Claude</v>
      </c>
      <c r="U349" s="1" t="str">
        <f ca="1">IFERROR(__xludf.DUMMYFUNCTION("""COMPUTED_VALUE"""),"DIOUF ÉPOUSE LHUSSIER Marie-Thérèse")</f>
        <v>DIOUF ÉPOUSE LHUSSIER Marie-Thérèse</v>
      </c>
      <c r="V349" s="1" t="str">
        <f ca="1">IFERROR(__xludf.DUMMYFUNCTION("""COMPUTED_VALUE"""),"lcl_lsr@yahoo.fr")</f>
        <v>lcl_lsr@yahoo.fr</v>
      </c>
      <c r="W349" s="1" t="str">
        <f ca="1">IFERROR(__xludf.DUMMYFUNCTION("""COMPUTED_VALUE"""),"eavydavy@gmail.com")</f>
        <v>eavydavy@gmail.com</v>
      </c>
      <c r="X349" s="1" t="str">
        <f ca="1">IFERROR(__xludf.DUMMYFUNCTION("""COMPUTED_VALUE"""),"+221 77 113 29 60")</f>
        <v>+221 77 113 29 60</v>
      </c>
      <c r="Y349" s="1" t="str">
        <f ca="1">IFERROR(__xludf.DUMMYFUNCTION("""COMPUTED_VALUE"""),"+221 77 869 44 61")</f>
        <v>+221 77 869 44 61</v>
      </c>
      <c r="Z349" s="1" t="str">
        <f ca="1">IFERROR(__xludf.DUMMYFUNCTION("""COMPUTED_VALUE"""),"+221")</f>
        <v>+221</v>
      </c>
      <c r="AA349" s="1" t="str">
        <f ca="1">IFERROR(__xludf.DUMMYFUNCTION("""COMPUTED_VALUE"""),"+221")</f>
        <v>+221</v>
      </c>
      <c r="AB349" s="2">
        <f ca="1">IFERROR(__xludf.DUMMYFUNCTION("""COMPUTED_VALUE"""),23357)</f>
        <v>23357</v>
      </c>
      <c r="AC349" s="2">
        <f ca="1">IFERROR(__xludf.DUMMYFUNCTION("""COMPUTED_VALUE"""),30919)</f>
        <v>30919</v>
      </c>
      <c r="AD349" s="1" t="str">
        <f ca="1">IFERROR(__xludf.DUMMYFUNCTION("""COMPUTED_VALUE"""),"PERE")</f>
        <v>PERE</v>
      </c>
      <c r="AE349" s="1" t="str">
        <f ca="1">IFERROR(__xludf.DUMMYFUNCTION("""COMPUTED_VALUE"""),"MERE")</f>
        <v>MERE</v>
      </c>
      <c r="AF349" s="1" t="str">
        <f ca="1">IFERROR(__xludf.DUMMYFUNCTION("""COMPUTED_VALUE"""),"FRANCE")</f>
        <v>FRANCE</v>
      </c>
      <c r="AG349" s="1" t="str">
        <f ca="1">IFERROR(__xludf.DUMMYFUNCTION("""COMPUTED_VALUE"""),"FRANCE")</f>
        <v>FRANCE</v>
      </c>
      <c r="AH349" s="1"/>
      <c r="AI349" s="1"/>
      <c r="AJ349" s="1" t="str">
        <f ca="1">IFERROR(__xludf.DUMMYFUNCTION("""COMPUTED_VALUE"""),"F1420")</f>
        <v>F1420</v>
      </c>
      <c r="AK349" s="1" t="str">
        <f ca="1">IFERROR(__xludf.DUMMYFUNCTION("""COMPUTED_VALUE"""),"Marié(e)")</f>
        <v>Marié(e)</v>
      </c>
      <c r="AL349" s="1" t="str">
        <f ca="1">IFERROR(__xludf.DUMMYFUNCTION("""COMPUTED_VALUE"""),"Marié(e)")</f>
        <v>Marié(e)</v>
      </c>
      <c r="AM349" s="1" t="str">
        <f ca="1">IFERROR(__xludf.DUMMYFUNCTION("""COMPUTED_VALUE"""),"F1420")</f>
        <v>F1420</v>
      </c>
    </row>
    <row r="350" spans="1:39" ht="13" x14ac:dyDescent="0.15">
      <c r="A350" s="1" t="str">
        <f ca="1">IFERROR(__xludf.DUMMYFUNCTION("""COMPUTED_VALUE"""),"LOTZE Willa")</f>
        <v>LOTZE Willa</v>
      </c>
      <c r="B350" s="1" t="str">
        <f ca="1">IFERROR(__xludf.DUMMYFUNCTION("""COMPUTED_VALUE"""),"LOTZE")</f>
        <v>LOTZE</v>
      </c>
      <c r="C350" s="1" t="str">
        <f ca="1">IFERROR(__xludf.DUMMYFUNCTION("""COMPUTED_VALUE"""),"Willa")</f>
        <v>Willa</v>
      </c>
      <c r="D350" s="1" t="str">
        <f ca="1">IFERROR(__xludf.DUMMYFUNCTION("""COMPUTED_VALUE"""),"1421E1")</f>
        <v>1421E1</v>
      </c>
      <c r="E350" s="2">
        <f ca="1">IFERROR(__xludf.DUMMYFUNCTION("""COMPUTED_VALUE"""),43756)</f>
        <v>43756</v>
      </c>
      <c r="F350" s="1" t="str">
        <f ca="1">IFERROR(__xludf.DUMMYFUNCTION("""COMPUTED_VALUE"""),"CP")</f>
        <v>CP</v>
      </c>
      <c r="G350" s="1" t="str">
        <f ca="1">IFERROR(__xludf.DUMMYFUNCTION("""COMPUTED_VALUE"""),"CP")</f>
        <v>CP</v>
      </c>
      <c r="H350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350" s="1"/>
      <c r="J350" s="1"/>
      <c r="K350" s="1"/>
      <c r="L350" s="1"/>
      <c r="M350" s="1"/>
      <c r="N350" s="1" t="str">
        <f ca="1">IFERROR(__xludf.DUMMYFUNCTION("""COMPUTED_VALUE"""),"Fille")</f>
        <v>Fille</v>
      </c>
      <c r="O350" s="1"/>
      <c r="P350" s="1" t="str">
        <f ca="1">IFERROR(__xludf.DUMMYFUNCTION("""COMPUTED_VALUE"""),"ETATS-UNIS")</f>
        <v>ETATS-UNIS</v>
      </c>
      <c r="Q350" s="1"/>
      <c r="R350" s="1"/>
      <c r="S350" s="1"/>
      <c r="T350" s="1" t="str">
        <f ca="1">IFERROR(__xludf.DUMMYFUNCTION("""COMPUTED_VALUE"""),"LOTZE Jina")</f>
        <v>LOTZE Jina</v>
      </c>
      <c r="U350" s="1" t="str">
        <f ca="1">IFERROR(__xludf.DUMMYFUNCTION("""COMPUTED_VALUE"""),"LOTZE Andrew")</f>
        <v>LOTZE Andrew</v>
      </c>
      <c r="V350" s="1" t="str">
        <f ca="1">IFERROR(__xludf.DUMMYFUNCTION("""COMPUTED_VALUE"""),"jina.lotze@gmail.com")</f>
        <v>jina.lotze@gmail.com</v>
      </c>
      <c r="W350" s="1" t="str">
        <f ca="1">IFERROR(__xludf.DUMMYFUNCTION("""COMPUTED_VALUE"""),"pkkrusty@gmail.com")</f>
        <v>pkkrusty@gmail.com</v>
      </c>
      <c r="X350" s="1" t="str">
        <f ca="1">IFERROR(__xludf.DUMMYFUNCTION("""COMPUTED_VALUE"""),"772074462")</f>
        <v>772074462</v>
      </c>
      <c r="Y350" s="1" t="str">
        <f ca="1">IFERROR(__xludf.DUMMYFUNCTION("""COMPUTED_VALUE"""),"772074478")</f>
        <v>772074478</v>
      </c>
      <c r="Z350" s="1" t="str">
        <f ca="1">IFERROR(__xludf.DUMMYFUNCTION("""COMPUTED_VALUE"""),"+221 77 207 44 62")</f>
        <v>+221 77 207 44 62</v>
      </c>
      <c r="AA350" s="1"/>
      <c r="AB350" s="2">
        <f ca="1">IFERROR(__xludf.DUMMYFUNCTION("""COMPUTED_VALUE"""),29134)</f>
        <v>29134</v>
      </c>
      <c r="AC350" s="2">
        <f ca="1">IFERROR(__xludf.DUMMYFUNCTION("""COMPUTED_VALUE"""),29575)</f>
        <v>29575</v>
      </c>
      <c r="AD350" s="1" t="str">
        <f ca="1">IFERROR(__xludf.DUMMYFUNCTION("""COMPUTED_VALUE"""),"MERE")</f>
        <v>MERE</v>
      </c>
      <c r="AE350" s="1" t="str">
        <f ca="1">IFERROR(__xludf.DUMMYFUNCTION("""COMPUTED_VALUE"""),"PERE")</f>
        <v>PERE</v>
      </c>
      <c r="AF350" s="1" t="str">
        <f ca="1">IFERROR(__xludf.DUMMYFUNCTION("""COMPUTED_VALUE"""),"ETATS-UNIS")</f>
        <v>ETATS-UNIS</v>
      </c>
      <c r="AG350" s="1" t="str">
        <f ca="1">IFERROR(__xludf.DUMMYFUNCTION("""COMPUTED_VALUE"""),"ETATS-UNIS")</f>
        <v>ETATS-UNIS</v>
      </c>
      <c r="AH350" s="1"/>
      <c r="AI350" s="1"/>
      <c r="AJ350" s="1" t="str">
        <f ca="1">IFERROR(__xludf.DUMMYFUNCTION("""COMPUTED_VALUE"""),"F1421")</f>
        <v>F1421</v>
      </c>
      <c r="AK350" s="1" t="str">
        <f ca="1">IFERROR(__xludf.DUMMYFUNCTION("""COMPUTED_VALUE"""),"Marié(e)")</f>
        <v>Marié(e)</v>
      </c>
      <c r="AL350" s="1" t="str">
        <f ca="1">IFERROR(__xludf.DUMMYFUNCTION("""COMPUTED_VALUE"""),"Marié(e)")</f>
        <v>Marié(e)</v>
      </c>
      <c r="AM350" s="1" t="str">
        <f ca="1">IFERROR(__xludf.DUMMYFUNCTION("""COMPUTED_VALUE"""),"F1421")</f>
        <v>F1421</v>
      </c>
    </row>
    <row r="351" spans="1:39" ht="13" x14ac:dyDescent="0.15">
      <c r="A351" s="1" t="str">
        <f ca="1">IFERROR(__xludf.DUMMYFUNCTION("""COMPUTED_VALUE"""),"LOZANO Aurélie")</f>
        <v>LOZANO Aurélie</v>
      </c>
      <c r="B351" s="1" t="str">
        <f ca="1">IFERROR(__xludf.DUMMYFUNCTION("""COMPUTED_VALUE"""),"LOZANO")</f>
        <v>LOZANO</v>
      </c>
      <c r="C351" s="1" t="str">
        <f ca="1">IFERROR(__xludf.DUMMYFUNCTION("""COMPUTED_VALUE"""),"Aurélie")</f>
        <v>Aurélie</v>
      </c>
      <c r="D351" s="1" t="str">
        <f ca="1">IFERROR(__xludf.DUMMYFUNCTION("""COMPUTED_VALUE"""),"1422E1")</f>
        <v>1422E1</v>
      </c>
      <c r="E351" s="2">
        <f ca="1">IFERROR(__xludf.DUMMYFUNCTION("""COMPUTED_VALUE"""),41626)</f>
        <v>41626</v>
      </c>
      <c r="F351" s="1" t="str">
        <f ca="1">IFERROR(__xludf.DUMMYFUNCTION("""COMPUTED_VALUE"""),"6EME2")</f>
        <v>6EME2</v>
      </c>
      <c r="G351" s="1" t="str">
        <f ca="1">IFERROR(__xludf.DUMMYFUNCTION("""COMPUTED_VALUE"""),"6ème")</f>
        <v>6ème</v>
      </c>
      <c r="H351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351" s="1" t="str">
        <f ca="1">IFERROR(__xludf.DUMMYFUNCTION("""COMPUTED_VALUE"""),"LVA Anglais")</f>
        <v>LVA Anglais</v>
      </c>
      <c r="J351" s="1" t="str">
        <f ca="1">IFERROR(__xludf.DUMMYFUNCTION("""COMPUTED_VALUE"""),"LVB Espagnol")</f>
        <v>LVB Espagnol</v>
      </c>
      <c r="K351" s="1"/>
      <c r="L351" s="1"/>
      <c r="M351" s="1"/>
      <c r="N351" s="1" t="str">
        <f ca="1">IFERROR(__xludf.DUMMYFUNCTION("""COMPUTED_VALUE"""),"Fille")</f>
        <v>Fille</v>
      </c>
      <c r="O351" s="1"/>
      <c r="P351" s="1" t="str">
        <f ca="1">IFERROR(__xludf.DUMMYFUNCTION("""COMPUTED_VALUE"""),"FRANCE")</f>
        <v>FRANCE</v>
      </c>
      <c r="Q351" s="1"/>
      <c r="R351" s="1" t="str">
        <f ca="1">IFERROR(__xludf.DUMMYFUNCTION("""COMPUTED_VALUE"""),"aurelie.lozano@lfjpsaly.org")</f>
        <v>aurelie.lozano@lfjpsaly.org</v>
      </c>
      <c r="S351" s="1"/>
      <c r="T351" s="1" t="str">
        <f ca="1">IFERROR(__xludf.DUMMYFUNCTION("""COMPUTED_VALUE"""),"DIOP Amy")</f>
        <v>DIOP Amy</v>
      </c>
      <c r="U351" s="1" t="str">
        <f ca="1">IFERROR(__xludf.DUMMYFUNCTION("""COMPUTED_VALUE"""),"LOZANO Alain")</f>
        <v>LOZANO Alain</v>
      </c>
      <c r="V351" s="1" t="str">
        <f ca="1">IFERROR(__xludf.DUMMYFUNCTION("""COMPUTED_VALUE"""),"amy.diop1394@gmail.com")</f>
        <v>amy.diop1394@gmail.com</v>
      </c>
      <c r="W351" s="1" t="str">
        <f ca="1">IFERROR(__xludf.DUMMYFUNCTION("""COMPUTED_VALUE"""),"amy.diop1394@gmail.com")</f>
        <v>amy.diop1394@gmail.com</v>
      </c>
      <c r="X351" s="1" t="str">
        <f ca="1">IFERROR(__xludf.DUMMYFUNCTION("""COMPUTED_VALUE"""),"+221 77 394 39 80")</f>
        <v>+221 77 394 39 80</v>
      </c>
      <c r="Y351" s="1" t="str">
        <f ca="1">IFERROR(__xludf.DUMMYFUNCTION("""COMPUTED_VALUE"""),"+221 77 735 60 89")</f>
        <v>+221 77 735 60 89</v>
      </c>
      <c r="Z351" s="1" t="str">
        <f ca="1">IFERROR(__xludf.DUMMYFUNCTION("""COMPUTED_VALUE"""),"+221")</f>
        <v>+221</v>
      </c>
      <c r="AA351" s="1"/>
      <c r="AB351" s="2">
        <f ca="1">IFERROR(__xludf.DUMMYFUNCTION("""COMPUTED_VALUE"""),34497)</f>
        <v>34497</v>
      </c>
      <c r="AC351" s="2">
        <f ca="1">IFERROR(__xludf.DUMMYFUNCTION("""COMPUTED_VALUE"""),17545)</f>
        <v>17545</v>
      </c>
      <c r="AD351" s="1" t="str">
        <f ca="1">IFERROR(__xludf.DUMMYFUNCTION("""COMPUTED_VALUE"""),"MERE")</f>
        <v>MERE</v>
      </c>
      <c r="AE351" s="1" t="str">
        <f ca="1">IFERROR(__xludf.DUMMYFUNCTION("""COMPUTED_VALUE"""),"PERE")</f>
        <v>PERE</v>
      </c>
      <c r="AF351" s="1" t="str">
        <f ca="1">IFERROR(__xludf.DUMMYFUNCTION("""COMPUTED_VALUE"""),"SENEGAL")</f>
        <v>SENEGAL</v>
      </c>
      <c r="AG351" s="1" t="str">
        <f ca="1">IFERROR(__xludf.DUMMYFUNCTION("""COMPUTED_VALUE"""),"FRANCE")</f>
        <v>FRANCE</v>
      </c>
      <c r="AH351" s="1"/>
      <c r="AI351" s="1"/>
      <c r="AJ351" s="1" t="str">
        <f ca="1">IFERROR(__xludf.DUMMYFUNCTION("""COMPUTED_VALUE"""),"F1422")</f>
        <v>F1422</v>
      </c>
      <c r="AK351" s="1" t="str">
        <f ca="1">IFERROR(__xludf.DUMMYFUNCTION("""COMPUTED_VALUE"""),"Célibataire")</f>
        <v>Célibataire</v>
      </c>
      <c r="AL351" s="1" t="str">
        <f ca="1">IFERROR(__xludf.DUMMYFUNCTION("""COMPUTED_VALUE"""),"Marié(e)")</f>
        <v>Marié(e)</v>
      </c>
      <c r="AM351" s="1" t="str">
        <f ca="1">IFERROR(__xludf.DUMMYFUNCTION("""COMPUTED_VALUE"""),"F1422")</f>
        <v>F1422</v>
      </c>
    </row>
    <row r="352" spans="1:39" ht="13" x14ac:dyDescent="0.15">
      <c r="A352" s="1" t="str">
        <f ca="1">IFERROR(__xludf.DUMMYFUNCTION("""COMPUTED_VALUE"""),"LOZES Raphaël André Dominique")</f>
        <v>LOZES Raphaël André Dominique</v>
      </c>
      <c r="B352" s="1" t="str">
        <f ca="1">IFERROR(__xludf.DUMMYFUNCTION("""COMPUTED_VALUE"""),"LOZES")</f>
        <v>LOZES</v>
      </c>
      <c r="C352" s="1" t="str">
        <f ca="1">IFERROR(__xludf.DUMMYFUNCTION("""COMPUTED_VALUE"""),"Raphaël André Dominique")</f>
        <v>Raphaël André Dominique</v>
      </c>
      <c r="D352" s="1" t="str">
        <f ca="1">IFERROR(__xludf.DUMMYFUNCTION("""COMPUTED_VALUE"""),"11655S2213")</f>
        <v>11655S2213</v>
      </c>
      <c r="E352" s="2">
        <f ca="1">IFERROR(__xludf.DUMMYFUNCTION("""COMPUTED_VALUE"""),40737)</f>
        <v>40737</v>
      </c>
      <c r="F352" s="1" t="str">
        <f ca="1">IFERROR(__xludf.DUMMYFUNCTION("""COMPUTED_VALUE"""),"3EME2")</f>
        <v>3EME2</v>
      </c>
      <c r="G352" s="1" t="str">
        <f ca="1">IFERROR(__xludf.DUMMYFUNCTION("""COMPUTED_VALUE"""),"3ème")</f>
        <v>3ème</v>
      </c>
      <c r="H352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352" s="1" t="str">
        <f ca="1">IFERROR(__xludf.DUMMYFUNCTION("""COMPUTED_VALUE"""),"LVA Anglais")</f>
        <v>LVA Anglais</v>
      </c>
      <c r="J352" s="1" t="str">
        <f ca="1">IFERROR(__xludf.DUMMYFUNCTION("""COMPUTED_VALUE"""),"LVB Espagnol")</f>
        <v>LVB Espagnol</v>
      </c>
      <c r="K352" s="1"/>
      <c r="L352" s="1"/>
      <c r="M352" s="1"/>
      <c r="N352" s="1" t="str">
        <f ca="1">IFERROR(__xludf.DUMMYFUNCTION("""COMPUTED_VALUE"""),"Garçon")</f>
        <v>Garçon</v>
      </c>
      <c r="O352" s="1"/>
      <c r="P352" s="1" t="str">
        <f ca="1">IFERROR(__xludf.DUMMYFUNCTION("""COMPUTED_VALUE"""),"FRANCE")</f>
        <v>FRANCE</v>
      </c>
      <c r="Q352" s="1"/>
      <c r="R352" s="1" t="str">
        <f ca="1">IFERROR(__xludf.DUMMYFUNCTION("""COMPUTED_VALUE"""),"raphael.lozes@lfjpsaly.org")</f>
        <v>raphael.lozes@lfjpsaly.org</v>
      </c>
      <c r="S352" s="1" t="str">
        <f ca="1">IFERROR(__xludf.DUMMYFUNCTION("""COMPUTED_VALUE"""),"+221 78 166 67 55")</f>
        <v>+221 78 166 67 55</v>
      </c>
      <c r="T352" s="1" t="str">
        <f ca="1">IFERROR(__xludf.DUMMYFUNCTION("""COMPUTED_VALUE"""),"LOZES Frederic")</f>
        <v>LOZES Frederic</v>
      </c>
      <c r="U352" s="1" t="str">
        <f ca="1">IFERROR(__xludf.DUMMYFUNCTION("""COMPUTED_VALUE"""),"LOZES Bénédicte")</f>
        <v>LOZES Bénédicte</v>
      </c>
      <c r="V352" s="1" t="str">
        <f ca="1">IFERROR(__xludf.DUMMYFUNCTION("""COMPUTED_VALUE"""),"boulangerielozes@outlook.fr")</f>
        <v>boulangerielozes@outlook.fr</v>
      </c>
      <c r="W352" s="1" t="str">
        <f ca="1">IFERROR(__xludf.DUMMYFUNCTION("""COMPUTED_VALUE"""),"boulangerielozes@outlook.fr")</f>
        <v>boulangerielozes@outlook.fr</v>
      </c>
      <c r="X352" s="1" t="str">
        <f ca="1">IFERROR(__xludf.DUMMYFUNCTION("""COMPUTED_VALUE"""),"+221 77 694 66 96")</f>
        <v>+221 77 694 66 96</v>
      </c>
      <c r="Y352" s="1" t="str">
        <f ca="1">IFERROR(__xludf.DUMMYFUNCTION("""COMPUTED_VALUE"""),"+221 78 166 67 55")</f>
        <v>+221 78 166 67 55</v>
      </c>
      <c r="Z352" s="1"/>
      <c r="AA352" s="1" t="str">
        <f ca="1">IFERROR(__xludf.DUMMYFUNCTION("""COMPUTED_VALUE"""),"+221 78 166 67 55")</f>
        <v>+221 78 166 67 55</v>
      </c>
      <c r="AB352" s="2">
        <f ca="1">IFERROR(__xludf.DUMMYFUNCTION("""COMPUTED_VALUE"""),30206)</f>
        <v>30206</v>
      </c>
      <c r="AC352" s="2">
        <f ca="1">IFERROR(__xludf.DUMMYFUNCTION("""COMPUTED_VALUE"""),30997)</f>
        <v>30997</v>
      </c>
      <c r="AD352" s="1" t="str">
        <f ca="1">IFERROR(__xludf.DUMMYFUNCTION("""COMPUTED_VALUE"""),"PERE")</f>
        <v>PERE</v>
      </c>
      <c r="AE352" s="1" t="str">
        <f ca="1">IFERROR(__xludf.DUMMYFUNCTION("""COMPUTED_VALUE"""),"MERE")</f>
        <v>MERE</v>
      </c>
      <c r="AF352" s="1" t="str">
        <f ca="1">IFERROR(__xludf.DUMMYFUNCTION("""COMPUTED_VALUE"""),"FRANCE")</f>
        <v>FRANCE</v>
      </c>
      <c r="AG352" s="1" t="str">
        <f ca="1">IFERROR(__xludf.DUMMYFUNCTION("""COMPUTED_VALUE"""),"FRANCE")</f>
        <v>FRANCE</v>
      </c>
      <c r="AH352" s="1"/>
      <c r="AI352" s="1"/>
      <c r="AJ352" s="1" t="str">
        <f ca="1">IFERROR(__xludf.DUMMYFUNCTION("""COMPUTED_VALUE"""),"U11655")</f>
        <v>U11655</v>
      </c>
      <c r="AK352" s="1" t="str">
        <f ca="1">IFERROR(__xludf.DUMMYFUNCTION("""COMPUTED_VALUE"""),"Marié(e)")</f>
        <v>Marié(e)</v>
      </c>
      <c r="AL352" s="1" t="str">
        <f ca="1">IFERROR(__xludf.DUMMYFUNCTION("""COMPUTED_VALUE"""),"Marié(e)")</f>
        <v>Marié(e)</v>
      </c>
      <c r="AM352" s="1" t="str">
        <f ca="1">IFERROR(__xludf.DUMMYFUNCTION("""COMPUTED_VALUE"""),"U11655")</f>
        <v>U11655</v>
      </c>
    </row>
    <row r="353" spans="1:39" ht="13" x14ac:dyDescent="0.15">
      <c r="A353" s="1" t="str">
        <f ca="1">IFERROR(__xludf.DUMMYFUNCTION("""COMPUTED_VALUE"""),"LY Khadijetou")</f>
        <v>LY Khadijetou</v>
      </c>
      <c r="B353" s="1" t="str">
        <f ca="1">IFERROR(__xludf.DUMMYFUNCTION("""COMPUTED_VALUE"""),"LY")</f>
        <v>LY</v>
      </c>
      <c r="C353" s="1" t="str">
        <f ca="1">IFERROR(__xludf.DUMMYFUNCTION("""COMPUTED_VALUE"""),"Khadijetou")</f>
        <v>Khadijetou</v>
      </c>
      <c r="D353" s="1" t="str">
        <f ca="1">IFERROR(__xludf.DUMMYFUNCTION("""COMPUTED_VALUE"""),"11919S2832")</f>
        <v>11919S2832</v>
      </c>
      <c r="E353" s="2">
        <f ca="1">IFERROR(__xludf.DUMMYFUNCTION("""COMPUTED_VALUE"""),41121)</f>
        <v>41121</v>
      </c>
      <c r="F353" s="1" t="str">
        <f ca="1">IFERROR(__xludf.DUMMYFUNCTION("""COMPUTED_VALUE"""),"4EME2")</f>
        <v>4EME2</v>
      </c>
      <c r="G353" s="1" t="str">
        <f ca="1">IFERROR(__xludf.DUMMYFUNCTION("""COMPUTED_VALUE"""),"4ème")</f>
        <v>4ème</v>
      </c>
      <c r="H353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353" s="1"/>
      <c r="J353" s="1"/>
      <c r="K353" s="1"/>
      <c r="L353" s="1"/>
      <c r="M353" s="1"/>
      <c r="N353" s="1" t="str">
        <f ca="1">IFERROR(__xludf.DUMMYFUNCTION("""COMPUTED_VALUE"""),"Fille")</f>
        <v>Fille</v>
      </c>
      <c r="O353" s="1"/>
      <c r="P353" s="1" t="str">
        <f ca="1">IFERROR(__xludf.DUMMYFUNCTION("""COMPUTED_VALUE"""),"FRANCE")</f>
        <v>FRANCE</v>
      </c>
      <c r="Q353" s="1"/>
      <c r="R353" s="1" t="str">
        <f ca="1">IFERROR(__xludf.DUMMYFUNCTION("""COMPUTED_VALUE"""),"khadijetou.ly@lfjpsaly.org")</f>
        <v>khadijetou.ly@lfjpsaly.org</v>
      </c>
      <c r="S353" s="1" t="str">
        <f ca="1">IFERROR(__xludf.DUMMYFUNCTION("""COMPUTED_VALUE"""),"+33 6 10 53 48 03")</f>
        <v>+33 6 10 53 48 03</v>
      </c>
      <c r="T353" s="1" t="str">
        <f ca="1">IFERROR(__xludf.DUMMYFUNCTION("""COMPUTED_VALUE"""),"LY Aichetou")</f>
        <v>LY Aichetou</v>
      </c>
      <c r="U353" s="1"/>
      <c r="V353" s="1" t="str">
        <f ca="1">IFERROR(__xludf.DUMMYFUNCTION("""COMPUTED_VALUE"""),"aichetouly@yahoo.fr")</f>
        <v>aichetouly@yahoo.fr</v>
      </c>
      <c r="W353" s="1"/>
      <c r="X353" s="1" t="str">
        <f ca="1">IFERROR(__xludf.DUMMYFUNCTION("""COMPUTED_VALUE"""),"+33 6 10 53 48 03")</f>
        <v>+33 6 10 53 48 03</v>
      </c>
      <c r="Y353" s="1"/>
      <c r="Z353" s="1" t="str">
        <f ca="1">IFERROR(__xludf.DUMMYFUNCTION("""COMPUTED_VALUE"""),"+221")</f>
        <v>+221</v>
      </c>
      <c r="AA353" s="1"/>
      <c r="AB353" s="2">
        <f ca="1">IFERROR(__xludf.DUMMYFUNCTION("""COMPUTED_VALUE"""),31543)</f>
        <v>31543</v>
      </c>
      <c r="AC353" s="1"/>
      <c r="AD353" s="1" t="str">
        <f ca="1">IFERROR(__xludf.DUMMYFUNCTION("""COMPUTED_VALUE"""),"MERE")</f>
        <v>MERE</v>
      </c>
      <c r="AE353" s="1"/>
      <c r="AF353" s="1" t="str">
        <f ca="1">IFERROR(__xludf.DUMMYFUNCTION("""COMPUTED_VALUE"""),"FRANCE")</f>
        <v>FRANCE</v>
      </c>
      <c r="AG353" s="1"/>
      <c r="AH353" s="1" t="str">
        <f ca="1">IFERROR(__xludf.DUMMYFUNCTION("""COMPUTED_VALUE"""),"SENEGAL")</f>
        <v>SENEGAL</v>
      </c>
      <c r="AI353" s="1"/>
      <c r="AJ353" s="1" t="str">
        <f ca="1">IFERROR(__xludf.DUMMYFUNCTION("""COMPUTED_VALUE"""),"U11919")</f>
        <v>U11919</v>
      </c>
      <c r="AK353" s="1" t="str">
        <f ca="1">IFERROR(__xludf.DUMMYFUNCTION("""COMPUTED_VALUE"""),"Célibataire")</f>
        <v>Célibataire</v>
      </c>
      <c r="AL353" s="1"/>
      <c r="AM353" s="1" t="str">
        <f ca="1">IFERROR(__xludf.DUMMYFUNCTION("""COMPUTED_VALUE"""),"U11919")</f>
        <v>U11919</v>
      </c>
    </row>
    <row r="354" spans="1:39" ht="13" x14ac:dyDescent="0.15">
      <c r="A354" s="1" t="str">
        <f ca="1">IFERROR(__xludf.DUMMYFUNCTION("""COMPUTED_VALUE"""),"MACEDO ANDRADE Jorik")</f>
        <v>MACEDO ANDRADE Jorik</v>
      </c>
      <c r="B354" s="1" t="str">
        <f ca="1">IFERROR(__xludf.DUMMYFUNCTION("""COMPUTED_VALUE"""),"MACEDO ANDRADE")</f>
        <v>MACEDO ANDRADE</v>
      </c>
      <c r="C354" s="1" t="str">
        <f ca="1">IFERROR(__xludf.DUMMYFUNCTION("""COMPUTED_VALUE"""),"Jorik")</f>
        <v>Jorik</v>
      </c>
      <c r="D354" s="1" t="str">
        <f ca="1">IFERROR(__xludf.DUMMYFUNCTION("""COMPUTED_VALUE"""),"1425E1")</f>
        <v>1425E1</v>
      </c>
      <c r="E354" s="2">
        <f ca="1">IFERROR(__xludf.DUMMYFUNCTION("""COMPUTED_VALUE"""),42969)</f>
        <v>42969</v>
      </c>
      <c r="F354" s="1" t="str">
        <f ca="1">IFERROR(__xludf.DUMMYFUNCTION("""COMPUTED_VALUE"""),"CE2")</f>
        <v>CE2</v>
      </c>
      <c r="G354" s="1" t="str">
        <f ca="1">IFERROR(__xludf.DUMMYFUNCTION("""COMPUTED_VALUE"""),"CE2")</f>
        <v>CE2</v>
      </c>
      <c r="H354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354" s="1"/>
      <c r="J354" s="1"/>
      <c r="K354" s="1"/>
      <c r="L354" s="1"/>
      <c r="M354" s="1"/>
      <c r="N354" s="1" t="str">
        <f ca="1">IFERROR(__xludf.DUMMYFUNCTION("""COMPUTED_VALUE"""),"Garçon")</f>
        <v>Garçon</v>
      </c>
      <c r="O354" s="1"/>
      <c r="P354" s="1" t="str">
        <f ca="1">IFERROR(__xludf.DUMMYFUNCTION("""COMPUTED_VALUE"""),"FRANCE")</f>
        <v>FRANCE</v>
      </c>
      <c r="Q354" s="1"/>
      <c r="R354" s="1"/>
      <c r="S354" s="1"/>
      <c r="T354" s="1" t="str">
        <f ca="1">IFERROR(__xludf.DUMMYFUNCTION("""COMPUTED_VALUE"""),"HUYCHE Charlie Lucie Marylene Francine")</f>
        <v>HUYCHE Charlie Lucie Marylene Francine</v>
      </c>
      <c r="U354" s="1" t="str">
        <f ca="1">IFERROR(__xludf.DUMMYFUNCTION("""COMPUTED_VALUE"""),"MACEDO ANDRADE Fabricio")</f>
        <v>MACEDO ANDRADE Fabricio</v>
      </c>
      <c r="V354" s="1" t="str">
        <f ca="1">IFERROR(__xludf.DUMMYFUNCTION("""COMPUTED_VALUE"""),"charliehuyche@gmail.com")</f>
        <v>charliehuyche@gmail.com</v>
      </c>
      <c r="W354" s="1" t="str">
        <f ca="1">IFERROR(__xludf.DUMMYFUNCTION("""COMPUTED_VALUE"""),"andradefabrice@hotmail.com")</f>
        <v>andradefabrice@hotmail.com</v>
      </c>
      <c r="X354" s="1" t="str">
        <f ca="1">IFERROR(__xludf.DUMMYFUNCTION("""COMPUTED_VALUE"""),"+221 77 739 39 00")</f>
        <v>+221 77 739 39 00</v>
      </c>
      <c r="Y354" s="1" t="str">
        <f ca="1">IFERROR(__xludf.DUMMYFUNCTION("""COMPUTED_VALUE"""),"776698363")</f>
        <v>776698363</v>
      </c>
      <c r="Z354" s="1" t="str">
        <f ca="1">IFERROR(__xludf.DUMMYFUNCTION("""COMPUTED_VALUE"""),"+221 77 739 39 00")</f>
        <v>+221 77 739 39 00</v>
      </c>
      <c r="AA354" s="1" t="str">
        <f ca="1">IFERROR(__xludf.DUMMYFUNCTION("""COMPUTED_VALUE"""),"+221 77 669 83 63")</f>
        <v>+221 77 669 83 63</v>
      </c>
      <c r="AB354" s="2">
        <f ca="1">IFERROR(__xludf.DUMMYFUNCTION("""COMPUTED_VALUE"""),32650)</f>
        <v>32650</v>
      </c>
      <c r="AC354" s="2">
        <f ca="1">IFERROR(__xludf.DUMMYFUNCTION("""COMPUTED_VALUE"""),29102)</f>
        <v>29102</v>
      </c>
      <c r="AD354" s="1" t="str">
        <f ca="1">IFERROR(__xludf.DUMMYFUNCTION("""COMPUTED_VALUE"""),"MERE")</f>
        <v>MERE</v>
      </c>
      <c r="AE354" s="1" t="str">
        <f ca="1">IFERROR(__xludf.DUMMYFUNCTION("""COMPUTED_VALUE"""),"PERE")</f>
        <v>PERE</v>
      </c>
      <c r="AF354" s="1" t="str">
        <f ca="1">IFERROR(__xludf.DUMMYFUNCTION("""COMPUTED_VALUE"""),"FRANCE")</f>
        <v>FRANCE</v>
      </c>
      <c r="AG354" s="1" t="str">
        <f ca="1">IFERROR(__xludf.DUMMYFUNCTION("""COMPUTED_VALUE"""),"CAP-VERT")</f>
        <v>CAP-VERT</v>
      </c>
      <c r="AH354" s="1"/>
      <c r="AI354" s="1"/>
      <c r="AJ354" s="1" t="str">
        <f ca="1">IFERROR(__xludf.DUMMYFUNCTION("""COMPUTED_VALUE"""),"F1425")</f>
        <v>F1425</v>
      </c>
      <c r="AK354" s="1" t="str">
        <f ca="1">IFERROR(__xludf.DUMMYFUNCTION("""COMPUTED_VALUE"""),"CONCUBINAGE")</f>
        <v>CONCUBINAGE</v>
      </c>
      <c r="AL354" s="1" t="str">
        <f ca="1">IFERROR(__xludf.DUMMYFUNCTION("""COMPUTED_VALUE"""),"CONCUBINAGE")</f>
        <v>CONCUBINAGE</v>
      </c>
      <c r="AM354" s="1" t="str">
        <f ca="1">IFERROR(__xludf.DUMMYFUNCTION("""COMPUTED_VALUE"""),"F1425")</f>
        <v>F1425</v>
      </c>
    </row>
    <row r="355" spans="1:39" ht="13" x14ac:dyDescent="0.15">
      <c r="A355" s="1" t="str">
        <f ca="1">IFERROR(__xludf.DUMMYFUNCTION("""COMPUTED_VALUE"""),"MAGNIN Maya")</f>
        <v>MAGNIN Maya</v>
      </c>
      <c r="B355" s="1" t="str">
        <f ca="1">IFERROR(__xludf.DUMMYFUNCTION("""COMPUTED_VALUE"""),"MAGNIN")</f>
        <v>MAGNIN</v>
      </c>
      <c r="C355" s="1" t="str">
        <f ca="1">IFERROR(__xludf.DUMMYFUNCTION("""COMPUTED_VALUE"""),"Maya")</f>
        <v>Maya</v>
      </c>
      <c r="D355" s="1" t="str">
        <f ca="1">IFERROR(__xludf.DUMMYFUNCTION("""COMPUTED_VALUE"""),"1426E1")</f>
        <v>1426E1</v>
      </c>
      <c r="E355" s="2">
        <f ca="1">IFERROR(__xludf.DUMMYFUNCTION("""COMPUTED_VALUE"""),40902)</f>
        <v>40902</v>
      </c>
      <c r="F355" s="1" t="str">
        <f ca="1">IFERROR(__xludf.DUMMYFUNCTION("""COMPUTED_VALUE"""),"4EME1")</f>
        <v>4EME1</v>
      </c>
      <c r="G355" s="1" t="str">
        <f ca="1">IFERROR(__xludf.DUMMYFUNCTION("""COMPUTED_VALUE"""),"4ème")</f>
        <v>4ème</v>
      </c>
      <c r="H355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355" s="1" t="str">
        <f ca="1">IFERROR(__xludf.DUMMYFUNCTION("""COMPUTED_VALUE"""),"LVA Anglais")</f>
        <v>LVA Anglais</v>
      </c>
      <c r="J355" s="1" t="str">
        <f ca="1">IFERROR(__xludf.DUMMYFUNCTION("""COMPUTED_VALUE"""),"LVB Espagnol")</f>
        <v>LVB Espagnol</v>
      </c>
      <c r="K355" s="1"/>
      <c r="L355" s="1"/>
      <c r="M355" s="1"/>
      <c r="N355" s="1" t="str">
        <f ca="1">IFERROR(__xludf.DUMMYFUNCTION("""COMPUTED_VALUE"""),"Fille")</f>
        <v>Fille</v>
      </c>
      <c r="O355" s="1"/>
      <c r="P355" s="1" t="str">
        <f ca="1">IFERROR(__xludf.DUMMYFUNCTION("""COMPUTED_VALUE"""),"FRANCE")</f>
        <v>FRANCE</v>
      </c>
      <c r="Q355" s="1"/>
      <c r="R355" s="1" t="str">
        <f ca="1">IFERROR(__xludf.DUMMYFUNCTION("""COMPUTED_VALUE"""),"maya.magnin@lfjpsaly.org")</f>
        <v>maya.magnin@lfjpsaly.org</v>
      </c>
      <c r="S355" s="1"/>
      <c r="T355" s="1" t="str">
        <f ca="1">IFERROR(__xludf.DUMMYFUNCTION("""COMPUTED_VALUE"""),"BOUAM Maria")</f>
        <v>BOUAM Maria</v>
      </c>
      <c r="U355" s="1"/>
      <c r="V355" s="1" t="str">
        <f ca="1">IFERROR(__xludf.DUMMYFUNCTION("""COMPUTED_VALUE"""),"mariabuam3@gmail.com")</f>
        <v>mariabuam3@gmail.com</v>
      </c>
      <c r="W355" s="1"/>
      <c r="X355" s="1" t="str">
        <f ca="1">IFERROR(__xludf.DUMMYFUNCTION("""COMPUTED_VALUE"""),"+221 77 996 64 63")</f>
        <v>+221 77 996 64 63</v>
      </c>
      <c r="Y355" s="1"/>
      <c r="Z355" s="1"/>
      <c r="AA355" s="1"/>
      <c r="AB355" s="2">
        <f ca="1">IFERROR(__xludf.DUMMYFUNCTION("""COMPUTED_VALUE"""),33140)</f>
        <v>33140</v>
      </c>
      <c r="AC355" s="1"/>
      <c r="AD355" s="1" t="str">
        <f ca="1">IFERROR(__xludf.DUMMYFUNCTION("""COMPUTED_VALUE"""),"MERE")</f>
        <v>MERE</v>
      </c>
      <c r="AE355" s="1"/>
      <c r="AF355" s="1" t="str">
        <f ca="1">IFERROR(__xludf.DUMMYFUNCTION("""COMPUTED_VALUE"""),"SENEGAL")</f>
        <v>SENEGAL</v>
      </c>
      <c r="AG355" s="1"/>
      <c r="AH355" s="1"/>
      <c r="AI355" s="1"/>
      <c r="AJ355" s="1" t="str">
        <f ca="1">IFERROR(__xludf.DUMMYFUNCTION("""COMPUTED_VALUE"""),"F1426")</f>
        <v>F1426</v>
      </c>
      <c r="AK355" s="1" t="str">
        <f ca="1">IFERROR(__xludf.DUMMYFUNCTION("""COMPUTED_VALUE"""),"Célibataire")</f>
        <v>Célibataire</v>
      </c>
      <c r="AL355" s="1"/>
      <c r="AM355" s="1" t="str">
        <f ca="1">IFERROR(__xludf.DUMMYFUNCTION("""COMPUTED_VALUE"""),"F1426")</f>
        <v>F1426</v>
      </c>
    </row>
    <row r="356" spans="1:39" ht="13" x14ac:dyDescent="0.15">
      <c r="A356" s="1" t="str">
        <f ca="1">IFERROR(__xludf.DUMMYFUNCTION("""COMPUTED_VALUE"""),"MALAQUIN DEGROOTE Lïv")</f>
        <v>MALAQUIN DEGROOTE Lïv</v>
      </c>
      <c r="B356" s="1" t="str">
        <f ca="1">IFERROR(__xludf.DUMMYFUNCTION("""COMPUTED_VALUE"""),"MALAQUIN DEGROOTE")</f>
        <v>MALAQUIN DEGROOTE</v>
      </c>
      <c r="C356" s="1" t="str">
        <f ca="1">IFERROR(__xludf.DUMMYFUNCTION("""COMPUTED_VALUE"""),"Lïv")</f>
        <v>Lïv</v>
      </c>
      <c r="D356" s="1" t="str">
        <f ca="1">IFERROR(__xludf.DUMMYFUNCTION("""COMPUTED_VALUE"""),"1417E2")</f>
        <v>1417E2</v>
      </c>
      <c r="E356" s="2">
        <f ca="1">IFERROR(__xludf.DUMMYFUNCTION("""COMPUTED_VALUE"""),44833)</f>
        <v>44833</v>
      </c>
      <c r="F356" s="1" t="str">
        <f ca="1">IFERROR(__xludf.DUMMYFUNCTION("""COMPUTED_VALUE"""),"Mat 1")</f>
        <v>Mat 1</v>
      </c>
      <c r="G356" s="1" t="str">
        <f ca="1">IFERROR(__xludf.DUMMYFUNCTION("""COMPUTED_VALUE"""),"PS")</f>
        <v>PS</v>
      </c>
      <c r="H356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356" s="1"/>
      <c r="J356" s="1"/>
      <c r="K356" s="1"/>
      <c r="L356" s="1"/>
      <c r="M356" s="1"/>
      <c r="N356" s="1" t="str">
        <f ca="1">IFERROR(__xludf.DUMMYFUNCTION("""COMPUTED_VALUE"""),"Fille")</f>
        <v>Fille</v>
      </c>
      <c r="O356" s="1"/>
      <c r="P356" s="1" t="str">
        <f ca="1">IFERROR(__xludf.DUMMYFUNCTION("""COMPUTED_VALUE"""),"FRANCE")</f>
        <v>FRANCE</v>
      </c>
      <c r="Q356" s="1"/>
      <c r="R356" s="1"/>
      <c r="S356" s="1"/>
      <c r="T356" s="1" t="str">
        <f ca="1">IFERROR(__xludf.DUMMYFUNCTION("""COMPUTED_VALUE"""),"DEGROOTE Alizé")</f>
        <v>DEGROOTE Alizé</v>
      </c>
      <c r="U356" s="1" t="str">
        <f ca="1">IFERROR(__xludf.DUMMYFUNCTION("""COMPUTED_VALUE"""),"MALAQUIN Thomas")</f>
        <v>MALAQUIN Thomas</v>
      </c>
      <c r="V356" s="1" t="str">
        <f ca="1">IFERROR(__xludf.DUMMYFUNCTION("""COMPUTED_VALUE"""),"katia.degroote@gmail.com")</f>
        <v>katia.degroote@gmail.com</v>
      </c>
      <c r="W356" s="1" t="str">
        <f ca="1">IFERROR(__xludf.DUMMYFUNCTION("""COMPUTED_VALUE"""),"tomperformance@hotmail.fr")</f>
        <v>tomperformance@hotmail.fr</v>
      </c>
      <c r="X356" s="1" t="str">
        <f ca="1">IFERROR(__xludf.DUMMYFUNCTION("""COMPUTED_VALUE"""),"+221 77 768 62 74")</f>
        <v>+221 77 768 62 74</v>
      </c>
      <c r="Y356" s="1" t="str">
        <f ca="1">IFERROR(__xludf.DUMMYFUNCTION("""COMPUTED_VALUE"""),"+221 78 158 39 64")</f>
        <v>+221 78 158 39 64</v>
      </c>
      <c r="Z356" s="1" t="str">
        <f ca="1">IFERROR(__xludf.DUMMYFUNCTION("""COMPUTED_VALUE"""),"+221 77 768 62 74")</f>
        <v>+221 77 768 62 74</v>
      </c>
      <c r="AA356" s="1" t="str">
        <f ca="1">IFERROR(__xludf.DUMMYFUNCTION("""COMPUTED_VALUE"""),"+221 77 768 62 74")</f>
        <v>+221 77 768 62 74</v>
      </c>
      <c r="AB356" s="2">
        <f ca="1">IFERROR(__xludf.DUMMYFUNCTION("""COMPUTED_VALUE"""),34098)</f>
        <v>34098</v>
      </c>
      <c r="AC356" s="2">
        <f ca="1">IFERROR(__xludf.DUMMYFUNCTION("""COMPUTED_VALUE"""),31153)</f>
        <v>31153</v>
      </c>
      <c r="AD356" s="1" t="str">
        <f ca="1">IFERROR(__xludf.DUMMYFUNCTION("""COMPUTED_VALUE"""),"MERE")</f>
        <v>MERE</v>
      </c>
      <c r="AE356" s="1" t="str">
        <f ca="1">IFERROR(__xludf.DUMMYFUNCTION("""COMPUTED_VALUE"""),"PERE")</f>
        <v>PERE</v>
      </c>
      <c r="AF356" s="1" t="str">
        <f ca="1">IFERROR(__xludf.DUMMYFUNCTION("""COMPUTED_VALUE"""),"FRANCE")</f>
        <v>FRANCE</v>
      </c>
      <c r="AG356" s="1" t="str">
        <f ca="1">IFERROR(__xludf.DUMMYFUNCTION("""COMPUTED_VALUE"""),"FRANCE")</f>
        <v>FRANCE</v>
      </c>
      <c r="AH356" s="1"/>
      <c r="AI356" s="1"/>
      <c r="AJ356" s="1" t="str">
        <f ca="1">IFERROR(__xludf.DUMMYFUNCTION("""COMPUTED_VALUE"""),"F1417")</f>
        <v>F1417</v>
      </c>
      <c r="AK356" s="1" t="str">
        <f ca="1">IFERROR(__xludf.DUMMYFUNCTION("""COMPUTED_VALUE"""),"CONCUBINAGE")</f>
        <v>CONCUBINAGE</v>
      </c>
      <c r="AL356" s="1" t="str">
        <f ca="1">IFERROR(__xludf.DUMMYFUNCTION("""COMPUTED_VALUE"""),"Célibataire")</f>
        <v>Célibataire</v>
      </c>
      <c r="AM356" s="1" t="str">
        <f ca="1">IFERROR(__xludf.DUMMYFUNCTION("""COMPUTED_VALUE"""),"F1417")</f>
        <v>F1417</v>
      </c>
    </row>
    <row r="357" spans="1:39" ht="13" x14ac:dyDescent="0.15">
      <c r="A357" s="1" t="str">
        <f ca="1">IFERROR(__xludf.DUMMYFUNCTION("""COMPUTED_VALUE"""),"MARCHESE Gladys")</f>
        <v>MARCHESE Gladys</v>
      </c>
      <c r="B357" s="1" t="str">
        <f ca="1">IFERROR(__xludf.DUMMYFUNCTION("""COMPUTED_VALUE"""),"MARCHESE")</f>
        <v>MARCHESE</v>
      </c>
      <c r="C357" s="1" t="str">
        <f ca="1">IFERROR(__xludf.DUMMYFUNCTION("""COMPUTED_VALUE"""),"Gladys")</f>
        <v>Gladys</v>
      </c>
      <c r="D357" s="1" t="str">
        <f ca="1">IFERROR(__xludf.DUMMYFUNCTION("""COMPUTED_VALUE"""),"1430E1")</f>
        <v>1430E1</v>
      </c>
      <c r="E357" s="2">
        <f ca="1">IFERROR(__xludf.DUMMYFUNCTION("""COMPUTED_VALUE"""),41302)</f>
        <v>41302</v>
      </c>
      <c r="F357" s="1" t="str">
        <f ca="1">IFERROR(__xludf.DUMMYFUNCTION("""COMPUTED_VALUE"""),"5EME1")</f>
        <v>5EME1</v>
      </c>
      <c r="G357" s="1" t="str">
        <f ca="1">IFERROR(__xludf.DUMMYFUNCTION("""COMPUTED_VALUE"""),"5ème")</f>
        <v>5ème</v>
      </c>
      <c r="H357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357" s="1" t="str">
        <f ca="1">IFERROR(__xludf.DUMMYFUNCTION("""COMPUTED_VALUE"""),"LVA Anglais")</f>
        <v>LVA Anglais</v>
      </c>
      <c r="J357" s="1" t="str">
        <f ca="1">IFERROR(__xludf.DUMMYFUNCTION("""COMPUTED_VALUE"""),"LVB Espagnol")</f>
        <v>LVB Espagnol</v>
      </c>
      <c r="K357" s="1"/>
      <c r="L357" s="1"/>
      <c r="M357" s="1"/>
      <c r="N357" s="1" t="str">
        <f ca="1">IFERROR(__xludf.DUMMYFUNCTION("""COMPUTED_VALUE"""),"Fille")</f>
        <v>Fille</v>
      </c>
      <c r="O357" s="1"/>
      <c r="P357" s="1" t="str">
        <f ca="1">IFERROR(__xludf.DUMMYFUNCTION("""COMPUTED_VALUE"""),"FRANCE")</f>
        <v>FRANCE</v>
      </c>
      <c r="Q357" s="1" t="str">
        <f ca="1">IFERROR(__xludf.DUMMYFUNCTION("""COMPUTED_VALUE"""),"SENEGAL")</f>
        <v>SENEGAL</v>
      </c>
      <c r="R357" s="1" t="str">
        <f ca="1">IFERROR(__xludf.DUMMYFUNCTION("""COMPUTED_VALUE"""),"gladys.marchese@lfjpsaly.org")</f>
        <v>gladys.marchese@lfjpsaly.org</v>
      </c>
      <c r="S357" s="1"/>
      <c r="T357" s="1" t="str">
        <f ca="1">IFERROR(__xludf.DUMMYFUNCTION("""COMPUTED_VALUE"""),"MARCHESE Erick")</f>
        <v>MARCHESE Erick</v>
      </c>
      <c r="U357" s="1" t="str">
        <f ca="1">IFERROR(__xludf.DUMMYFUNCTION("""COMPUTED_VALUE"""),"MARCHESE Adelaide")</f>
        <v>MARCHESE Adelaide</v>
      </c>
      <c r="V357" s="1" t="str">
        <f ca="1">IFERROR(__xludf.DUMMYFUNCTION("""COMPUTED_VALUE"""),"eckmdk@hotmail.fr")</f>
        <v>eckmdk@hotmail.fr</v>
      </c>
      <c r="W357" s="1" t="str">
        <f ca="1">IFERROR(__xludf.DUMMYFUNCTION("""COMPUTED_VALUE"""),"adela_dioh@hotmail.com")</f>
        <v>adela_dioh@hotmail.com</v>
      </c>
      <c r="X357" s="1" t="str">
        <f ca="1">IFERROR(__xludf.DUMMYFUNCTION("""COMPUTED_VALUE"""),"+221 76 991 45 60")</f>
        <v>+221 76 991 45 60</v>
      </c>
      <c r="Y357" s="1" t="str">
        <f ca="1">IFERROR(__xludf.DUMMYFUNCTION("""COMPUTED_VALUE"""),"+221 76 507 46 58")</f>
        <v>+221 76 507 46 58</v>
      </c>
      <c r="Z357" s="1" t="str">
        <f ca="1">IFERROR(__xludf.DUMMYFUNCTION("""COMPUTED_VALUE"""),"+221")</f>
        <v>+221</v>
      </c>
      <c r="AA357" s="1"/>
      <c r="AB357" s="2">
        <f ca="1">IFERROR(__xludf.DUMMYFUNCTION("""COMPUTED_VALUE"""),20342)</f>
        <v>20342</v>
      </c>
      <c r="AC357" s="2">
        <f ca="1">IFERROR(__xludf.DUMMYFUNCTION("""COMPUTED_VALUE"""),29139)</f>
        <v>29139</v>
      </c>
      <c r="AD357" s="1" t="str">
        <f ca="1">IFERROR(__xludf.DUMMYFUNCTION("""COMPUTED_VALUE"""),"PERE")</f>
        <v>PERE</v>
      </c>
      <c r="AE357" s="1" t="str">
        <f ca="1">IFERROR(__xludf.DUMMYFUNCTION("""COMPUTED_VALUE"""),"MERE")</f>
        <v>MERE</v>
      </c>
      <c r="AF357" s="1" t="str">
        <f ca="1">IFERROR(__xludf.DUMMYFUNCTION("""COMPUTED_VALUE"""),"FRANCE")</f>
        <v>FRANCE</v>
      </c>
      <c r="AG357" s="1" t="str">
        <f ca="1">IFERROR(__xludf.DUMMYFUNCTION("""COMPUTED_VALUE"""),"FRANCE")</f>
        <v>FRANCE</v>
      </c>
      <c r="AH357" s="1" t="str">
        <f ca="1">IFERROR(__xludf.DUMMYFUNCTION("""COMPUTED_VALUE"""),"SENEGAL")</f>
        <v>SENEGAL</v>
      </c>
      <c r="AI357" s="1" t="str">
        <f ca="1">IFERROR(__xludf.DUMMYFUNCTION("""COMPUTED_VALUE"""),"SENEGAL")</f>
        <v>SENEGAL</v>
      </c>
      <c r="AJ357" s="1" t="str">
        <f ca="1">IFERROR(__xludf.DUMMYFUNCTION("""COMPUTED_VALUE"""),"F1430")</f>
        <v>F1430</v>
      </c>
      <c r="AK357" s="1" t="str">
        <f ca="1">IFERROR(__xludf.DUMMYFUNCTION("""COMPUTED_VALUE"""),"Marié(e)")</f>
        <v>Marié(e)</v>
      </c>
      <c r="AL357" s="1" t="str">
        <f ca="1">IFERROR(__xludf.DUMMYFUNCTION("""COMPUTED_VALUE"""),"Marié(e)")</f>
        <v>Marié(e)</v>
      </c>
      <c r="AM357" s="1" t="str">
        <f ca="1">IFERROR(__xludf.DUMMYFUNCTION("""COMPUTED_VALUE"""),"F1430")</f>
        <v>F1430</v>
      </c>
    </row>
    <row r="358" spans="1:39" ht="13" x14ac:dyDescent="0.15">
      <c r="A358" s="1" t="str">
        <f ca="1">IFERROR(__xludf.DUMMYFUNCTION("""COMPUTED_VALUE"""),"MARCHESE Howard Giovanni Sédar")</f>
        <v>MARCHESE Howard Giovanni Sédar</v>
      </c>
      <c r="B358" s="1" t="str">
        <f ca="1">IFERROR(__xludf.DUMMYFUNCTION("""COMPUTED_VALUE"""),"MARCHESE")</f>
        <v>MARCHESE</v>
      </c>
      <c r="C358" s="1" t="str">
        <f ca="1">IFERROR(__xludf.DUMMYFUNCTION("""COMPUTED_VALUE"""),"Howard Giovanni Sédar")</f>
        <v>Howard Giovanni Sédar</v>
      </c>
      <c r="D358" s="1" t="str">
        <f ca="1">IFERROR(__xludf.DUMMYFUNCTION("""COMPUTED_VALUE"""),"1430E2")</f>
        <v>1430E2</v>
      </c>
      <c r="E358" s="2">
        <f ca="1">IFERROR(__xludf.DUMMYFUNCTION("""COMPUTED_VALUE"""),40688)</f>
        <v>40688</v>
      </c>
      <c r="F358" s="1" t="str">
        <f ca="1">IFERROR(__xludf.DUMMYFUNCTION("""COMPUTED_VALUE"""),"3EME1")</f>
        <v>3EME1</v>
      </c>
      <c r="G358" s="1" t="str">
        <f ca="1">IFERROR(__xludf.DUMMYFUNCTION("""COMPUTED_VALUE"""),"3ème")</f>
        <v>3ème</v>
      </c>
      <c r="H358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358" s="1" t="str">
        <f ca="1">IFERROR(__xludf.DUMMYFUNCTION("""COMPUTED_VALUE"""),"LVA Anglais")</f>
        <v>LVA Anglais</v>
      </c>
      <c r="J358" s="1" t="str">
        <f ca="1">IFERROR(__xludf.DUMMYFUNCTION("""COMPUTED_VALUE"""),"LVB Espagnol")</f>
        <v>LVB Espagnol</v>
      </c>
      <c r="K358" s="1"/>
      <c r="L358" s="1"/>
      <c r="M358" s="1"/>
      <c r="N358" s="1" t="str">
        <f ca="1">IFERROR(__xludf.DUMMYFUNCTION("""COMPUTED_VALUE"""),"Garçon")</f>
        <v>Garçon</v>
      </c>
      <c r="O358" s="1"/>
      <c r="P358" s="1" t="str">
        <f ca="1">IFERROR(__xludf.DUMMYFUNCTION("""COMPUTED_VALUE"""),"FRANCE")</f>
        <v>FRANCE</v>
      </c>
      <c r="Q358" s="1" t="str">
        <f ca="1">IFERROR(__xludf.DUMMYFUNCTION("""COMPUTED_VALUE"""),"SENEGAL")</f>
        <v>SENEGAL</v>
      </c>
      <c r="R358" s="1" t="str">
        <f ca="1">IFERROR(__xludf.DUMMYFUNCTION("""COMPUTED_VALUE"""),"howard.marchese@lfjpsaly.org")</f>
        <v>howard.marchese@lfjpsaly.org</v>
      </c>
      <c r="S358" s="1"/>
      <c r="T358" s="1" t="str">
        <f ca="1">IFERROR(__xludf.DUMMYFUNCTION("""COMPUTED_VALUE"""),"MARCHESE Erick")</f>
        <v>MARCHESE Erick</v>
      </c>
      <c r="U358" s="1" t="str">
        <f ca="1">IFERROR(__xludf.DUMMYFUNCTION("""COMPUTED_VALUE"""),"MARCHESE Adelaide")</f>
        <v>MARCHESE Adelaide</v>
      </c>
      <c r="V358" s="1" t="str">
        <f ca="1">IFERROR(__xludf.DUMMYFUNCTION("""COMPUTED_VALUE"""),"eckmdk@hotmail.fr")</f>
        <v>eckmdk@hotmail.fr</v>
      </c>
      <c r="W358" s="1" t="str">
        <f ca="1">IFERROR(__xludf.DUMMYFUNCTION("""COMPUTED_VALUE"""),"adela_dioh@hotmail.com")</f>
        <v>adela_dioh@hotmail.com</v>
      </c>
      <c r="X358" s="1" t="str">
        <f ca="1">IFERROR(__xludf.DUMMYFUNCTION("""COMPUTED_VALUE"""),"+221 76 991 45 60")</f>
        <v>+221 76 991 45 60</v>
      </c>
      <c r="Y358" s="1" t="str">
        <f ca="1">IFERROR(__xludf.DUMMYFUNCTION("""COMPUTED_VALUE"""),"+221 76 507 46 58")</f>
        <v>+221 76 507 46 58</v>
      </c>
      <c r="Z358" s="1" t="str">
        <f ca="1">IFERROR(__xludf.DUMMYFUNCTION("""COMPUTED_VALUE"""),"+221")</f>
        <v>+221</v>
      </c>
      <c r="AA358" s="1"/>
      <c r="AB358" s="2">
        <f ca="1">IFERROR(__xludf.DUMMYFUNCTION("""COMPUTED_VALUE"""),20342)</f>
        <v>20342</v>
      </c>
      <c r="AC358" s="2">
        <f ca="1">IFERROR(__xludf.DUMMYFUNCTION("""COMPUTED_VALUE"""),29139)</f>
        <v>29139</v>
      </c>
      <c r="AD358" s="1" t="str">
        <f ca="1">IFERROR(__xludf.DUMMYFUNCTION("""COMPUTED_VALUE"""),"PERE")</f>
        <v>PERE</v>
      </c>
      <c r="AE358" s="1" t="str">
        <f ca="1">IFERROR(__xludf.DUMMYFUNCTION("""COMPUTED_VALUE"""),"MERE")</f>
        <v>MERE</v>
      </c>
      <c r="AF358" s="1" t="str">
        <f ca="1">IFERROR(__xludf.DUMMYFUNCTION("""COMPUTED_VALUE"""),"FRANCE")</f>
        <v>FRANCE</v>
      </c>
      <c r="AG358" s="1" t="str">
        <f ca="1">IFERROR(__xludf.DUMMYFUNCTION("""COMPUTED_VALUE"""),"FRANCE")</f>
        <v>FRANCE</v>
      </c>
      <c r="AH358" s="1" t="str">
        <f ca="1">IFERROR(__xludf.DUMMYFUNCTION("""COMPUTED_VALUE"""),"SENEGAL")</f>
        <v>SENEGAL</v>
      </c>
      <c r="AI358" s="1" t="str">
        <f ca="1">IFERROR(__xludf.DUMMYFUNCTION("""COMPUTED_VALUE"""),"SENEGAL")</f>
        <v>SENEGAL</v>
      </c>
      <c r="AJ358" s="1" t="str">
        <f ca="1">IFERROR(__xludf.DUMMYFUNCTION("""COMPUTED_VALUE"""),"F1430")</f>
        <v>F1430</v>
      </c>
      <c r="AK358" s="1" t="str">
        <f ca="1">IFERROR(__xludf.DUMMYFUNCTION("""COMPUTED_VALUE"""),"Marié(e)")</f>
        <v>Marié(e)</v>
      </c>
      <c r="AL358" s="1" t="str">
        <f ca="1">IFERROR(__xludf.DUMMYFUNCTION("""COMPUTED_VALUE"""),"Marié(e)")</f>
        <v>Marié(e)</v>
      </c>
      <c r="AM358" s="1" t="str">
        <f ca="1">IFERROR(__xludf.DUMMYFUNCTION("""COMPUTED_VALUE"""),"F1430")</f>
        <v>F1430</v>
      </c>
    </row>
    <row r="359" spans="1:39" ht="13" x14ac:dyDescent="0.15">
      <c r="A359" s="1" t="str">
        <f ca="1">IFERROR(__xludf.DUMMYFUNCTION("""COMPUTED_VALUE"""),"MAREGA Yssa")</f>
        <v>MAREGA Yssa</v>
      </c>
      <c r="B359" s="1" t="str">
        <f ca="1">IFERROR(__xludf.DUMMYFUNCTION("""COMPUTED_VALUE"""),"MAREGA")</f>
        <v>MAREGA</v>
      </c>
      <c r="C359" s="1" t="str">
        <f ca="1">IFERROR(__xludf.DUMMYFUNCTION("""COMPUTED_VALUE"""),"Yssa")</f>
        <v>Yssa</v>
      </c>
      <c r="D359" s="1" t="str">
        <f ca="1">IFERROR(__xludf.DUMMYFUNCTION("""COMPUTED_VALUE"""),"11744S2442")</f>
        <v>11744S2442</v>
      </c>
      <c r="E359" s="2">
        <f ca="1">IFERROR(__xludf.DUMMYFUNCTION("""COMPUTED_VALUE"""),38913)</f>
        <v>38913</v>
      </c>
      <c r="F359" s="1" t="str">
        <f ca="1">IFERROR(__xludf.DUMMYFUNCTION("""COMPUTED_VALUE"""),"TERMINALE1")</f>
        <v>TERMINALE1</v>
      </c>
      <c r="G359" s="1" t="str">
        <f ca="1">IFERROR(__xludf.DUMMYFUNCTION("""COMPUTED_VALUE"""),"Terminale")</f>
        <v>Terminale</v>
      </c>
      <c r="H359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359" s="1" t="str">
        <f ca="1">IFERROR(__xludf.DUMMYFUNCTION("""COMPUTED_VALUE"""),"LVA Anglais")</f>
        <v>LVA Anglais</v>
      </c>
      <c r="J359" s="1" t="str">
        <f ca="1">IFERROR(__xludf.DUMMYFUNCTION("""COMPUTED_VALUE"""),"Autre (CNED - langue à préciser)")</f>
        <v>Autre (CNED - langue à préciser)</v>
      </c>
      <c r="K359" s="1"/>
      <c r="L359" s="1"/>
      <c r="M359" s="1" t="str">
        <f ca="1">IFERROR(__xludf.DUMMYFUNCTION("""COMPUTED_VALUE"""),"SPE MATHS, SPE SES")</f>
        <v>SPE MATHS, SPE SES</v>
      </c>
      <c r="N359" s="1" t="str">
        <f ca="1">IFERROR(__xludf.DUMMYFUNCTION("""COMPUTED_VALUE"""),"Garçon")</f>
        <v>Garçon</v>
      </c>
      <c r="O359" s="1"/>
      <c r="P359" s="1" t="str">
        <f ca="1">IFERROR(__xludf.DUMMYFUNCTION("""COMPUTED_VALUE"""),"FRANCE")</f>
        <v>FRANCE</v>
      </c>
      <c r="Q359" s="1" t="str">
        <f ca="1">IFERROR(__xludf.DUMMYFUNCTION("""COMPUTED_VALUE"""),"SENEGAL")</f>
        <v>SENEGAL</v>
      </c>
      <c r="R359" s="1" t="str">
        <f ca="1">IFERROR(__xludf.DUMMYFUNCTION("""COMPUTED_VALUE"""),"yssa.marega@lfjpsaly.org")</f>
        <v>yssa.marega@lfjpsaly.org</v>
      </c>
      <c r="S359" s="1" t="str">
        <f ca="1">IFERROR(__xludf.DUMMYFUNCTION("""COMPUTED_VALUE"""),"+33 6 68 31 87 49")</f>
        <v>+33 6 68 31 87 49</v>
      </c>
      <c r="T359" s="1" t="str">
        <f ca="1">IFERROR(__xludf.DUMMYFUNCTION("""COMPUTED_VALUE"""),"CAMARA Mariame")</f>
        <v>CAMARA Mariame</v>
      </c>
      <c r="U359" s="1" t="str">
        <f ca="1">IFERROR(__xludf.DUMMYFUNCTION("""COMPUTED_VALUE"""),"MAREGA Doro")</f>
        <v>MAREGA Doro</v>
      </c>
      <c r="V359" s="1" t="str">
        <f ca="1">IFERROR(__xludf.DUMMYFUNCTION("""COMPUTED_VALUE"""),"mimicamara1@yahoo.fr")</f>
        <v>mimicamara1@yahoo.fr</v>
      </c>
      <c r="W359" s="1" t="str">
        <f ca="1">IFERROR(__xludf.DUMMYFUNCTION("""COMPUTED_VALUE"""),"maregadoro@yahoo.fr")</f>
        <v>maregadoro@yahoo.fr</v>
      </c>
      <c r="X359" s="1" t="str">
        <f ca="1">IFERROR(__xludf.DUMMYFUNCTION("""COMPUTED_VALUE"""),"+33 7 65 74 92 13")</f>
        <v>+33 7 65 74 92 13</v>
      </c>
      <c r="Y359" s="1" t="str">
        <f ca="1">IFERROR(__xludf.DUMMYFUNCTION("""COMPUTED_VALUE"""),"+33 6 42 79 59 43")</f>
        <v>+33 6 42 79 59 43</v>
      </c>
      <c r="Z359" s="1" t="str">
        <f ca="1">IFERROR(__xludf.DUMMYFUNCTION("""COMPUTED_VALUE"""),"+33 6 68 31 87 49")</f>
        <v>+33 6 68 31 87 49</v>
      </c>
      <c r="AA359" s="1" t="str">
        <f ca="1">IFERROR(__xludf.DUMMYFUNCTION("""COMPUTED_VALUE"""),"+221 77 145 92 64")</f>
        <v>+221 77 145 92 64</v>
      </c>
      <c r="AB359" s="2">
        <f ca="1">IFERROR(__xludf.DUMMYFUNCTION("""COMPUTED_VALUE"""),28964)</f>
        <v>28964</v>
      </c>
      <c r="AC359" s="2">
        <f ca="1">IFERROR(__xludf.DUMMYFUNCTION("""COMPUTED_VALUE"""),27740)</f>
        <v>27740</v>
      </c>
      <c r="AD359" s="1" t="str">
        <f ca="1">IFERROR(__xludf.DUMMYFUNCTION("""COMPUTED_VALUE"""),"MERE")</f>
        <v>MERE</v>
      </c>
      <c r="AE359" s="1" t="str">
        <f ca="1">IFERROR(__xludf.DUMMYFUNCTION("""COMPUTED_VALUE"""),"PERE")</f>
        <v>PERE</v>
      </c>
      <c r="AF359" s="1" t="str">
        <f ca="1">IFERROR(__xludf.DUMMYFUNCTION("""COMPUTED_VALUE"""),"FRANCE")</f>
        <v>FRANCE</v>
      </c>
      <c r="AG359" s="1" t="str">
        <f ca="1">IFERROR(__xludf.DUMMYFUNCTION("""COMPUTED_VALUE"""),"FRANCE")</f>
        <v>FRANCE</v>
      </c>
      <c r="AH359" s="1"/>
      <c r="AI359" s="1" t="str">
        <f ca="1">IFERROR(__xludf.DUMMYFUNCTION("""COMPUTED_VALUE"""),"SENEGAL")</f>
        <v>SENEGAL</v>
      </c>
      <c r="AJ359" s="1" t="str">
        <f ca="1">IFERROR(__xludf.DUMMYFUNCTION("""COMPUTED_VALUE"""),"U11744")</f>
        <v>U11744</v>
      </c>
      <c r="AK359" s="1" t="str">
        <f ca="1">IFERROR(__xludf.DUMMYFUNCTION("""COMPUTED_VALUE"""),"Divorcée")</f>
        <v>Divorcée</v>
      </c>
      <c r="AL359" s="1" t="str">
        <f ca="1">IFERROR(__xludf.DUMMYFUNCTION("""COMPUTED_VALUE"""),"Marié(e)")</f>
        <v>Marié(e)</v>
      </c>
      <c r="AM359" s="1" t="str">
        <f ca="1">IFERROR(__xludf.DUMMYFUNCTION("""COMPUTED_VALUE"""),"U11744")</f>
        <v>U11744</v>
      </c>
    </row>
    <row r="360" spans="1:39" ht="13" x14ac:dyDescent="0.15">
      <c r="A360" s="1" t="str">
        <f ca="1">IFERROR(__xludf.DUMMYFUNCTION("""COMPUTED_VALUE"""),"MARIE Eden")</f>
        <v>MARIE Eden</v>
      </c>
      <c r="B360" s="1" t="str">
        <f ca="1">IFERROR(__xludf.DUMMYFUNCTION("""COMPUTED_VALUE"""),"MARIE")</f>
        <v>MARIE</v>
      </c>
      <c r="C360" s="1" t="str">
        <f ca="1">IFERROR(__xludf.DUMMYFUNCTION("""COMPUTED_VALUE"""),"Eden")</f>
        <v>Eden</v>
      </c>
      <c r="D360" s="1" t="str">
        <f ca="1">IFERROR(__xludf.DUMMYFUNCTION("""COMPUTED_VALUE"""),"1431E1")</f>
        <v>1431E1</v>
      </c>
      <c r="E360" s="2">
        <f ca="1">IFERROR(__xludf.DUMMYFUNCTION("""COMPUTED_VALUE"""),43255)</f>
        <v>43255</v>
      </c>
      <c r="F360" s="1" t="str">
        <f ca="1">IFERROR(__xludf.DUMMYFUNCTION("""COMPUTED_VALUE"""),"CE1A")</f>
        <v>CE1A</v>
      </c>
      <c r="G360" s="1" t="str">
        <f ca="1">IFERROR(__xludf.DUMMYFUNCTION("""COMPUTED_VALUE"""),"CE1")</f>
        <v>CE1</v>
      </c>
      <c r="H360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360" s="1"/>
      <c r="J360" s="1"/>
      <c r="K360" s="1"/>
      <c r="L360" s="1"/>
      <c r="M360" s="1"/>
      <c r="N360" s="1" t="str">
        <f ca="1">IFERROR(__xludf.DUMMYFUNCTION("""COMPUTED_VALUE"""),"Fille")</f>
        <v>Fille</v>
      </c>
      <c r="O360" s="1"/>
      <c r="P360" s="1" t="str">
        <f ca="1">IFERROR(__xludf.DUMMYFUNCTION("""COMPUTED_VALUE"""),"SENEGAL")</f>
        <v>SENEGAL</v>
      </c>
      <c r="Q360" s="1"/>
      <c r="R360" s="1"/>
      <c r="S360" s="1"/>
      <c r="T360" s="1" t="str">
        <f ca="1">IFERROR(__xludf.DUMMYFUNCTION("""COMPUTED_VALUE"""),"MARIE David")</f>
        <v>MARIE David</v>
      </c>
      <c r="U360" s="1" t="str">
        <f ca="1">IFERROR(__xludf.DUMMYFUNCTION("""COMPUTED_VALUE"""),"MARIE Geneviève")</f>
        <v>MARIE Geneviève</v>
      </c>
      <c r="V360" s="1" t="str">
        <f ca="1">IFERROR(__xludf.DUMMYFUNCTION("""COMPUTED_VALUE"""),"marie.david.125@gmail.com")</f>
        <v>marie.david.125@gmail.com</v>
      </c>
      <c r="W360" s="1" t="str">
        <f ca="1">IFERROR(__xludf.DUMMYFUNCTION("""COMPUTED_VALUE"""),"luxuria.traiteur@gmail.com")</f>
        <v>luxuria.traiteur@gmail.com</v>
      </c>
      <c r="X360" s="1" t="str">
        <f ca="1">IFERROR(__xludf.DUMMYFUNCTION("""COMPUTED_VALUE"""),"772072852")</f>
        <v>772072852</v>
      </c>
      <c r="Y360" s="1" t="str">
        <f ca="1">IFERROR(__xludf.DUMMYFUNCTION("""COMPUTED_VALUE"""),"77 649 85 29")</f>
        <v>77 649 85 29</v>
      </c>
      <c r="Z360" s="1"/>
      <c r="AA360" s="1"/>
      <c r="AB360" s="2">
        <f ca="1">IFERROR(__xludf.DUMMYFUNCTION("""COMPUTED_VALUE"""),28504)</f>
        <v>28504</v>
      </c>
      <c r="AC360" s="2">
        <f ca="1">IFERROR(__xludf.DUMMYFUNCTION("""COMPUTED_VALUE"""),29107)</f>
        <v>29107</v>
      </c>
      <c r="AD360" s="1" t="str">
        <f ca="1">IFERROR(__xludf.DUMMYFUNCTION("""COMPUTED_VALUE"""),"PERE")</f>
        <v>PERE</v>
      </c>
      <c r="AE360" s="1" t="str">
        <f ca="1">IFERROR(__xludf.DUMMYFUNCTION("""COMPUTED_VALUE"""),"MERE")</f>
        <v>MERE</v>
      </c>
      <c r="AF360" s="1" t="str">
        <f ca="1">IFERROR(__xludf.DUMMYFUNCTION("""COMPUTED_VALUE"""),"FRANCE")</f>
        <v>FRANCE</v>
      </c>
      <c r="AG360" s="1" t="str">
        <f ca="1">IFERROR(__xludf.DUMMYFUNCTION("""COMPUTED_VALUE"""),"SENEGAL")</f>
        <v>SENEGAL</v>
      </c>
      <c r="AH360" s="1"/>
      <c r="AI360" s="1"/>
      <c r="AJ360" s="1" t="str">
        <f ca="1">IFERROR(__xludf.DUMMYFUNCTION("""COMPUTED_VALUE"""),"F1431")</f>
        <v>F1431</v>
      </c>
      <c r="AK360" s="1" t="str">
        <f ca="1">IFERROR(__xludf.DUMMYFUNCTION("""COMPUTED_VALUE"""),"Marié(e)")</f>
        <v>Marié(e)</v>
      </c>
      <c r="AL360" s="1" t="str">
        <f ca="1">IFERROR(__xludf.DUMMYFUNCTION("""COMPUTED_VALUE"""),"Marié(e)")</f>
        <v>Marié(e)</v>
      </c>
      <c r="AM360" s="1" t="str">
        <f ca="1">IFERROR(__xludf.DUMMYFUNCTION("""COMPUTED_VALUE"""),"F1431")</f>
        <v>F1431</v>
      </c>
    </row>
    <row r="361" spans="1:39" ht="13" x14ac:dyDescent="0.15">
      <c r="A361" s="1" t="str">
        <f ca="1">IFERROR(__xludf.DUMMYFUNCTION("""COMPUTED_VALUE"""),"MARTINEZ Gabriel-Omar Régis")</f>
        <v>MARTINEZ Gabriel-Omar Régis</v>
      </c>
      <c r="B361" s="1" t="str">
        <f ca="1">IFERROR(__xludf.DUMMYFUNCTION("""COMPUTED_VALUE"""),"MARTINEZ")</f>
        <v>MARTINEZ</v>
      </c>
      <c r="C361" s="1" t="str">
        <f ca="1">IFERROR(__xludf.DUMMYFUNCTION("""COMPUTED_VALUE"""),"Gabriel-Omar Régis")</f>
        <v>Gabriel-Omar Régis</v>
      </c>
      <c r="D361" s="1" t="str">
        <f ca="1">IFERROR(__xludf.DUMMYFUNCTION("""COMPUTED_VALUE"""),"11732S2403")</f>
        <v>11732S2403</v>
      </c>
      <c r="E361" s="2">
        <f ca="1">IFERROR(__xludf.DUMMYFUNCTION("""COMPUTED_VALUE"""),40796)</f>
        <v>40796</v>
      </c>
      <c r="F361" s="1" t="str">
        <f ca="1">IFERROR(__xludf.DUMMYFUNCTION("""COMPUTED_VALUE"""),"3EME1")</f>
        <v>3EME1</v>
      </c>
      <c r="G361" s="1" t="str">
        <f ca="1">IFERROR(__xludf.DUMMYFUNCTION("""COMPUTED_VALUE"""),"3ème")</f>
        <v>3ème</v>
      </c>
      <c r="H361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361" s="1" t="str">
        <f ca="1">IFERROR(__xludf.DUMMYFUNCTION("""COMPUTED_VALUE"""),"LVA Anglais")</f>
        <v>LVA Anglais</v>
      </c>
      <c r="J361" s="1" t="str">
        <f ca="1">IFERROR(__xludf.DUMMYFUNCTION("""COMPUTED_VALUE"""),"LVB Espagnol")</f>
        <v>LVB Espagnol</v>
      </c>
      <c r="K361" s="1"/>
      <c r="L361" s="1"/>
      <c r="M361" s="1"/>
      <c r="N361" s="1" t="str">
        <f ca="1">IFERROR(__xludf.DUMMYFUNCTION("""COMPUTED_VALUE"""),"Garçon")</f>
        <v>Garçon</v>
      </c>
      <c r="O361" s="1"/>
      <c r="P361" s="1" t="str">
        <f ca="1">IFERROR(__xludf.DUMMYFUNCTION("""COMPUTED_VALUE"""),"FRANCE")</f>
        <v>FRANCE</v>
      </c>
      <c r="Q361" s="1" t="str">
        <f ca="1">IFERROR(__xludf.DUMMYFUNCTION("""COMPUTED_VALUE"""),"FRANCE")</f>
        <v>FRANCE</v>
      </c>
      <c r="R361" s="1" t="str">
        <f ca="1">IFERROR(__xludf.DUMMYFUNCTION("""COMPUTED_VALUE"""),"gabriel.martinez@lfjpsaly.org")</f>
        <v>gabriel.martinez@lfjpsaly.org</v>
      </c>
      <c r="S361" s="1" t="str">
        <f ca="1">IFERROR(__xludf.DUMMYFUNCTION("""COMPUTED_VALUE"""),"+221 77 343 80 05")</f>
        <v>+221 77 343 80 05</v>
      </c>
      <c r="T361" s="1" t="str">
        <f ca="1">IFERROR(__xludf.DUMMYFUNCTION("""COMPUTED_VALUE"""),"MARTINEZ Hadja Rougui")</f>
        <v>MARTINEZ Hadja Rougui</v>
      </c>
      <c r="U361" s="1" t="str">
        <f ca="1">IFERROR(__xludf.DUMMYFUNCTION("""COMPUTED_VALUE"""),"MARTINEZ Nicolas")</f>
        <v>MARTINEZ Nicolas</v>
      </c>
      <c r="V361" s="1" t="str">
        <f ca="1">IFERROR(__xludf.DUMMYFUNCTION("""COMPUTED_VALUE"""),"hadja13@yahoo.fr")</f>
        <v>hadja13@yahoo.fr</v>
      </c>
      <c r="W361" s="1" t="str">
        <f ca="1">IFERROR(__xludf.DUMMYFUNCTION("""COMPUTED_VALUE"""),"nicolas1martinez@aol.com")</f>
        <v>nicolas1martinez@aol.com</v>
      </c>
      <c r="X361" s="1" t="str">
        <f ca="1">IFERROR(__xludf.DUMMYFUNCTION("""COMPUTED_VALUE"""),"+221 76 490 02 35")</f>
        <v>+221 76 490 02 35</v>
      </c>
      <c r="Y361" s="1" t="str">
        <f ca="1">IFERROR(__xludf.DUMMYFUNCTION("""COMPUTED_VALUE"""),"+221 76 490 02 35")</f>
        <v>+221 76 490 02 35</v>
      </c>
      <c r="Z361" s="1" t="str">
        <f ca="1">IFERROR(__xludf.DUMMYFUNCTION("""COMPUTED_VALUE"""),"+221")</f>
        <v>+221</v>
      </c>
      <c r="AA361" s="1" t="str">
        <f ca="1">IFERROR(__xludf.DUMMYFUNCTION("""COMPUTED_VALUE"""),"+221")</f>
        <v>+221</v>
      </c>
      <c r="AB361" s="2">
        <f ca="1">IFERROR(__xludf.DUMMYFUNCTION("""COMPUTED_VALUE"""),27921)</f>
        <v>27921</v>
      </c>
      <c r="AC361" s="2">
        <f ca="1">IFERROR(__xludf.DUMMYFUNCTION("""COMPUTED_VALUE"""),27494)</f>
        <v>27494</v>
      </c>
      <c r="AD361" s="1" t="str">
        <f ca="1">IFERROR(__xludf.DUMMYFUNCTION("""COMPUTED_VALUE"""),"MERE")</f>
        <v>MERE</v>
      </c>
      <c r="AE361" s="1" t="str">
        <f ca="1">IFERROR(__xludf.DUMMYFUNCTION("""COMPUTED_VALUE"""),"PERE")</f>
        <v>PERE</v>
      </c>
      <c r="AF361" s="1" t="str">
        <f ca="1">IFERROR(__xludf.DUMMYFUNCTION("""COMPUTED_VALUE"""),"FRANCE")</f>
        <v>FRANCE</v>
      </c>
      <c r="AG361" s="1" t="str">
        <f ca="1">IFERROR(__xludf.DUMMYFUNCTION("""COMPUTED_VALUE"""),"FRANCE")</f>
        <v>FRANCE</v>
      </c>
      <c r="AH361" s="1"/>
      <c r="AI361" s="1"/>
      <c r="AJ361" s="1" t="str">
        <f ca="1">IFERROR(__xludf.DUMMYFUNCTION("""COMPUTED_VALUE"""),"U11732")</f>
        <v>U11732</v>
      </c>
      <c r="AK361" s="1" t="str">
        <f ca="1">IFERROR(__xludf.DUMMYFUNCTION("""COMPUTED_VALUE"""),"Marié(e)")</f>
        <v>Marié(e)</v>
      </c>
      <c r="AL361" s="1" t="str">
        <f ca="1">IFERROR(__xludf.DUMMYFUNCTION("""COMPUTED_VALUE"""),"Marié(e)")</f>
        <v>Marié(e)</v>
      </c>
      <c r="AM361" s="1" t="str">
        <f ca="1">IFERROR(__xludf.DUMMYFUNCTION("""COMPUTED_VALUE"""),"U11732")</f>
        <v>U11732</v>
      </c>
    </row>
    <row r="362" spans="1:39" ht="13" x14ac:dyDescent="0.15">
      <c r="A362" s="1" t="str">
        <f ca="1">IFERROR(__xludf.DUMMYFUNCTION("""COMPUTED_VALUE"""),"MATHIAS Serigne Fallou")</f>
        <v>MATHIAS Serigne Fallou</v>
      </c>
      <c r="B362" s="1" t="str">
        <f ca="1">IFERROR(__xludf.DUMMYFUNCTION("""COMPUTED_VALUE"""),"MATHIAS")</f>
        <v>MATHIAS</v>
      </c>
      <c r="C362" s="1" t="str">
        <f ca="1">IFERROR(__xludf.DUMMYFUNCTION("""COMPUTED_VALUE"""),"Serigne Fallou")</f>
        <v>Serigne Fallou</v>
      </c>
      <c r="D362" s="1" t="str">
        <f ca="1">IFERROR(__xludf.DUMMYFUNCTION("""COMPUTED_VALUE"""),"1434E1")</f>
        <v>1434E1</v>
      </c>
      <c r="E362" s="2">
        <f ca="1">IFERROR(__xludf.DUMMYFUNCTION("""COMPUTED_VALUE"""),42138)</f>
        <v>42138</v>
      </c>
      <c r="F362" s="1" t="str">
        <f ca="1">IFERROR(__xludf.DUMMYFUNCTION("""COMPUTED_VALUE"""),"CM1B")</f>
        <v>CM1B</v>
      </c>
      <c r="G362" s="1" t="str">
        <f ca="1">IFERROR(__xludf.DUMMYFUNCTION("""COMPUTED_VALUE"""),"CM1")</f>
        <v>CM1</v>
      </c>
      <c r="H362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362" s="1"/>
      <c r="J362" s="1"/>
      <c r="K362" s="1"/>
      <c r="L362" s="1"/>
      <c r="M362" s="1"/>
      <c r="N362" s="1" t="str">
        <f ca="1">IFERROR(__xludf.DUMMYFUNCTION("""COMPUTED_VALUE"""),"Garçon")</f>
        <v>Garçon</v>
      </c>
      <c r="O362" s="1"/>
      <c r="P362" s="1" t="str">
        <f ca="1">IFERROR(__xludf.DUMMYFUNCTION("""COMPUTED_VALUE"""),"FRANCE")</f>
        <v>FRANCE</v>
      </c>
      <c r="Q362" s="1"/>
      <c r="R362" s="1"/>
      <c r="S362" s="1"/>
      <c r="T362" s="1" t="str">
        <f ca="1">IFERROR(__xludf.DUMMYFUNCTION("""COMPUTED_VALUE"""),"MATHIAS Mareme")</f>
        <v>MATHIAS Mareme</v>
      </c>
      <c r="U362" s="1" t="str">
        <f ca="1">IFERROR(__xludf.DUMMYFUNCTION("""COMPUTED_VALUE"""),"MATHIAS Thierry")</f>
        <v>MATHIAS Thierry</v>
      </c>
      <c r="V362" s="1" t="str">
        <f ca="1">IFERROR(__xludf.DUMMYFUNCTION("""COMPUTED_VALUE"""),"maremendiaye1423@gmail.com")</f>
        <v>maremendiaye1423@gmail.com</v>
      </c>
      <c r="W362" s="1" t="str">
        <f ca="1">IFERROR(__xludf.DUMMYFUNCTION("""COMPUTED_VALUE"""),"thierry-mathias@hotmail.fr")</f>
        <v>thierry-mathias@hotmail.fr</v>
      </c>
      <c r="X362" s="1" t="str">
        <f ca="1">IFERROR(__xludf.DUMMYFUNCTION("""COMPUTED_VALUE"""),"77 386 26 19")</f>
        <v>77 386 26 19</v>
      </c>
      <c r="Y362" s="1" t="str">
        <f ca="1">IFERROR(__xludf.DUMMYFUNCTION("""COMPUTED_VALUE"""),"788290096")</f>
        <v>788290096</v>
      </c>
      <c r="Z362" s="1"/>
      <c r="AA362" s="1"/>
      <c r="AB362" s="2">
        <f ca="1">IFERROR(__xludf.DUMMYFUNCTION("""COMPUTED_VALUE"""),31890)</f>
        <v>31890</v>
      </c>
      <c r="AC362" s="2">
        <f ca="1">IFERROR(__xludf.DUMMYFUNCTION("""COMPUTED_VALUE"""),23503)</f>
        <v>23503</v>
      </c>
      <c r="AD362" s="1" t="str">
        <f ca="1">IFERROR(__xludf.DUMMYFUNCTION("""COMPUTED_VALUE"""),"MERE")</f>
        <v>MERE</v>
      </c>
      <c r="AE362" s="1" t="str">
        <f ca="1">IFERROR(__xludf.DUMMYFUNCTION("""COMPUTED_VALUE"""),"PERE")</f>
        <v>PERE</v>
      </c>
      <c r="AF362" s="1" t="str">
        <f ca="1">IFERROR(__xludf.DUMMYFUNCTION("""COMPUTED_VALUE"""),"SENEGAL")</f>
        <v>SENEGAL</v>
      </c>
      <c r="AG362" s="1" t="str">
        <f ca="1">IFERROR(__xludf.DUMMYFUNCTION("""COMPUTED_VALUE"""),"FRANCE")</f>
        <v>FRANCE</v>
      </c>
      <c r="AH362" s="1"/>
      <c r="AI362" s="1"/>
      <c r="AJ362" s="1" t="str">
        <f ca="1">IFERROR(__xludf.DUMMYFUNCTION("""COMPUTED_VALUE"""),"F1434")</f>
        <v>F1434</v>
      </c>
      <c r="AK362" s="1" t="str">
        <f ca="1">IFERROR(__xludf.DUMMYFUNCTION("""COMPUTED_VALUE"""),"Séparé(e)")</f>
        <v>Séparé(e)</v>
      </c>
      <c r="AL362" s="1" t="str">
        <f ca="1">IFERROR(__xludf.DUMMYFUNCTION("""COMPUTED_VALUE"""),"Séparé(e)")</f>
        <v>Séparé(e)</v>
      </c>
      <c r="AM362" s="1" t="str">
        <f ca="1">IFERROR(__xludf.DUMMYFUNCTION("""COMPUTED_VALUE"""),"F1434")</f>
        <v>F1434</v>
      </c>
    </row>
    <row r="363" spans="1:39" ht="13" x14ac:dyDescent="0.15">
      <c r="A363" s="1" t="str">
        <f ca="1">IFERROR(__xludf.DUMMYFUNCTION("""COMPUTED_VALUE"""),"MAUNY Benjamin")</f>
        <v>MAUNY Benjamin</v>
      </c>
      <c r="B363" s="1" t="str">
        <f ca="1">IFERROR(__xludf.DUMMYFUNCTION("""COMPUTED_VALUE"""),"MAUNY")</f>
        <v>MAUNY</v>
      </c>
      <c r="C363" s="1" t="str">
        <f ca="1">IFERROR(__xludf.DUMMYFUNCTION("""COMPUTED_VALUE"""),"Benjamin")</f>
        <v>Benjamin</v>
      </c>
      <c r="D363" s="1" t="str">
        <f ca="1">IFERROR(__xludf.DUMMYFUNCTION("""COMPUTED_VALUE"""),"1435E2")</f>
        <v>1435E2</v>
      </c>
      <c r="E363" s="2">
        <f ca="1">IFERROR(__xludf.DUMMYFUNCTION("""COMPUTED_VALUE"""),41130)</f>
        <v>41130</v>
      </c>
      <c r="F363" s="1" t="str">
        <f ca="1">IFERROR(__xludf.DUMMYFUNCTION("""COMPUTED_VALUE"""),"4EME1")</f>
        <v>4EME1</v>
      </c>
      <c r="G363" s="1" t="str">
        <f ca="1">IFERROR(__xludf.DUMMYFUNCTION("""COMPUTED_VALUE"""),"4ème")</f>
        <v>4ème</v>
      </c>
      <c r="H363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363" s="1" t="str">
        <f ca="1">IFERROR(__xludf.DUMMYFUNCTION("""COMPUTED_VALUE"""),"LVA Anglais")</f>
        <v>LVA Anglais</v>
      </c>
      <c r="J363" s="1" t="str">
        <f ca="1">IFERROR(__xludf.DUMMYFUNCTION("""COMPUTED_VALUE"""),"LVB Espagnol")</f>
        <v>LVB Espagnol</v>
      </c>
      <c r="K363" s="1"/>
      <c r="L363" s="1"/>
      <c r="M363" s="1"/>
      <c r="N363" s="1" t="str">
        <f ca="1">IFERROR(__xludf.DUMMYFUNCTION("""COMPUTED_VALUE"""),"Garçon")</f>
        <v>Garçon</v>
      </c>
      <c r="O363" s="1"/>
      <c r="P363" s="1" t="str">
        <f ca="1">IFERROR(__xludf.DUMMYFUNCTION("""COMPUTED_VALUE"""),"FRANCE")</f>
        <v>FRANCE</v>
      </c>
      <c r="Q363" s="1"/>
      <c r="R363" s="1" t="str">
        <f ca="1">IFERROR(__xludf.DUMMYFUNCTION("""COMPUTED_VALUE"""),"benjamin.mauny@lfjpsaly.org")</f>
        <v>benjamin.mauny@lfjpsaly.org</v>
      </c>
      <c r="S363" s="1"/>
      <c r="T363" s="1" t="str">
        <f ca="1">IFERROR(__xludf.DUMMYFUNCTION("""COMPUTED_VALUE"""),"MAUNY Ana")</f>
        <v>MAUNY Ana</v>
      </c>
      <c r="U363" s="1" t="str">
        <f ca="1">IFERROR(__xludf.DUMMYFUNCTION("""COMPUTED_VALUE"""),"MAUNY David")</f>
        <v>MAUNY David</v>
      </c>
      <c r="V363" s="1" t="str">
        <f ca="1">IFERROR(__xludf.DUMMYFUNCTION("""COMPUTED_VALUE"""),"dmauny@yahoo.fr")</f>
        <v>dmauny@yahoo.fr</v>
      </c>
      <c r="W363" s="1" t="str">
        <f ca="1">IFERROR(__xludf.DUMMYFUNCTION("""COMPUTED_VALUE"""),"dmauny@yahoo.fr")</f>
        <v>dmauny@yahoo.fr</v>
      </c>
      <c r="X363" s="1" t="str">
        <f ca="1">IFERROR(__xludf.DUMMYFUNCTION("""COMPUTED_VALUE"""),"+221 77 092 16 94")</f>
        <v>+221 77 092 16 94</v>
      </c>
      <c r="Y363" s="1" t="str">
        <f ca="1">IFERROR(__xludf.DUMMYFUNCTION("""COMPUTED_VALUE"""),"+221 78 180 19 62")</f>
        <v>+221 78 180 19 62</v>
      </c>
      <c r="Z363" s="1"/>
      <c r="AA363" s="1"/>
      <c r="AB363" s="2">
        <f ca="1">IFERROR(__xludf.DUMMYFUNCTION("""COMPUTED_VALUE"""),29413)</f>
        <v>29413</v>
      </c>
      <c r="AC363" s="2">
        <f ca="1">IFERROR(__xludf.DUMMYFUNCTION("""COMPUTED_VALUE"""),29482)</f>
        <v>29482</v>
      </c>
      <c r="AD363" s="1" t="str">
        <f ca="1">IFERROR(__xludf.DUMMYFUNCTION("""COMPUTED_VALUE"""),"MERE")</f>
        <v>MERE</v>
      </c>
      <c r="AE363" s="1" t="str">
        <f ca="1">IFERROR(__xludf.DUMMYFUNCTION("""COMPUTED_VALUE"""),"PERE")</f>
        <v>PERE</v>
      </c>
      <c r="AF363" s="1" t="str">
        <f ca="1">IFERROR(__xludf.DUMMYFUNCTION("""COMPUTED_VALUE"""),"FRANCE")</f>
        <v>FRANCE</v>
      </c>
      <c r="AG363" s="1" t="str">
        <f ca="1">IFERROR(__xludf.DUMMYFUNCTION("""COMPUTED_VALUE"""),"FRANCE")</f>
        <v>FRANCE</v>
      </c>
      <c r="AH363" s="1"/>
      <c r="AI363" s="1"/>
      <c r="AJ363" s="1" t="str">
        <f ca="1">IFERROR(__xludf.DUMMYFUNCTION("""COMPUTED_VALUE"""),"F1435")</f>
        <v>F1435</v>
      </c>
      <c r="AK363" s="1" t="str">
        <f ca="1">IFERROR(__xludf.DUMMYFUNCTION("""COMPUTED_VALUE"""),"Marié(e)")</f>
        <v>Marié(e)</v>
      </c>
      <c r="AL363" s="1" t="str">
        <f ca="1">IFERROR(__xludf.DUMMYFUNCTION("""COMPUTED_VALUE"""),"Marié(e)")</f>
        <v>Marié(e)</v>
      </c>
      <c r="AM363" s="1" t="str">
        <f ca="1">IFERROR(__xludf.DUMMYFUNCTION("""COMPUTED_VALUE"""),"F1435")</f>
        <v>F1435</v>
      </c>
    </row>
    <row r="364" spans="1:39" ht="13" x14ac:dyDescent="0.15">
      <c r="A364" s="1" t="str">
        <f ca="1">IFERROR(__xludf.DUMMYFUNCTION("""COMPUTED_VALUE"""),"MAUNY Laety")</f>
        <v>MAUNY Laety</v>
      </c>
      <c r="B364" s="1" t="str">
        <f ca="1">IFERROR(__xludf.DUMMYFUNCTION("""COMPUTED_VALUE"""),"MAUNY")</f>
        <v>MAUNY</v>
      </c>
      <c r="C364" s="1" t="str">
        <f ca="1">IFERROR(__xludf.DUMMYFUNCTION("""COMPUTED_VALUE"""),"Laety")</f>
        <v>Laety</v>
      </c>
      <c r="D364" s="1" t="str">
        <f ca="1">IFERROR(__xludf.DUMMYFUNCTION("""COMPUTED_VALUE"""),"1435E4")</f>
        <v>1435E4</v>
      </c>
      <c r="E364" s="2">
        <f ca="1">IFERROR(__xludf.DUMMYFUNCTION("""COMPUTED_VALUE"""),44227)</f>
        <v>44227</v>
      </c>
      <c r="F364" s="1" t="str">
        <f ca="1">IFERROR(__xludf.DUMMYFUNCTION("""COMPUTED_VALUE"""),"Mat 2")</f>
        <v>Mat 2</v>
      </c>
      <c r="G364" s="1" t="str">
        <f ca="1">IFERROR(__xludf.DUMMYFUNCTION("""COMPUTED_VALUE"""),"MS")</f>
        <v>MS</v>
      </c>
      <c r="H364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364" s="1"/>
      <c r="J364" s="1"/>
      <c r="K364" s="1"/>
      <c r="L364" s="1"/>
      <c r="M364" s="1"/>
      <c r="N364" s="1" t="str">
        <f ca="1">IFERROR(__xludf.DUMMYFUNCTION("""COMPUTED_VALUE"""),"Fille")</f>
        <v>Fille</v>
      </c>
      <c r="O364" s="1"/>
      <c r="P364" s="1" t="str">
        <f ca="1">IFERROR(__xludf.DUMMYFUNCTION("""COMPUTED_VALUE"""),"FRANCE")</f>
        <v>FRANCE</v>
      </c>
      <c r="Q364" s="1"/>
      <c r="R364" s="1"/>
      <c r="S364" s="1"/>
      <c r="T364" s="1" t="str">
        <f ca="1">IFERROR(__xludf.DUMMYFUNCTION("""COMPUTED_VALUE"""),"MAUNY Ana")</f>
        <v>MAUNY Ana</v>
      </c>
      <c r="U364" s="1" t="str">
        <f ca="1">IFERROR(__xludf.DUMMYFUNCTION("""COMPUTED_VALUE"""),"MAUNY David")</f>
        <v>MAUNY David</v>
      </c>
      <c r="V364" s="1" t="str">
        <f ca="1">IFERROR(__xludf.DUMMYFUNCTION("""COMPUTED_VALUE"""),"dmauny@yahoo.fr")</f>
        <v>dmauny@yahoo.fr</v>
      </c>
      <c r="W364" s="1" t="str">
        <f ca="1">IFERROR(__xludf.DUMMYFUNCTION("""COMPUTED_VALUE"""),"dmauny@yahoo.fr")</f>
        <v>dmauny@yahoo.fr</v>
      </c>
      <c r="X364" s="1" t="str">
        <f ca="1">IFERROR(__xludf.DUMMYFUNCTION("""COMPUTED_VALUE"""),"+221 77 092 16 94")</f>
        <v>+221 77 092 16 94</v>
      </c>
      <c r="Y364" s="1" t="str">
        <f ca="1">IFERROR(__xludf.DUMMYFUNCTION("""COMPUTED_VALUE"""),"+221 78 180 19 62")</f>
        <v>+221 78 180 19 62</v>
      </c>
      <c r="Z364" s="1"/>
      <c r="AA364" s="1"/>
      <c r="AB364" s="2">
        <f ca="1">IFERROR(__xludf.DUMMYFUNCTION("""COMPUTED_VALUE"""),29413)</f>
        <v>29413</v>
      </c>
      <c r="AC364" s="2">
        <f ca="1">IFERROR(__xludf.DUMMYFUNCTION("""COMPUTED_VALUE"""),29482)</f>
        <v>29482</v>
      </c>
      <c r="AD364" s="1" t="str">
        <f ca="1">IFERROR(__xludf.DUMMYFUNCTION("""COMPUTED_VALUE"""),"MERE")</f>
        <v>MERE</v>
      </c>
      <c r="AE364" s="1" t="str">
        <f ca="1">IFERROR(__xludf.DUMMYFUNCTION("""COMPUTED_VALUE"""),"PERE")</f>
        <v>PERE</v>
      </c>
      <c r="AF364" s="1" t="str">
        <f ca="1">IFERROR(__xludf.DUMMYFUNCTION("""COMPUTED_VALUE"""),"FRANCE")</f>
        <v>FRANCE</v>
      </c>
      <c r="AG364" s="1" t="str">
        <f ca="1">IFERROR(__xludf.DUMMYFUNCTION("""COMPUTED_VALUE"""),"FRANCE")</f>
        <v>FRANCE</v>
      </c>
      <c r="AH364" s="1"/>
      <c r="AI364" s="1"/>
      <c r="AJ364" s="1" t="str">
        <f ca="1">IFERROR(__xludf.DUMMYFUNCTION("""COMPUTED_VALUE"""),"F1435")</f>
        <v>F1435</v>
      </c>
      <c r="AK364" s="1" t="str">
        <f ca="1">IFERROR(__xludf.DUMMYFUNCTION("""COMPUTED_VALUE"""),"Marié(e)")</f>
        <v>Marié(e)</v>
      </c>
      <c r="AL364" s="1" t="str">
        <f ca="1">IFERROR(__xludf.DUMMYFUNCTION("""COMPUTED_VALUE"""),"Marié(e)")</f>
        <v>Marié(e)</v>
      </c>
      <c r="AM364" s="1" t="str">
        <f ca="1">IFERROR(__xludf.DUMMYFUNCTION("""COMPUTED_VALUE"""),"F1435")</f>
        <v>F1435</v>
      </c>
    </row>
    <row r="365" spans="1:39" ht="13" x14ac:dyDescent="0.15">
      <c r="A365" s="1" t="str">
        <f ca="1">IFERROR(__xludf.DUMMYFUNCTION("""COMPUTED_VALUE"""),"MAUNY Loïc")</f>
        <v>MAUNY Loïc</v>
      </c>
      <c r="B365" s="1" t="str">
        <f ca="1">IFERROR(__xludf.DUMMYFUNCTION("""COMPUTED_VALUE"""),"MAUNY")</f>
        <v>MAUNY</v>
      </c>
      <c r="C365" s="1" t="str">
        <f ca="1">IFERROR(__xludf.DUMMYFUNCTION("""COMPUTED_VALUE"""),"Loïc")</f>
        <v>Loïc</v>
      </c>
      <c r="D365" s="1" t="str">
        <f ca="1">IFERROR(__xludf.DUMMYFUNCTION("""COMPUTED_VALUE"""),"1435E1")</f>
        <v>1435E1</v>
      </c>
      <c r="E365" s="2">
        <f ca="1">IFERROR(__xludf.DUMMYFUNCTION("""COMPUTED_VALUE"""),42514)</f>
        <v>42514</v>
      </c>
      <c r="F365" s="1" t="str">
        <f ca="1">IFERROR(__xludf.DUMMYFUNCTION("""COMPUTED_VALUE"""),"CM1B")</f>
        <v>CM1B</v>
      </c>
      <c r="G365" s="1" t="str">
        <f ca="1">IFERROR(__xludf.DUMMYFUNCTION("""COMPUTED_VALUE"""),"CM1")</f>
        <v>CM1</v>
      </c>
      <c r="H365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365" s="1"/>
      <c r="J365" s="1"/>
      <c r="K365" s="1"/>
      <c r="L365" s="1"/>
      <c r="M365" s="1"/>
      <c r="N365" s="1" t="str">
        <f ca="1">IFERROR(__xludf.DUMMYFUNCTION("""COMPUTED_VALUE"""),"Garçon")</f>
        <v>Garçon</v>
      </c>
      <c r="O365" s="1"/>
      <c r="P365" s="1" t="str">
        <f ca="1">IFERROR(__xludf.DUMMYFUNCTION("""COMPUTED_VALUE"""),"FRANCE")</f>
        <v>FRANCE</v>
      </c>
      <c r="Q365" s="1"/>
      <c r="R365" s="1"/>
      <c r="S365" s="1"/>
      <c r="T365" s="1" t="str">
        <f ca="1">IFERROR(__xludf.DUMMYFUNCTION("""COMPUTED_VALUE"""),"MAUNY Ana")</f>
        <v>MAUNY Ana</v>
      </c>
      <c r="U365" s="1" t="str">
        <f ca="1">IFERROR(__xludf.DUMMYFUNCTION("""COMPUTED_VALUE"""),"MAUNY David")</f>
        <v>MAUNY David</v>
      </c>
      <c r="V365" s="1" t="str">
        <f ca="1">IFERROR(__xludf.DUMMYFUNCTION("""COMPUTED_VALUE"""),"dmauny@yahoo.fr")</f>
        <v>dmauny@yahoo.fr</v>
      </c>
      <c r="W365" s="1" t="str">
        <f ca="1">IFERROR(__xludf.DUMMYFUNCTION("""COMPUTED_VALUE"""),"dmauny@yahoo.fr")</f>
        <v>dmauny@yahoo.fr</v>
      </c>
      <c r="X365" s="1" t="str">
        <f ca="1">IFERROR(__xludf.DUMMYFUNCTION("""COMPUTED_VALUE"""),"+221 77 092 16 94")</f>
        <v>+221 77 092 16 94</v>
      </c>
      <c r="Y365" s="1" t="str">
        <f ca="1">IFERROR(__xludf.DUMMYFUNCTION("""COMPUTED_VALUE"""),"+221 78 180 19 62")</f>
        <v>+221 78 180 19 62</v>
      </c>
      <c r="Z365" s="1"/>
      <c r="AA365" s="1"/>
      <c r="AB365" s="2">
        <f ca="1">IFERROR(__xludf.DUMMYFUNCTION("""COMPUTED_VALUE"""),29413)</f>
        <v>29413</v>
      </c>
      <c r="AC365" s="2">
        <f ca="1">IFERROR(__xludf.DUMMYFUNCTION("""COMPUTED_VALUE"""),29482)</f>
        <v>29482</v>
      </c>
      <c r="AD365" s="1" t="str">
        <f ca="1">IFERROR(__xludf.DUMMYFUNCTION("""COMPUTED_VALUE"""),"MERE")</f>
        <v>MERE</v>
      </c>
      <c r="AE365" s="1" t="str">
        <f ca="1">IFERROR(__xludf.DUMMYFUNCTION("""COMPUTED_VALUE"""),"PERE")</f>
        <v>PERE</v>
      </c>
      <c r="AF365" s="1" t="str">
        <f ca="1">IFERROR(__xludf.DUMMYFUNCTION("""COMPUTED_VALUE"""),"FRANCE")</f>
        <v>FRANCE</v>
      </c>
      <c r="AG365" s="1" t="str">
        <f ca="1">IFERROR(__xludf.DUMMYFUNCTION("""COMPUTED_VALUE"""),"FRANCE")</f>
        <v>FRANCE</v>
      </c>
      <c r="AH365" s="1"/>
      <c r="AI365" s="1"/>
      <c r="AJ365" s="1" t="str">
        <f ca="1">IFERROR(__xludf.DUMMYFUNCTION("""COMPUTED_VALUE"""),"F1435")</f>
        <v>F1435</v>
      </c>
      <c r="AK365" s="1" t="str">
        <f ca="1">IFERROR(__xludf.DUMMYFUNCTION("""COMPUTED_VALUE"""),"Marié(e)")</f>
        <v>Marié(e)</v>
      </c>
      <c r="AL365" s="1" t="str">
        <f ca="1">IFERROR(__xludf.DUMMYFUNCTION("""COMPUTED_VALUE"""),"Marié(e)")</f>
        <v>Marié(e)</v>
      </c>
      <c r="AM365" s="1" t="str">
        <f ca="1">IFERROR(__xludf.DUMMYFUNCTION("""COMPUTED_VALUE"""),"F1435")</f>
        <v>F1435</v>
      </c>
    </row>
    <row r="366" spans="1:39" ht="13" x14ac:dyDescent="0.15">
      <c r="A366" s="1" t="str">
        <f ca="1">IFERROR(__xludf.DUMMYFUNCTION("""COMPUTED_VALUE"""),"MAZÉ Louison")</f>
        <v>MAZÉ Louison</v>
      </c>
      <c r="B366" s="1" t="str">
        <f ca="1">IFERROR(__xludf.DUMMYFUNCTION("""COMPUTED_VALUE"""),"MAZÉ")</f>
        <v>MAZÉ</v>
      </c>
      <c r="C366" s="1" t="str">
        <f ca="1">IFERROR(__xludf.DUMMYFUNCTION("""COMPUTED_VALUE"""),"Louison")</f>
        <v>Louison</v>
      </c>
      <c r="D366" s="1" t="str">
        <f ca="1">IFERROR(__xludf.DUMMYFUNCTION("""COMPUTED_VALUE"""),"11850S2668")</f>
        <v>11850S2668</v>
      </c>
      <c r="E366" s="2">
        <f ca="1">IFERROR(__xludf.DUMMYFUNCTION("""COMPUTED_VALUE"""),39724)</f>
        <v>39724</v>
      </c>
      <c r="F366" s="1" t="str">
        <f ca="1">IFERROR(__xludf.DUMMYFUNCTION("""COMPUTED_VALUE"""),"2NDE1 COOP")</f>
        <v>2NDE1 COOP</v>
      </c>
      <c r="G366" s="1" t="str">
        <f ca="1">IFERROR(__xludf.DUMMYFUNCTION("""COMPUTED_VALUE"""),"2nde")</f>
        <v>2nde</v>
      </c>
      <c r="H366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366" s="1" t="str">
        <f ca="1">IFERROR(__xludf.DUMMYFUNCTION("""COMPUTED_VALUE"""),"LVA Anglais")</f>
        <v>LVA Anglais</v>
      </c>
      <c r="J366" s="1" t="str">
        <f ca="1">IFERROR(__xludf.DUMMYFUNCTION("""COMPUTED_VALUE"""),"LVB Espagnol")</f>
        <v>LVB Espagnol</v>
      </c>
      <c r="K366" s="1"/>
      <c r="L366" s="1"/>
      <c r="M366" s="1"/>
      <c r="N366" s="1" t="str">
        <f ca="1">IFERROR(__xludf.DUMMYFUNCTION("""COMPUTED_VALUE"""),"Garçon")</f>
        <v>Garçon</v>
      </c>
      <c r="O366" s="1"/>
      <c r="P366" s="1" t="str">
        <f ca="1">IFERROR(__xludf.DUMMYFUNCTION("""COMPUTED_VALUE"""),"FRANCE")</f>
        <v>FRANCE</v>
      </c>
      <c r="Q366" s="1"/>
      <c r="R366" s="1" t="str">
        <f ca="1">IFERROR(__xludf.DUMMYFUNCTION("""COMPUTED_VALUE"""),"louison.maze@lfjpsaly.org")</f>
        <v>louison.maze@lfjpsaly.org</v>
      </c>
      <c r="S366" s="1" t="str">
        <f ca="1">IFERROR(__xludf.DUMMYFUNCTION("""COMPUTED_VALUE"""),"+221")</f>
        <v>+221</v>
      </c>
      <c r="T366" s="1" t="str">
        <f ca="1">IFERROR(__xludf.DUMMYFUNCTION("""COMPUTED_VALUE"""),"MAZÉ Frédéric")</f>
        <v>MAZÉ Frédéric</v>
      </c>
      <c r="U366" s="1" t="str">
        <f ca="1">IFERROR(__xludf.DUMMYFUNCTION("""COMPUTED_VALUE"""),"CORBINEAU Astrid")</f>
        <v>CORBINEAU Astrid</v>
      </c>
      <c r="V366" s="1" t="str">
        <f ca="1">IFERROR(__xludf.DUMMYFUNCTION("""COMPUTED_VALUE"""),"fred_maze@yahoo.fr")</f>
        <v>fred_maze@yahoo.fr</v>
      </c>
      <c r="W366" s="1" t="str">
        <f ca="1">IFERROR(__xludf.DUMMYFUNCTION("""COMPUTED_VALUE"""),"a.corbineau@hotmail.com")</f>
        <v>a.corbineau@hotmail.com</v>
      </c>
      <c r="X366" s="1" t="str">
        <f ca="1">IFERROR(__xludf.DUMMYFUNCTION("""COMPUTED_VALUE"""),"+33 6 11 21 82 96")</f>
        <v>+33 6 11 21 82 96</v>
      </c>
      <c r="Y366" s="1" t="str">
        <f ca="1">IFERROR(__xludf.DUMMYFUNCTION("""COMPUTED_VALUE"""),"+221 77 850 86 31")</f>
        <v>+221 77 850 86 31</v>
      </c>
      <c r="Z366" s="1" t="str">
        <f ca="1">IFERROR(__xludf.DUMMYFUNCTION("""COMPUTED_VALUE"""),"+33 6 11 21 82 96")</f>
        <v>+33 6 11 21 82 96</v>
      </c>
      <c r="AA366" s="1" t="str">
        <f ca="1">IFERROR(__xludf.DUMMYFUNCTION("""COMPUTED_VALUE"""),"+221")</f>
        <v>+221</v>
      </c>
      <c r="AB366" s="2">
        <f ca="1">IFERROR(__xludf.DUMMYFUNCTION("""COMPUTED_VALUE"""),26364)</f>
        <v>26364</v>
      </c>
      <c r="AC366" s="2">
        <f ca="1">IFERROR(__xludf.DUMMYFUNCTION("""COMPUTED_VALUE"""),28307)</f>
        <v>28307</v>
      </c>
      <c r="AD366" s="1" t="str">
        <f ca="1">IFERROR(__xludf.DUMMYFUNCTION("""COMPUTED_VALUE"""),"PERE")</f>
        <v>PERE</v>
      </c>
      <c r="AE366" s="1" t="str">
        <f ca="1">IFERROR(__xludf.DUMMYFUNCTION("""COMPUTED_VALUE"""),"MERE")</f>
        <v>MERE</v>
      </c>
      <c r="AF366" s="1" t="str">
        <f ca="1">IFERROR(__xludf.DUMMYFUNCTION("""COMPUTED_VALUE"""),"FRANCE")</f>
        <v>FRANCE</v>
      </c>
      <c r="AG366" s="1" t="str">
        <f ca="1">IFERROR(__xludf.DUMMYFUNCTION("""COMPUTED_VALUE"""),"FRANCE")</f>
        <v>FRANCE</v>
      </c>
      <c r="AH366" s="1"/>
      <c r="AI366" s="1"/>
      <c r="AJ366" s="1" t="str">
        <f ca="1">IFERROR(__xludf.DUMMYFUNCTION("""COMPUTED_VALUE"""),"U11850")</f>
        <v>U11850</v>
      </c>
      <c r="AK366" s="1" t="str">
        <f ca="1">IFERROR(__xludf.DUMMYFUNCTION("""COMPUTED_VALUE"""),"Célibataire")</f>
        <v>Célibataire</v>
      </c>
      <c r="AL366" s="1" t="str">
        <f ca="1">IFERROR(__xludf.DUMMYFUNCTION("""COMPUTED_VALUE"""),"Célibataire")</f>
        <v>Célibataire</v>
      </c>
      <c r="AM366" s="1" t="str">
        <f ca="1">IFERROR(__xludf.DUMMYFUNCTION("""COMPUTED_VALUE"""),"U11850")</f>
        <v>U11850</v>
      </c>
    </row>
    <row r="367" spans="1:39" ht="13" x14ac:dyDescent="0.15">
      <c r="A367" s="1" t="str">
        <f ca="1">IFERROR(__xludf.DUMMYFUNCTION("""COMPUTED_VALUE"""),"MBAYE Amadou Lamine")</f>
        <v>MBAYE Amadou Lamine</v>
      </c>
      <c r="B367" s="1" t="str">
        <f ca="1">IFERROR(__xludf.DUMMYFUNCTION("""COMPUTED_VALUE"""),"MBAYE")</f>
        <v>MBAYE</v>
      </c>
      <c r="C367" s="1" t="str">
        <f ca="1">IFERROR(__xludf.DUMMYFUNCTION("""COMPUTED_VALUE"""),"Amadou Lamine")</f>
        <v>Amadou Lamine</v>
      </c>
      <c r="D367" s="1" t="str">
        <f ca="1">IFERROR(__xludf.DUMMYFUNCTION("""COMPUTED_VALUE"""),"1436E2")</f>
        <v>1436E2</v>
      </c>
      <c r="E367" s="2">
        <f ca="1">IFERROR(__xludf.DUMMYFUNCTION("""COMPUTED_VALUE"""),40187)</f>
        <v>40187</v>
      </c>
      <c r="F367" s="1" t="str">
        <f ca="1">IFERROR(__xludf.DUMMYFUNCTION("""COMPUTED_VALUE"""),"2NDE2")</f>
        <v>2NDE2</v>
      </c>
      <c r="G367" s="1" t="str">
        <f ca="1">IFERROR(__xludf.DUMMYFUNCTION("""COMPUTED_VALUE"""),"2nde")</f>
        <v>2nde</v>
      </c>
      <c r="H367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367" s="1" t="str">
        <f ca="1">IFERROR(__xludf.DUMMYFUNCTION("""COMPUTED_VALUE"""),"LVA Anglais")</f>
        <v>LVA Anglais</v>
      </c>
      <c r="J367" s="1" t="str">
        <f ca="1">IFERROR(__xludf.DUMMYFUNCTION("""COMPUTED_VALUE"""),"LVB Espagnol")</f>
        <v>LVB Espagnol</v>
      </c>
      <c r="K367" s="1"/>
      <c r="L367" s="1"/>
      <c r="M367" s="1"/>
      <c r="N367" s="1" t="str">
        <f ca="1">IFERROR(__xludf.DUMMYFUNCTION("""COMPUTED_VALUE"""),"Garçon")</f>
        <v>Garçon</v>
      </c>
      <c r="O367" s="1"/>
      <c r="P367" s="1" t="str">
        <f ca="1">IFERROR(__xludf.DUMMYFUNCTION("""COMPUTED_VALUE"""),"SENEGAL")</f>
        <v>SENEGAL</v>
      </c>
      <c r="Q367" s="1"/>
      <c r="R367" s="1" t="str">
        <f ca="1">IFERROR(__xludf.DUMMYFUNCTION("""COMPUTED_VALUE"""),"amadou.mbaye@lfjpsaly.org")</f>
        <v>amadou.mbaye@lfjpsaly.org</v>
      </c>
      <c r="S367" s="1" t="str">
        <f ca="1">IFERROR(__xludf.DUMMYFUNCTION("""COMPUTED_VALUE"""),"+221 77 474 52 52")</f>
        <v>+221 77 474 52 52</v>
      </c>
      <c r="T367" s="1" t="str">
        <f ca="1">IFERROR(__xludf.DUMMYFUNCTION("""COMPUTED_VALUE"""),"MBAYE Moussa")</f>
        <v>MBAYE Moussa</v>
      </c>
      <c r="U367" s="1" t="str">
        <f ca="1">IFERROR(__xludf.DUMMYFUNCTION("""COMPUTED_VALUE"""),"COLY Edite Seynabou")</f>
        <v>COLY Edite Seynabou</v>
      </c>
      <c r="V367" s="1" t="str">
        <f ca="1">IFERROR(__xludf.DUMMYFUNCTION("""COMPUTED_VALUE"""),"pmbaye3@yahoo.fr")</f>
        <v>pmbaye3@yahoo.fr</v>
      </c>
      <c r="W367" s="1" t="str">
        <f ca="1">IFERROR(__xludf.DUMMYFUNCTION("""COMPUTED_VALUE"""),"edithstacy@live.fr")</f>
        <v>edithstacy@live.fr</v>
      </c>
      <c r="X367" s="1" t="str">
        <f ca="1">IFERROR(__xludf.DUMMYFUNCTION("""COMPUTED_VALUE"""),"+221 78 635 61 61")</f>
        <v>+221 78 635 61 61</v>
      </c>
      <c r="Y367" s="1" t="str">
        <f ca="1">IFERROR(__xludf.DUMMYFUNCTION("""COMPUTED_VALUE"""),"+221 77 623 27 77")</f>
        <v>+221 77 623 27 77</v>
      </c>
      <c r="Z367" s="1" t="str">
        <f ca="1">IFERROR(__xludf.DUMMYFUNCTION("""COMPUTED_VALUE"""),"+221 78 365 61 61")</f>
        <v>+221 78 365 61 61</v>
      </c>
      <c r="AA367" s="1" t="str">
        <f ca="1">IFERROR(__xludf.DUMMYFUNCTION("""COMPUTED_VALUE"""),"+221 77 623 27 77")</f>
        <v>+221 77 623 27 77</v>
      </c>
      <c r="AB367" s="2">
        <f ca="1">IFERROR(__xludf.DUMMYFUNCTION("""COMPUTED_VALUE"""),30160)</f>
        <v>30160</v>
      </c>
      <c r="AC367" s="2">
        <f ca="1">IFERROR(__xludf.DUMMYFUNCTION("""COMPUTED_VALUE"""),30941)</f>
        <v>30941</v>
      </c>
      <c r="AD367" s="1" t="str">
        <f ca="1">IFERROR(__xludf.DUMMYFUNCTION("""COMPUTED_VALUE"""),"PERE")</f>
        <v>PERE</v>
      </c>
      <c r="AE367" s="1" t="str">
        <f ca="1">IFERROR(__xludf.DUMMYFUNCTION("""COMPUTED_VALUE"""),"MERE")</f>
        <v>MERE</v>
      </c>
      <c r="AF367" s="1" t="str">
        <f ca="1">IFERROR(__xludf.DUMMYFUNCTION("""COMPUTED_VALUE"""),"SENEGAL")</f>
        <v>SENEGAL</v>
      </c>
      <c r="AG367" s="1" t="str">
        <f ca="1">IFERROR(__xludf.DUMMYFUNCTION("""COMPUTED_VALUE"""),"SENEGAL")</f>
        <v>SENEGAL</v>
      </c>
      <c r="AH367" s="1"/>
      <c r="AI367" s="1"/>
      <c r="AJ367" s="1" t="str">
        <f ca="1">IFERROR(__xludf.DUMMYFUNCTION("""COMPUTED_VALUE"""),"F1436")</f>
        <v>F1436</v>
      </c>
      <c r="AK367" s="1" t="str">
        <f ca="1">IFERROR(__xludf.DUMMYFUNCTION("""COMPUTED_VALUE"""),"Marié(e)")</f>
        <v>Marié(e)</v>
      </c>
      <c r="AL367" s="1" t="str">
        <f ca="1">IFERROR(__xludf.DUMMYFUNCTION("""COMPUTED_VALUE"""),"Marié(e)")</f>
        <v>Marié(e)</v>
      </c>
      <c r="AM367" s="1" t="str">
        <f ca="1">IFERROR(__xludf.DUMMYFUNCTION("""COMPUTED_VALUE"""),"F1436")</f>
        <v>F1436</v>
      </c>
    </row>
    <row r="368" spans="1:39" ht="13" x14ac:dyDescent="0.15">
      <c r="A368" s="1" t="str">
        <f ca="1">IFERROR(__xludf.DUMMYFUNCTION("""COMPUTED_VALUE"""),"MBAYE Assy")</f>
        <v>MBAYE Assy</v>
      </c>
      <c r="B368" s="1" t="str">
        <f ca="1">IFERROR(__xludf.DUMMYFUNCTION("""COMPUTED_VALUE"""),"MBAYE")</f>
        <v>MBAYE</v>
      </c>
      <c r="C368" s="1" t="str">
        <f ca="1">IFERROR(__xludf.DUMMYFUNCTION("""COMPUTED_VALUE"""),"Assy")</f>
        <v>Assy</v>
      </c>
      <c r="D368" s="1" t="str">
        <f ca="1">IFERROR(__xludf.DUMMYFUNCTION("""COMPUTED_VALUE"""),"1438E1")</f>
        <v>1438E1</v>
      </c>
      <c r="E368" s="2">
        <f ca="1">IFERROR(__xludf.DUMMYFUNCTION("""COMPUTED_VALUE"""),39936)</f>
        <v>39936</v>
      </c>
      <c r="F368" s="1" t="str">
        <f ca="1">IFERROR(__xludf.DUMMYFUNCTION("""COMPUTED_VALUE"""),"1ERE2")</f>
        <v>1ERE2</v>
      </c>
      <c r="G368" s="1" t="str">
        <f ca="1">IFERROR(__xludf.DUMMYFUNCTION("""COMPUTED_VALUE"""),"1ère")</f>
        <v>1ère</v>
      </c>
      <c r="H368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368" s="1" t="str">
        <f ca="1">IFERROR(__xludf.DUMMYFUNCTION("""COMPUTED_VALUE"""),"LVA Anglais")</f>
        <v>LVA Anglais</v>
      </c>
      <c r="J368" s="1" t="str">
        <f ca="1">IFERROR(__xludf.DUMMYFUNCTION("""COMPUTED_VALUE"""),"LVB Espagnol")</f>
        <v>LVB Espagnol</v>
      </c>
      <c r="K368" s="1"/>
      <c r="L368" s="1"/>
      <c r="M368" s="1" t="str">
        <f ca="1">IFERROR(__xludf.DUMMYFUNCTION("""COMPUTED_VALUE"""),"SPE LLCE AMC, SPE SPC, SPE SVT")</f>
        <v>SPE LLCE AMC, SPE SPC, SPE SVT</v>
      </c>
      <c r="N368" s="1" t="str">
        <f ca="1">IFERROR(__xludf.DUMMYFUNCTION("""COMPUTED_VALUE"""),"Fille")</f>
        <v>Fille</v>
      </c>
      <c r="O368" s="1"/>
      <c r="P368" s="1" t="str">
        <f ca="1">IFERROR(__xludf.DUMMYFUNCTION("""COMPUTED_VALUE"""),"FRANCE")</f>
        <v>FRANCE</v>
      </c>
      <c r="Q368" s="1" t="str">
        <f ca="1">IFERROR(__xludf.DUMMYFUNCTION("""COMPUTED_VALUE"""),"SENEGAL")</f>
        <v>SENEGAL</v>
      </c>
      <c r="R368" s="1" t="str">
        <f ca="1">IFERROR(__xludf.DUMMYFUNCTION("""COMPUTED_VALUE"""),"assy.mbaye@lfjpsaly.org")</f>
        <v>assy.mbaye@lfjpsaly.org</v>
      </c>
      <c r="S368" s="1"/>
      <c r="T368" s="1" t="str">
        <f ca="1">IFERROR(__xludf.DUMMYFUNCTION("""COMPUTED_VALUE"""),"MBAYE Oumy")</f>
        <v>MBAYE Oumy</v>
      </c>
      <c r="U368" s="1" t="str">
        <f ca="1">IFERROR(__xludf.DUMMYFUNCTION("""COMPUTED_VALUE"""),"MBAYE Elhadji Aboubacar")</f>
        <v>MBAYE Elhadji Aboubacar</v>
      </c>
      <c r="V368" s="1" t="str">
        <f ca="1">IFERROR(__xludf.DUMMYFUNCTION("""COMPUTED_VALUE"""),"siginfoparis@yahoo.fr")</f>
        <v>siginfoparis@yahoo.fr</v>
      </c>
      <c r="W368" s="1" t="str">
        <f ca="1">IFERROR(__xludf.DUMMYFUNCTION("""COMPUTED_VALUE"""),"ogthiam2001@yahoo.fr")</f>
        <v>ogthiam2001@yahoo.fr</v>
      </c>
      <c r="X368" s="1" t="str">
        <f ca="1">IFERROR(__xludf.DUMMYFUNCTION("""COMPUTED_VALUE"""),"+221 77 322 67 19")</f>
        <v>+221 77 322 67 19</v>
      </c>
      <c r="Y368" s="1" t="str">
        <f ca="1">IFERROR(__xludf.DUMMYFUNCTION("""COMPUTED_VALUE"""),"+221 77 426 57 38")</f>
        <v>+221 77 426 57 38</v>
      </c>
      <c r="Z368" s="1" t="str">
        <f ca="1">IFERROR(__xludf.DUMMYFUNCTION("""COMPUTED_VALUE"""),"+221")</f>
        <v>+221</v>
      </c>
      <c r="AA368" s="1" t="str">
        <f ca="1">IFERROR(__xludf.DUMMYFUNCTION("""COMPUTED_VALUE"""),"+221 77 426 57 38")</f>
        <v>+221 77 426 57 38</v>
      </c>
      <c r="AB368" s="2">
        <f ca="1">IFERROR(__xludf.DUMMYFUNCTION("""COMPUTED_VALUE"""),30457)</f>
        <v>30457</v>
      </c>
      <c r="AC368" s="2">
        <f ca="1">IFERROR(__xludf.DUMMYFUNCTION("""COMPUTED_VALUE"""),29000)</f>
        <v>29000</v>
      </c>
      <c r="AD368" s="1" t="str">
        <f ca="1">IFERROR(__xludf.DUMMYFUNCTION("""COMPUTED_VALUE"""),"MERE")</f>
        <v>MERE</v>
      </c>
      <c r="AE368" s="1" t="str">
        <f ca="1">IFERROR(__xludf.DUMMYFUNCTION("""COMPUTED_VALUE"""),"PERE")</f>
        <v>PERE</v>
      </c>
      <c r="AF368" s="1" t="str">
        <f ca="1">IFERROR(__xludf.DUMMYFUNCTION("""COMPUTED_VALUE"""),"FRANCE")</f>
        <v>FRANCE</v>
      </c>
      <c r="AG368" s="1" t="str">
        <f ca="1">IFERROR(__xludf.DUMMYFUNCTION("""COMPUTED_VALUE"""),"FRANCE")</f>
        <v>FRANCE</v>
      </c>
      <c r="AH368" s="1" t="str">
        <f ca="1">IFERROR(__xludf.DUMMYFUNCTION("""COMPUTED_VALUE"""),"SENEGAL")</f>
        <v>SENEGAL</v>
      </c>
      <c r="AI368" s="1" t="str">
        <f ca="1">IFERROR(__xludf.DUMMYFUNCTION("""COMPUTED_VALUE"""),"SENEGAL")</f>
        <v>SENEGAL</v>
      </c>
      <c r="AJ368" s="1" t="str">
        <f ca="1">IFERROR(__xludf.DUMMYFUNCTION("""COMPUTED_VALUE"""),"F1438")</f>
        <v>F1438</v>
      </c>
      <c r="AK368" s="1" t="str">
        <f ca="1">IFERROR(__xludf.DUMMYFUNCTION("""COMPUTED_VALUE"""),"Marié(e)")</f>
        <v>Marié(e)</v>
      </c>
      <c r="AL368" s="1" t="str">
        <f ca="1">IFERROR(__xludf.DUMMYFUNCTION("""COMPUTED_VALUE"""),"Marié(e)")</f>
        <v>Marié(e)</v>
      </c>
      <c r="AM368" s="1" t="str">
        <f ca="1">IFERROR(__xludf.DUMMYFUNCTION("""COMPUTED_VALUE"""),"F1438")</f>
        <v>F1438</v>
      </c>
    </row>
    <row r="369" spans="1:39" ht="13" x14ac:dyDescent="0.15">
      <c r="A369" s="1" t="str">
        <f ca="1">IFERROR(__xludf.DUMMYFUNCTION("""COMPUTED_VALUE"""),"MBAYE Awa Rassoul")</f>
        <v>MBAYE Awa Rassoul</v>
      </c>
      <c r="B369" s="1" t="str">
        <f ca="1">IFERROR(__xludf.DUMMYFUNCTION("""COMPUTED_VALUE"""),"MBAYE")</f>
        <v>MBAYE</v>
      </c>
      <c r="C369" s="1" t="str">
        <f ca="1">IFERROR(__xludf.DUMMYFUNCTION("""COMPUTED_VALUE"""),"Awa Rassoul")</f>
        <v>Awa Rassoul</v>
      </c>
      <c r="D369" s="1" t="str">
        <f ca="1">IFERROR(__xludf.DUMMYFUNCTION("""COMPUTED_VALUE"""),"11529S2362")</f>
        <v>11529S2362</v>
      </c>
      <c r="E369" s="2">
        <f ca="1">IFERROR(__xludf.DUMMYFUNCTION("""COMPUTED_VALUE"""),44853)</f>
        <v>44853</v>
      </c>
      <c r="F369" s="1" t="str">
        <f ca="1">IFERROR(__xludf.DUMMYFUNCTION("""COMPUTED_VALUE"""),"Mat 1")</f>
        <v>Mat 1</v>
      </c>
      <c r="G369" s="1" t="str">
        <f ca="1">IFERROR(__xludf.DUMMYFUNCTION("""COMPUTED_VALUE"""),"PS")</f>
        <v>PS</v>
      </c>
      <c r="H369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369" s="1"/>
      <c r="J369" s="1"/>
      <c r="K369" s="1"/>
      <c r="L369" s="1"/>
      <c r="M369" s="1"/>
      <c r="N369" s="1" t="str">
        <f ca="1">IFERROR(__xludf.DUMMYFUNCTION("""COMPUTED_VALUE"""),"Fille")</f>
        <v>Fille</v>
      </c>
      <c r="O369" s="1"/>
      <c r="P369" s="1" t="str">
        <f ca="1">IFERROR(__xludf.DUMMYFUNCTION("""COMPUTED_VALUE"""),"FRANCE")</f>
        <v>FRANCE</v>
      </c>
      <c r="Q369" s="1" t="str">
        <f ca="1">IFERROR(__xludf.DUMMYFUNCTION("""COMPUTED_VALUE"""),"SENEGAL")</f>
        <v>SENEGAL</v>
      </c>
      <c r="R369" s="1"/>
      <c r="S369" s="1" t="str">
        <f ca="1">IFERROR(__xludf.DUMMYFUNCTION("""COMPUTED_VALUE"""),"+221")</f>
        <v>+221</v>
      </c>
      <c r="T369" s="1" t="str">
        <f ca="1">IFERROR(__xludf.DUMMYFUNCTION("""COMPUTED_VALUE"""),"MBAYE Oumy")</f>
        <v>MBAYE Oumy</v>
      </c>
      <c r="U369" s="1" t="str">
        <f ca="1">IFERROR(__xludf.DUMMYFUNCTION("""COMPUTED_VALUE"""),"MBAYE Elhadji Aboubacar")</f>
        <v>MBAYE Elhadji Aboubacar</v>
      </c>
      <c r="V369" s="1" t="str">
        <f ca="1">IFERROR(__xludf.DUMMYFUNCTION("""COMPUTED_VALUE"""),"siginfoparis@yahoo.fr")</f>
        <v>siginfoparis@yahoo.fr</v>
      </c>
      <c r="W369" s="1" t="str">
        <f ca="1">IFERROR(__xludf.DUMMYFUNCTION("""COMPUTED_VALUE"""),"ogthiam2001@yahoo.fr")</f>
        <v>ogthiam2001@yahoo.fr</v>
      </c>
      <c r="X369" s="1" t="str">
        <f ca="1">IFERROR(__xludf.DUMMYFUNCTION("""COMPUTED_VALUE"""),"+221 77 322 67 19")</f>
        <v>+221 77 322 67 19</v>
      </c>
      <c r="Y369" s="1" t="str">
        <f ca="1">IFERROR(__xludf.DUMMYFUNCTION("""COMPUTED_VALUE"""),"+221 77 426 57 38")</f>
        <v>+221 77 426 57 38</v>
      </c>
      <c r="Z369" s="1" t="str">
        <f ca="1">IFERROR(__xludf.DUMMYFUNCTION("""COMPUTED_VALUE"""),"+221")</f>
        <v>+221</v>
      </c>
      <c r="AA369" s="1" t="str">
        <f ca="1">IFERROR(__xludf.DUMMYFUNCTION("""COMPUTED_VALUE"""),"+221 77 426 57 38")</f>
        <v>+221 77 426 57 38</v>
      </c>
      <c r="AB369" s="2">
        <f ca="1">IFERROR(__xludf.DUMMYFUNCTION("""COMPUTED_VALUE"""),30457)</f>
        <v>30457</v>
      </c>
      <c r="AC369" s="2">
        <f ca="1">IFERROR(__xludf.DUMMYFUNCTION("""COMPUTED_VALUE"""),29000)</f>
        <v>29000</v>
      </c>
      <c r="AD369" s="1" t="str">
        <f ca="1">IFERROR(__xludf.DUMMYFUNCTION("""COMPUTED_VALUE"""),"MERE")</f>
        <v>MERE</v>
      </c>
      <c r="AE369" s="1" t="str">
        <f ca="1">IFERROR(__xludf.DUMMYFUNCTION("""COMPUTED_VALUE"""),"PERE")</f>
        <v>PERE</v>
      </c>
      <c r="AF369" s="1" t="str">
        <f ca="1">IFERROR(__xludf.DUMMYFUNCTION("""COMPUTED_VALUE"""),"FRANCE")</f>
        <v>FRANCE</v>
      </c>
      <c r="AG369" s="1" t="str">
        <f ca="1">IFERROR(__xludf.DUMMYFUNCTION("""COMPUTED_VALUE"""),"FRANCE")</f>
        <v>FRANCE</v>
      </c>
      <c r="AH369" s="1" t="str">
        <f ca="1">IFERROR(__xludf.DUMMYFUNCTION("""COMPUTED_VALUE"""),"SENEGAL")</f>
        <v>SENEGAL</v>
      </c>
      <c r="AI369" s="1" t="str">
        <f ca="1">IFERROR(__xludf.DUMMYFUNCTION("""COMPUTED_VALUE"""),"SENEGAL")</f>
        <v>SENEGAL</v>
      </c>
      <c r="AJ369" s="1" t="str">
        <f ca="1">IFERROR(__xludf.DUMMYFUNCTION("""COMPUTED_VALUE"""),"F1438")</f>
        <v>F1438</v>
      </c>
      <c r="AK369" s="1" t="str">
        <f ca="1">IFERROR(__xludf.DUMMYFUNCTION("""COMPUTED_VALUE"""),"Marié(e)")</f>
        <v>Marié(e)</v>
      </c>
      <c r="AL369" s="1" t="str">
        <f ca="1">IFERROR(__xludf.DUMMYFUNCTION("""COMPUTED_VALUE"""),"Marié(e)")</f>
        <v>Marié(e)</v>
      </c>
      <c r="AM369" s="1" t="str">
        <f ca="1">IFERROR(__xludf.DUMMYFUNCTION("""COMPUTED_VALUE"""),"F1438")</f>
        <v>F1438</v>
      </c>
    </row>
    <row r="370" spans="1:39" ht="13" x14ac:dyDescent="0.15">
      <c r="A370" s="1" t="str">
        <f ca="1">IFERROR(__xludf.DUMMYFUNCTION("""COMPUTED_VALUE"""),"MBAYE Fatoumata")</f>
        <v>MBAYE Fatoumata</v>
      </c>
      <c r="B370" s="1" t="str">
        <f ca="1">IFERROR(__xludf.DUMMYFUNCTION("""COMPUTED_VALUE"""),"MBAYE")</f>
        <v>MBAYE</v>
      </c>
      <c r="C370" s="1" t="str">
        <f ca="1">IFERROR(__xludf.DUMMYFUNCTION("""COMPUTED_VALUE"""),"Fatoumata")</f>
        <v>Fatoumata</v>
      </c>
      <c r="D370" s="1" t="str">
        <f ca="1">IFERROR(__xludf.DUMMYFUNCTION("""COMPUTED_VALUE"""),"1438E3")</f>
        <v>1438E3</v>
      </c>
      <c r="E370" s="2">
        <f ca="1">IFERROR(__xludf.DUMMYFUNCTION("""COMPUTED_VALUE"""),41482)</f>
        <v>41482</v>
      </c>
      <c r="F370" s="1" t="str">
        <f ca="1">IFERROR(__xludf.DUMMYFUNCTION("""COMPUTED_VALUE"""),"5EME1")</f>
        <v>5EME1</v>
      </c>
      <c r="G370" s="1" t="str">
        <f ca="1">IFERROR(__xludf.DUMMYFUNCTION("""COMPUTED_VALUE"""),"5ème")</f>
        <v>5ème</v>
      </c>
      <c r="H370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370" s="1" t="str">
        <f ca="1">IFERROR(__xludf.DUMMYFUNCTION("""COMPUTED_VALUE"""),"LVA Anglais")</f>
        <v>LVA Anglais</v>
      </c>
      <c r="J370" s="1" t="str">
        <f ca="1">IFERROR(__xludf.DUMMYFUNCTION("""COMPUTED_VALUE"""),"LVB Espagnol")</f>
        <v>LVB Espagnol</v>
      </c>
      <c r="K370" s="1"/>
      <c r="L370" s="1"/>
      <c r="M370" s="1"/>
      <c r="N370" s="1" t="str">
        <f ca="1">IFERROR(__xludf.DUMMYFUNCTION("""COMPUTED_VALUE"""),"Fille")</f>
        <v>Fille</v>
      </c>
      <c r="O370" s="1"/>
      <c r="P370" s="1" t="str">
        <f ca="1">IFERROR(__xludf.DUMMYFUNCTION("""COMPUTED_VALUE"""),"FRANCE")</f>
        <v>FRANCE</v>
      </c>
      <c r="Q370" s="1" t="str">
        <f ca="1">IFERROR(__xludf.DUMMYFUNCTION("""COMPUTED_VALUE"""),"SENEGAL")</f>
        <v>SENEGAL</v>
      </c>
      <c r="R370" s="1" t="str">
        <f ca="1">IFERROR(__xludf.DUMMYFUNCTION("""COMPUTED_VALUE"""),"fatoumata.mbaye@lfjpsaly.org")</f>
        <v>fatoumata.mbaye@lfjpsaly.org</v>
      </c>
      <c r="S370" s="1"/>
      <c r="T370" s="1" t="str">
        <f ca="1">IFERROR(__xludf.DUMMYFUNCTION("""COMPUTED_VALUE"""),"MBAYE Oumy")</f>
        <v>MBAYE Oumy</v>
      </c>
      <c r="U370" s="1" t="str">
        <f ca="1">IFERROR(__xludf.DUMMYFUNCTION("""COMPUTED_VALUE"""),"MBAYE Elhadji Aboubacar")</f>
        <v>MBAYE Elhadji Aboubacar</v>
      </c>
      <c r="V370" s="1" t="str">
        <f ca="1">IFERROR(__xludf.DUMMYFUNCTION("""COMPUTED_VALUE"""),"siginfoparis@yahoo.fr")</f>
        <v>siginfoparis@yahoo.fr</v>
      </c>
      <c r="W370" s="1" t="str">
        <f ca="1">IFERROR(__xludf.DUMMYFUNCTION("""COMPUTED_VALUE"""),"ogthiam2001@yahoo.fr")</f>
        <v>ogthiam2001@yahoo.fr</v>
      </c>
      <c r="X370" s="1" t="str">
        <f ca="1">IFERROR(__xludf.DUMMYFUNCTION("""COMPUTED_VALUE"""),"+221 77 322 67 19")</f>
        <v>+221 77 322 67 19</v>
      </c>
      <c r="Y370" s="1" t="str">
        <f ca="1">IFERROR(__xludf.DUMMYFUNCTION("""COMPUTED_VALUE"""),"+221 77 426 57 38")</f>
        <v>+221 77 426 57 38</v>
      </c>
      <c r="Z370" s="1" t="str">
        <f ca="1">IFERROR(__xludf.DUMMYFUNCTION("""COMPUTED_VALUE"""),"+221")</f>
        <v>+221</v>
      </c>
      <c r="AA370" s="1" t="str">
        <f ca="1">IFERROR(__xludf.DUMMYFUNCTION("""COMPUTED_VALUE"""),"+221 77 426 57 38")</f>
        <v>+221 77 426 57 38</v>
      </c>
      <c r="AB370" s="2">
        <f ca="1">IFERROR(__xludf.DUMMYFUNCTION("""COMPUTED_VALUE"""),30457)</f>
        <v>30457</v>
      </c>
      <c r="AC370" s="2">
        <f ca="1">IFERROR(__xludf.DUMMYFUNCTION("""COMPUTED_VALUE"""),29000)</f>
        <v>29000</v>
      </c>
      <c r="AD370" s="1" t="str">
        <f ca="1">IFERROR(__xludf.DUMMYFUNCTION("""COMPUTED_VALUE"""),"MERE")</f>
        <v>MERE</v>
      </c>
      <c r="AE370" s="1" t="str">
        <f ca="1">IFERROR(__xludf.DUMMYFUNCTION("""COMPUTED_VALUE"""),"PERE")</f>
        <v>PERE</v>
      </c>
      <c r="AF370" s="1" t="str">
        <f ca="1">IFERROR(__xludf.DUMMYFUNCTION("""COMPUTED_VALUE"""),"FRANCE")</f>
        <v>FRANCE</v>
      </c>
      <c r="AG370" s="1" t="str">
        <f ca="1">IFERROR(__xludf.DUMMYFUNCTION("""COMPUTED_VALUE"""),"FRANCE")</f>
        <v>FRANCE</v>
      </c>
      <c r="AH370" s="1" t="str">
        <f ca="1">IFERROR(__xludf.DUMMYFUNCTION("""COMPUTED_VALUE"""),"SENEGAL")</f>
        <v>SENEGAL</v>
      </c>
      <c r="AI370" s="1" t="str">
        <f ca="1">IFERROR(__xludf.DUMMYFUNCTION("""COMPUTED_VALUE"""),"SENEGAL")</f>
        <v>SENEGAL</v>
      </c>
      <c r="AJ370" s="1" t="str">
        <f ca="1">IFERROR(__xludf.DUMMYFUNCTION("""COMPUTED_VALUE"""),"F1438")</f>
        <v>F1438</v>
      </c>
      <c r="AK370" s="1" t="str">
        <f ca="1">IFERROR(__xludf.DUMMYFUNCTION("""COMPUTED_VALUE"""),"Marié(e)")</f>
        <v>Marié(e)</v>
      </c>
      <c r="AL370" s="1" t="str">
        <f ca="1">IFERROR(__xludf.DUMMYFUNCTION("""COMPUTED_VALUE"""),"Marié(e)")</f>
        <v>Marié(e)</v>
      </c>
      <c r="AM370" s="1" t="str">
        <f ca="1">IFERROR(__xludf.DUMMYFUNCTION("""COMPUTED_VALUE"""),"F1438")</f>
        <v>F1438</v>
      </c>
    </row>
    <row r="371" spans="1:39" ht="13" x14ac:dyDescent="0.15">
      <c r="A371" s="1" t="str">
        <f ca="1">IFERROR(__xludf.DUMMYFUNCTION("""COMPUTED_VALUE"""),"MBAYE Khadija")</f>
        <v>MBAYE Khadija</v>
      </c>
      <c r="B371" s="1" t="str">
        <f ca="1">IFERROR(__xludf.DUMMYFUNCTION("""COMPUTED_VALUE"""),"MBAYE")</f>
        <v>MBAYE</v>
      </c>
      <c r="C371" s="1" t="str">
        <f ca="1">IFERROR(__xludf.DUMMYFUNCTION("""COMPUTED_VALUE"""),"Khadija")</f>
        <v>Khadija</v>
      </c>
      <c r="D371" s="1" t="str">
        <f ca="1">IFERROR(__xludf.DUMMYFUNCTION("""COMPUTED_VALUE"""),"1438E2")</f>
        <v>1438E2</v>
      </c>
      <c r="E371" s="2">
        <f ca="1">IFERROR(__xludf.DUMMYFUNCTION("""COMPUTED_VALUE"""),42737)</f>
        <v>42737</v>
      </c>
      <c r="F371" s="1" t="str">
        <f ca="1">IFERROR(__xludf.DUMMYFUNCTION("""COMPUTED_VALUE"""),"CP-CE2")</f>
        <v>CP-CE2</v>
      </c>
      <c r="G371" s="1" t="str">
        <f ca="1">IFERROR(__xludf.DUMMYFUNCTION("""COMPUTED_VALUE"""),"CE2")</f>
        <v>CE2</v>
      </c>
      <c r="H371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371" s="1"/>
      <c r="J371" s="1"/>
      <c r="K371" s="1"/>
      <c r="L371" s="1"/>
      <c r="M371" s="1"/>
      <c r="N371" s="1" t="str">
        <f ca="1">IFERROR(__xludf.DUMMYFUNCTION("""COMPUTED_VALUE"""),"Fille")</f>
        <v>Fille</v>
      </c>
      <c r="O371" s="1"/>
      <c r="P371" s="1" t="str">
        <f ca="1">IFERROR(__xludf.DUMMYFUNCTION("""COMPUTED_VALUE"""),"FRANCE")</f>
        <v>FRANCE</v>
      </c>
      <c r="Q371" s="1" t="str">
        <f ca="1">IFERROR(__xludf.DUMMYFUNCTION("""COMPUTED_VALUE"""),"SENEGAL")</f>
        <v>SENEGAL</v>
      </c>
      <c r="R371" s="1"/>
      <c r="S371" s="1"/>
      <c r="T371" s="1" t="str">
        <f ca="1">IFERROR(__xludf.DUMMYFUNCTION("""COMPUTED_VALUE"""),"MBAYE Oumy")</f>
        <v>MBAYE Oumy</v>
      </c>
      <c r="U371" s="1" t="str">
        <f ca="1">IFERROR(__xludf.DUMMYFUNCTION("""COMPUTED_VALUE"""),"MBAYE Elhadji Aboubacar")</f>
        <v>MBAYE Elhadji Aboubacar</v>
      </c>
      <c r="V371" s="1" t="str">
        <f ca="1">IFERROR(__xludf.DUMMYFUNCTION("""COMPUTED_VALUE"""),"siginfoparis@yahoo.fr")</f>
        <v>siginfoparis@yahoo.fr</v>
      </c>
      <c r="W371" s="1" t="str">
        <f ca="1">IFERROR(__xludf.DUMMYFUNCTION("""COMPUTED_VALUE"""),"ogthiam2001@yahoo.fr")</f>
        <v>ogthiam2001@yahoo.fr</v>
      </c>
      <c r="X371" s="1" t="str">
        <f ca="1">IFERROR(__xludf.DUMMYFUNCTION("""COMPUTED_VALUE"""),"+221 77 322 67 19")</f>
        <v>+221 77 322 67 19</v>
      </c>
      <c r="Y371" s="1" t="str">
        <f ca="1">IFERROR(__xludf.DUMMYFUNCTION("""COMPUTED_VALUE"""),"+221 77 426 57 38")</f>
        <v>+221 77 426 57 38</v>
      </c>
      <c r="Z371" s="1" t="str">
        <f ca="1">IFERROR(__xludf.DUMMYFUNCTION("""COMPUTED_VALUE"""),"+221")</f>
        <v>+221</v>
      </c>
      <c r="AA371" s="1" t="str">
        <f ca="1">IFERROR(__xludf.DUMMYFUNCTION("""COMPUTED_VALUE"""),"+221 77 426 57 38")</f>
        <v>+221 77 426 57 38</v>
      </c>
      <c r="AB371" s="2">
        <f ca="1">IFERROR(__xludf.DUMMYFUNCTION("""COMPUTED_VALUE"""),30457)</f>
        <v>30457</v>
      </c>
      <c r="AC371" s="2">
        <f ca="1">IFERROR(__xludf.DUMMYFUNCTION("""COMPUTED_VALUE"""),29000)</f>
        <v>29000</v>
      </c>
      <c r="AD371" s="1" t="str">
        <f ca="1">IFERROR(__xludf.DUMMYFUNCTION("""COMPUTED_VALUE"""),"MERE")</f>
        <v>MERE</v>
      </c>
      <c r="AE371" s="1" t="str">
        <f ca="1">IFERROR(__xludf.DUMMYFUNCTION("""COMPUTED_VALUE"""),"PERE")</f>
        <v>PERE</v>
      </c>
      <c r="AF371" s="1" t="str">
        <f ca="1">IFERROR(__xludf.DUMMYFUNCTION("""COMPUTED_VALUE"""),"FRANCE")</f>
        <v>FRANCE</v>
      </c>
      <c r="AG371" s="1" t="str">
        <f ca="1">IFERROR(__xludf.DUMMYFUNCTION("""COMPUTED_VALUE"""),"FRANCE")</f>
        <v>FRANCE</v>
      </c>
      <c r="AH371" s="1" t="str">
        <f ca="1">IFERROR(__xludf.DUMMYFUNCTION("""COMPUTED_VALUE"""),"SENEGAL")</f>
        <v>SENEGAL</v>
      </c>
      <c r="AI371" s="1" t="str">
        <f ca="1">IFERROR(__xludf.DUMMYFUNCTION("""COMPUTED_VALUE"""),"SENEGAL")</f>
        <v>SENEGAL</v>
      </c>
      <c r="AJ371" s="1" t="str">
        <f ca="1">IFERROR(__xludf.DUMMYFUNCTION("""COMPUTED_VALUE"""),"F1438")</f>
        <v>F1438</v>
      </c>
      <c r="AK371" s="1" t="str">
        <f ca="1">IFERROR(__xludf.DUMMYFUNCTION("""COMPUTED_VALUE"""),"Marié(e)")</f>
        <v>Marié(e)</v>
      </c>
      <c r="AL371" s="1" t="str">
        <f ca="1">IFERROR(__xludf.DUMMYFUNCTION("""COMPUTED_VALUE"""),"Marié(e)")</f>
        <v>Marié(e)</v>
      </c>
      <c r="AM371" s="1" t="str">
        <f ca="1">IFERROR(__xludf.DUMMYFUNCTION("""COMPUTED_VALUE"""),"F1438")</f>
        <v>F1438</v>
      </c>
    </row>
    <row r="372" spans="1:39" ht="13" x14ac:dyDescent="0.15">
      <c r="A372" s="1" t="str">
        <f ca="1">IFERROR(__xludf.DUMMYFUNCTION("""COMPUTED_VALUE"""),"MBAYE Ndeye Thiaba")</f>
        <v>MBAYE Ndeye Thiaba</v>
      </c>
      <c r="B372" s="1" t="str">
        <f ca="1">IFERROR(__xludf.DUMMYFUNCTION("""COMPUTED_VALUE"""),"MBAYE")</f>
        <v>MBAYE</v>
      </c>
      <c r="C372" s="1" t="str">
        <f ca="1">IFERROR(__xludf.DUMMYFUNCTION("""COMPUTED_VALUE"""),"Ndeye Thiaba")</f>
        <v>Ndeye Thiaba</v>
      </c>
      <c r="D372" s="1" t="str">
        <f ca="1">IFERROR(__xludf.DUMMYFUNCTION("""COMPUTED_VALUE"""),"1436E3")</f>
        <v>1436E3</v>
      </c>
      <c r="E372" s="2">
        <f ca="1">IFERROR(__xludf.DUMMYFUNCTION("""COMPUTED_VALUE"""),41097)</f>
        <v>41097</v>
      </c>
      <c r="F372" s="1" t="str">
        <f ca="1">IFERROR(__xludf.DUMMYFUNCTION("""COMPUTED_VALUE"""),"4EME2")</f>
        <v>4EME2</v>
      </c>
      <c r="G372" s="1" t="str">
        <f ca="1">IFERROR(__xludf.DUMMYFUNCTION("""COMPUTED_VALUE"""),"4ème")</f>
        <v>4ème</v>
      </c>
      <c r="H372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372" s="1" t="str">
        <f ca="1">IFERROR(__xludf.DUMMYFUNCTION("""COMPUTED_VALUE"""),"LVA Anglais")</f>
        <v>LVA Anglais</v>
      </c>
      <c r="J372" s="1" t="str">
        <f ca="1">IFERROR(__xludf.DUMMYFUNCTION("""COMPUTED_VALUE"""),"LVB Espagnol")</f>
        <v>LVB Espagnol</v>
      </c>
      <c r="K372" s="1"/>
      <c r="L372" s="1"/>
      <c r="M372" s="1"/>
      <c r="N372" s="1" t="str">
        <f ca="1">IFERROR(__xludf.DUMMYFUNCTION("""COMPUTED_VALUE"""),"Fille")</f>
        <v>Fille</v>
      </c>
      <c r="O372" s="1"/>
      <c r="P372" s="1" t="str">
        <f ca="1">IFERROR(__xludf.DUMMYFUNCTION("""COMPUTED_VALUE"""),"SENEGAL")</f>
        <v>SENEGAL</v>
      </c>
      <c r="Q372" s="1"/>
      <c r="R372" s="1" t="str">
        <f ca="1">IFERROR(__xludf.DUMMYFUNCTION("""COMPUTED_VALUE"""),"thiaba.mbaye@lfjpsaly.org")</f>
        <v>thiaba.mbaye@lfjpsaly.org</v>
      </c>
      <c r="S372" s="1" t="str">
        <f ca="1">IFERROR(__xludf.DUMMYFUNCTION("""COMPUTED_VALUE"""),"+221 76 310 57 57")</f>
        <v>+221 76 310 57 57</v>
      </c>
      <c r="T372" s="1" t="str">
        <f ca="1">IFERROR(__xludf.DUMMYFUNCTION("""COMPUTED_VALUE"""),"MBAYE Moussa")</f>
        <v>MBAYE Moussa</v>
      </c>
      <c r="U372" s="1" t="str">
        <f ca="1">IFERROR(__xludf.DUMMYFUNCTION("""COMPUTED_VALUE"""),"COLY Edite Seynabou")</f>
        <v>COLY Edite Seynabou</v>
      </c>
      <c r="V372" s="1" t="str">
        <f ca="1">IFERROR(__xludf.DUMMYFUNCTION("""COMPUTED_VALUE"""),"pmbaye3@yahoo.fr")</f>
        <v>pmbaye3@yahoo.fr</v>
      </c>
      <c r="W372" s="1" t="str">
        <f ca="1">IFERROR(__xludf.DUMMYFUNCTION("""COMPUTED_VALUE"""),"edithstacy@live.fr")</f>
        <v>edithstacy@live.fr</v>
      </c>
      <c r="X372" s="1" t="str">
        <f ca="1">IFERROR(__xludf.DUMMYFUNCTION("""COMPUTED_VALUE"""),"+221 78 635 61 61")</f>
        <v>+221 78 635 61 61</v>
      </c>
      <c r="Y372" s="1" t="str">
        <f ca="1">IFERROR(__xludf.DUMMYFUNCTION("""COMPUTED_VALUE"""),"+221 77 623 27 77")</f>
        <v>+221 77 623 27 77</v>
      </c>
      <c r="Z372" s="1" t="str">
        <f ca="1">IFERROR(__xludf.DUMMYFUNCTION("""COMPUTED_VALUE"""),"+221 78 365 61 61")</f>
        <v>+221 78 365 61 61</v>
      </c>
      <c r="AA372" s="1" t="str">
        <f ca="1">IFERROR(__xludf.DUMMYFUNCTION("""COMPUTED_VALUE"""),"+221 77 623 27 77")</f>
        <v>+221 77 623 27 77</v>
      </c>
      <c r="AB372" s="2">
        <f ca="1">IFERROR(__xludf.DUMMYFUNCTION("""COMPUTED_VALUE"""),30160)</f>
        <v>30160</v>
      </c>
      <c r="AC372" s="2">
        <f ca="1">IFERROR(__xludf.DUMMYFUNCTION("""COMPUTED_VALUE"""),30941)</f>
        <v>30941</v>
      </c>
      <c r="AD372" s="1" t="str">
        <f ca="1">IFERROR(__xludf.DUMMYFUNCTION("""COMPUTED_VALUE"""),"PERE")</f>
        <v>PERE</v>
      </c>
      <c r="AE372" s="1" t="str">
        <f ca="1">IFERROR(__xludf.DUMMYFUNCTION("""COMPUTED_VALUE"""),"MERE")</f>
        <v>MERE</v>
      </c>
      <c r="AF372" s="1" t="str">
        <f ca="1">IFERROR(__xludf.DUMMYFUNCTION("""COMPUTED_VALUE"""),"SENEGAL")</f>
        <v>SENEGAL</v>
      </c>
      <c r="AG372" s="1" t="str">
        <f ca="1">IFERROR(__xludf.DUMMYFUNCTION("""COMPUTED_VALUE"""),"SENEGAL")</f>
        <v>SENEGAL</v>
      </c>
      <c r="AH372" s="1"/>
      <c r="AI372" s="1"/>
      <c r="AJ372" s="1" t="str">
        <f ca="1">IFERROR(__xludf.DUMMYFUNCTION("""COMPUTED_VALUE"""),"F1436")</f>
        <v>F1436</v>
      </c>
      <c r="AK372" s="1" t="str">
        <f ca="1">IFERROR(__xludf.DUMMYFUNCTION("""COMPUTED_VALUE"""),"Marié(e)")</f>
        <v>Marié(e)</v>
      </c>
      <c r="AL372" s="1" t="str">
        <f ca="1">IFERROR(__xludf.DUMMYFUNCTION("""COMPUTED_VALUE"""),"Marié(e)")</f>
        <v>Marié(e)</v>
      </c>
      <c r="AM372" s="1" t="str">
        <f ca="1">IFERROR(__xludf.DUMMYFUNCTION("""COMPUTED_VALUE"""),"F1436")</f>
        <v>F1436</v>
      </c>
    </row>
    <row r="373" spans="1:39" ht="13" x14ac:dyDescent="0.15">
      <c r="A373" s="1" t="str">
        <f ca="1">IFERROR(__xludf.DUMMYFUNCTION("""COMPUTED_VALUE"""),"MBAYE Papa Aly")</f>
        <v>MBAYE Papa Aly</v>
      </c>
      <c r="B373" s="1" t="str">
        <f ca="1">IFERROR(__xludf.DUMMYFUNCTION("""COMPUTED_VALUE"""),"MBAYE")</f>
        <v>MBAYE</v>
      </c>
      <c r="C373" s="1" t="str">
        <f ca="1">IFERROR(__xludf.DUMMYFUNCTION("""COMPUTED_VALUE"""),"Papa Aly")</f>
        <v>Papa Aly</v>
      </c>
      <c r="D373" s="1" t="str">
        <f ca="1">IFERROR(__xludf.DUMMYFUNCTION("""COMPUTED_VALUE"""),"11203S2398")</f>
        <v>11203S2398</v>
      </c>
      <c r="E373" s="2">
        <f ca="1">IFERROR(__xludf.DUMMYFUNCTION("""COMPUTED_VALUE"""),42438)</f>
        <v>42438</v>
      </c>
      <c r="F373" s="1" t="str">
        <f ca="1">IFERROR(__xludf.DUMMYFUNCTION("""COMPUTED_VALUE"""),"CE2")</f>
        <v>CE2</v>
      </c>
      <c r="G373" s="1" t="str">
        <f ca="1">IFERROR(__xludf.DUMMYFUNCTION("""COMPUTED_VALUE"""),"CE2")</f>
        <v>CE2</v>
      </c>
      <c r="H373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373" s="1"/>
      <c r="J373" s="1"/>
      <c r="K373" s="1"/>
      <c r="L373" s="1"/>
      <c r="M373" s="1"/>
      <c r="N373" s="1" t="str">
        <f ca="1">IFERROR(__xludf.DUMMYFUNCTION("""COMPUTED_VALUE"""),"Garçon")</f>
        <v>Garçon</v>
      </c>
      <c r="O373" s="1"/>
      <c r="P373" s="1" t="str">
        <f ca="1">IFERROR(__xludf.DUMMYFUNCTION("""COMPUTED_VALUE"""),"SENEGAL")</f>
        <v>SENEGAL</v>
      </c>
      <c r="Q373" s="1"/>
      <c r="R373" s="1"/>
      <c r="S373" s="1" t="str">
        <f ca="1">IFERROR(__xludf.DUMMYFUNCTION("""COMPUTED_VALUE"""),"+221")</f>
        <v>+221</v>
      </c>
      <c r="T373" s="1" t="str">
        <f ca="1">IFERROR(__xludf.DUMMYFUNCTION("""COMPUTED_VALUE"""),"MBAYE Moussa")</f>
        <v>MBAYE Moussa</v>
      </c>
      <c r="U373" s="1" t="str">
        <f ca="1">IFERROR(__xludf.DUMMYFUNCTION("""COMPUTED_VALUE"""),"COLY Edite Seynabou")</f>
        <v>COLY Edite Seynabou</v>
      </c>
      <c r="V373" s="1" t="str">
        <f ca="1">IFERROR(__xludf.DUMMYFUNCTION("""COMPUTED_VALUE"""),"pmbaye3@yahoo.fr")</f>
        <v>pmbaye3@yahoo.fr</v>
      </c>
      <c r="W373" s="1" t="str">
        <f ca="1">IFERROR(__xludf.DUMMYFUNCTION("""COMPUTED_VALUE"""),"edithstacy@live.fr")</f>
        <v>edithstacy@live.fr</v>
      </c>
      <c r="X373" s="1" t="str">
        <f ca="1">IFERROR(__xludf.DUMMYFUNCTION("""COMPUTED_VALUE"""),"+221 78 635 61 61")</f>
        <v>+221 78 635 61 61</v>
      </c>
      <c r="Y373" s="1" t="str">
        <f ca="1">IFERROR(__xludf.DUMMYFUNCTION("""COMPUTED_VALUE"""),"+221 77 623 27 77")</f>
        <v>+221 77 623 27 77</v>
      </c>
      <c r="Z373" s="1" t="str">
        <f ca="1">IFERROR(__xludf.DUMMYFUNCTION("""COMPUTED_VALUE"""),"+221 78 365 61 61")</f>
        <v>+221 78 365 61 61</v>
      </c>
      <c r="AA373" s="1" t="str">
        <f ca="1">IFERROR(__xludf.DUMMYFUNCTION("""COMPUTED_VALUE"""),"+221 77 623 27 77")</f>
        <v>+221 77 623 27 77</v>
      </c>
      <c r="AB373" s="2">
        <f ca="1">IFERROR(__xludf.DUMMYFUNCTION("""COMPUTED_VALUE"""),30160)</f>
        <v>30160</v>
      </c>
      <c r="AC373" s="2">
        <f ca="1">IFERROR(__xludf.DUMMYFUNCTION("""COMPUTED_VALUE"""),30941)</f>
        <v>30941</v>
      </c>
      <c r="AD373" s="1" t="str">
        <f ca="1">IFERROR(__xludf.DUMMYFUNCTION("""COMPUTED_VALUE"""),"PERE")</f>
        <v>PERE</v>
      </c>
      <c r="AE373" s="1" t="str">
        <f ca="1">IFERROR(__xludf.DUMMYFUNCTION("""COMPUTED_VALUE"""),"TANTE")</f>
        <v>TANTE</v>
      </c>
      <c r="AF373" s="1" t="str">
        <f ca="1">IFERROR(__xludf.DUMMYFUNCTION("""COMPUTED_VALUE"""),"SENEGAL")</f>
        <v>SENEGAL</v>
      </c>
      <c r="AG373" s="1" t="str">
        <f ca="1">IFERROR(__xludf.DUMMYFUNCTION("""COMPUTED_VALUE"""),"SENEGAL")</f>
        <v>SENEGAL</v>
      </c>
      <c r="AH373" s="1"/>
      <c r="AI373" s="1"/>
      <c r="AJ373" s="1" t="str">
        <f ca="1">IFERROR(__xludf.DUMMYFUNCTION("""COMPUTED_VALUE"""),"F1436")</f>
        <v>F1436</v>
      </c>
      <c r="AK373" s="1" t="str">
        <f ca="1">IFERROR(__xludf.DUMMYFUNCTION("""COMPUTED_VALUE"""),"Marié(e)")</f>
        <v>Marié(e)</v>
      </c>
      <c r="AL373" s="1" t="str">
        <f ca="1">IFERROR(__xludf.DUMMYFUNCTION("""COMPUTED_VALUE"""),"Marié(e)")</f>
        <v>Marié(e)</v>
      </c>
      <c r="AM373" s="1" t="str">
        <f ca="1">IFERROR(__xludf.DUMMYFUNCTION("""COMPUTED_VALUE"""),"F1436")</f>
        <v>F1436</v>
      </c>
    </row>
    <row r="374" spans="1:39" ht="13" x14ac:dyDescent="0.15">
      <c r="A374" s="1" t="str">
        <f ca="1">IFERROR(__xludf.DUMMYFUNCTION("""COMPUTED_VALUE"""),"MBAYE Souleymane")</f>
        <v>MBAYE Souleymane</v>
      </c>
      <c r="B374" s="1" t="str">
        <f ca="1">IFERROR(__xludf.DUMMYFUNCTION("""COMPUTED_VALUE"""),"MBAYE")</f>
        <v>MBAYE</v>
      </c>
      <c r="C374" s="1" t="str">
        <f ca="1">IFERROR(__xludf.DUMMYFUNCTION("""COMPUTED_VALUE"""),"Souleymane")</f>
        <v>Souleymane</v>
      </c>
      <c r="D374" s="1" t="str">
        <f ca="1">IFERROR(__xludf.DUMMYFUNCTION("""COMPUTED_VALUE"""),"11203S2804")</f>
        <v>11203S2804</v>
      </c>
      <c r="E374" s="2">
        <f ca="1">IFERROR(__xludf.DUMMYFUNCTION("""COMPUTED_VALUE"""),43654)</f>
        <v>43654</v>
      </c>
      <c r="F374" s="1" t="str">
        <f ca="1">IFERROR(__xludf.DUMMYFUNCTION("""COMPUTED_VALUE"""),"CP")</f>
        <v>CP</v>
      </c>
      <c r="G374" s="1" t="str">
        <f ca="1">IFERROR(__xludf.DUMMYFUNCTION("""COMPUTED_VALUE"""),"CP")</f>
        <v>CP</v>
      </c>
      <c r="H374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374" s="1"/>
      <c r="J374" s="1"/>
      <c r="K374" s="1"/>
      <c r="L374" s="1"/>
      <c r="M374" s="1"/>
      <c r="N374" s="1" t="str">
        <f ca="1">IFERROR(__xludf.DUMMYFUNCTION("""COMPUTED_VALUE"""),"Garçon")</f>
        <v>Garçon</v>
      </c>
      <c r="O374" s="1"/>
      <c r="P374" s="1" t="str">
        <f ca="1">IFERROR(__xludf.DUMMYFUNCTION("""COMPUTED_VALUE"""),"SENEGAL")</f>
        <v>SENEGAL</v>
      </c>
      <c r="Q374" s="1"/>
      <c r="R374" s="1"/>
      <c r="S374" s="1" t="str">
        <f ca="1">IFERROR(__xludf.DUMMYFUNCTION("""COMPUTED_VALUE"""),"+221")</f>
        <v>+221</v>
      </c>
      <c r="T374" s="1" t="str">
        <f ca="1">IFERROR(__xludf.DUMMYFUNCTION("""COMPUTED_VALUE"""),"MBAYE Moussa")</f>
        <v>MBAYE Moussa</v>
      </c>
      <c r="U374" s="1" t="str">
        <f ca="1">IFERROR(__xludf.DUMMYFUNCTION("""COMPUTED_VALUE"""),"COLY Edite Seynabou")</f>
        <v>COLY Edite Seynabou</v>
      </c>
      <c r="V374" s="1" t="str">
        <f ca="1">IFERROR(__xludf.DUMMYFUNCTION("""COMPUTED_VALUE"""),"pmbaye3@yahoo.fr")</f>
        <v>pmbaye3@yahoo.fr</v>
      </c>
      <c r="W374" s="1" t="str">
        <f ca="1">IFERROR(__xludf.DUMMYFUNCTION("""COMPUTED_VALUE"""),"edithstacy@live.fr")</f>
        <v>edithstacy@live.fr</v>
      </c>
      <c r="X374" s="1" t="str">
        <f ca="1">IFERROR(__xludf.DUMMYFUNCTION("""COMPUTED_VALUE"""),"+221 78 635 61 61")</f>
        <v>+221 78 635 61 61</v>
      </c>
      <c r="Y374" s="1" t="str">
        <f ca="1">IFERROR(__xludf.DUMMYFUNCTION("""COMPUTED_VALUE"""),"+221 77 623 27 77")</f>
        <v>+221 77 623 27 77</v>
      </c>
      <c r="Z374" s="1" t="str">
        <f ca="1">IFERROR(__xludf.DUMMYFUNCTION("""COMPUTED_VALUE"""),"+221 78 365 61 61")</f>
        <v>+221 78 365 61 61</v>
      </c>
      <c r="AA374" s="1" t="str">
        <f ca="1">IFERROR(__xludf.DUMMYFUNCTION("""COMPUTED_VALUE"""),"+221 77 623 27 77")</f>
        <v>+221 77 623 27 77</v>
      </c>
      <c r="AB374" s="2">
        <f ca="1">IFERROR(__xludf.DUMMYFUNCTION("""COMPUTED_VALUE"""),30160)</f>
        <v>30160</v>
      </c>
      <c r="AC374" s="2">
        <f ca="1">IFERROR(__xludf.DUMMYFUNCTION("""COMPUTED_VALUE"""),30941)</f>
        <v>30941</v>
      </c>
      <c r="AD374" s="1" t="str">
        <f ca="1">IFERROR(__xludf.DUMMYFUNCTION("""COMPUTED_VALUE"""),"PERE")</f>
        <v>PERE</v>
      </c>
      <c r="AE374" s="1" t="str">
        <f ca="1">IFERROR(__xludf.DUMMYFUNCTION("""COMPUTED_VALUE"""),"TANTE")</f>
        <v>TANTE</v>
      </c>
      <c r="AF374" s="1" t="str">
        <f ca="1">IFERROR(__xludf.DUMMYFUNCTION("""COMPUTED_VALUE"""),"SENEGAL")</f>
        <v>SENEGAL</v>
      </c>
      <c r="AG374" s="1" t="str">
        <f ca="1">IFERROR(__xludf.DUMMYFUNCTION("""COMPUTED_VALUE"""),"SENEGAL")</f>
        <v>SENEGAL</v>
      </c>
      <c r="AH374" s="1"/>
      <c r="AI374" s="1"/>
      <c r="AJ374" s="1" t="str">
        <f ca="1">IFERROR(__xludf.DUMMYFUNCTION("""COMPUTED_VALUE"""),"F1436")</f>
        <v>F1436</v>
      </c>
      <c r="AK374" s="1" t="str">
        <f ca="1">IFERROR(__xludf.DUMMYFUNCTION("""COMPUTED_VALUE"""),"Marié(e)")</f>
        <v>Marié(e)</v>
      </c>
      <c r="AL374" s="1" t="str">
        <f ca="1">IFERROR(__xludf.DUMMYFUNCTION("""COMPUTED_VALUE"""),"Marié(e)")</f>
        <v>Marié(e)</v>
      </c>
      <c r="AM374" s="1" t="str">
        <f ca="1">IFERROR(__xludf.DUMMYFUNCTION("""COMPUTED_VALUE"""),"F1436")</f>
        <v>F1436</v>
      </c>
    </row>
    <row r="375" spans="1:39" ht="13" x14ac:dyDescent="0.15">
      <c r="A375" s="1" t="str">
        <f ca="1">IFERROR(__xludf.DUMMYFUNCTION("""COMPUTED_VALUE"""),"MBAYE Sylvain Babacar")</f>
        <v>MBAYE Sylvain Babacar</v>
      </c>
      <c r="B375" s="1" t="str">
        <f ca="1">IFERROR(__xludf.DUMMYFUNCTION("""COMPUTED_VALUE"""),"MBAYE")</f>
        <v>MBAYE</v>
      </c>
      <c r="C375" s="1" t="str">
        <f ca="1">IFERROR(__xludf.DUMMYFUNCTION("""COMPUTED_VALUE"""),"Sylvain Babacar")</f>
        <v>Sylvain Babacar</v>
      </c>
      <c r="D375" s="1" t="str">
        <f ca="1">IFERROR(__xludf.DUMMYFUNCTION("""COMPUTED_VALUE"""),"11203S2397")</f>
        <v>11203S2397</v>
      </c>
      <c r="E375" s="2">
        <f ca="1">IFERROR(__xludf.DUMMYFUNCTION("""COMPUTED_VALUE"""),43530)</f>
        <v>43530</v>
      </c>
      <c r="F375" s="1" t="str">
        <f ca="1">IFERROR(__xludf.DUMMYFUNCTION("""COMPUTED_VALUE"""),"CP")</f>
        <v>CP</v>
      </c>
      <c r="G375" s="1" t="str">
        <f ca="1">IFERROR(__xludf.DUMMYFUNCTION("""COMPUTED_VALUE"""),"CP")</f>
        <v>CP</v>
      </c>
      <c r="H375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375" s="1"/>
      <c r="J375" s="1"/>
      <c r="K375" s="1"/>
      <c r="L375" s="1"/>
      <c r="M375" s="1"/>
      <c r="N375" s="1" t="str">
        <f ca="1">IFERROR(__xludf.DUMMYFUNCTION("""COMPUTED_VALUE"""),"Garçon")</f>
        <v>Garçon</v>
      </c>
      <c r="O375" s="1"/>
      <c r="P375" s="1" t="str">
        <f ca="1">IFERROR(__xludf.DUMMYFUNCTION("""COMPUTED_VALUE"""),"SENEGAL")</f>
        <v>SENEGAL</v>
      </c>
      <c r="Q375" s="1"/>
      <c r="R375" s="1"/>
      <c r="S375" s="1" t="str">
        <f ca="1">IFERROR(__xludf.DUMMYFUNCTION("""COMPUTED_VALUE"""),"+221")</f>
        <v>+221</v>
      </c>
      <c r="T375" s="1" t="str">
        <f ca="1">IFERROR(__xludf.DUMMYFUNCTION("""COMPUTED_VALUE"""),"MBAYE Moussa")</f>
        <v>MBAYE Moussa</v>
      </c>
      <c r="U375" s="1" t="str">
        <f ca="1">IFERROR(__xludf.DUMMYFUNCTION("""COMPUTED_VALUE"""),"COLY Edite Seynabou")</f>
        <v>COLY Edite Seynabou</v>
      </c>
      <c r="V375" s="1" t="str">
        <f ca="1">IFERROR(__xludf.DUMMYFUNCTION("""COMPUTED_VALUE"""),"pmbaye3@yahoo.fr")</f>
        <v>pmbaye3@yahoo.fr</v>
      </c>
      <c r="W375" s="1" t="str">
        <f ca="1">IFERROR(__xludf.DUMMYFUNCTION("""COMPUTED_VALUE"""),"edithstacy@live.fr")</f>
        <v>edithstacy@live.fr</v>
      </c>
      <c r="X375" s="1" t="str">
        <f ca="1">IFERROR(__xludf.DUMMYFUNCTION("""COMPUTED_VALUE"""),"+221 78 635 61 61")</f>
        <v>+221 78 635 61 61</v>
      </c>
      <c r="Y375" s="1" t="str">
        <f ca="1">IFERROR(__xludf.DUMMYFUNCTION("""COMPUTED_VALUE"""),"+221 77 623 27 77")</f>
        <v>+221 77 623 27 77</v>
      </c>
      <c r="Z375" s="1" t="str">
        <f ca="1">IFERROR(__xludf.DUMMYFUNCTION("""COMPUTED_VALUE"""),"+221 78 365 61 61")</f>
        <v>+221 78 365 61 61</v>
      </c>
      <c r="AA375" s="1" t="str">
        <f ca="1">IFERROR(__xludf.DUMMYFUNCTION("""COMPUTED_VALUE"""),"+221 77 623 27 77")</f>
        <v>+221 77 623 27 77</v>
      </c>
      <c r="AB375" s="2">
        <f ca="1">IFERROR(__xludf.DUMMYFUNCTION("""COMPUTED_VALUE"""),30160)</f>
        <v>30160</v>
      </c>
      <c r="AC375" s="2">
        <f ca="1">IFERROR(__xludf.DUMMYFUNCTION("""COMPUTED_VALUE"""),30941)</f>
        <v>30941</v>
      </c>
      <c r="AD375" s="1" t="str">
        <f ca="1">IFERROR(__xludf.DUMMYFUNCTION("""COMPUTED_VALUE"""),"PERE")</f>
        <v>PERE</v>
      </c>
      <c r="AE375" s="1" t="str">
        <f ca="1">IFERROR(__xludf.DUMMYFUNCTION("""COMPUTED_VALUE"""),"MERE")</f>
        <v>MERE</v>
      </c>
      <c r="AF375" s="1" t="str">
        <f ca="1">IFERROR(__xludf.DUMMYFUNCTION("""COMPUTED_VALUE"""),"SENEGAL")</f>
        <v>SENEGAL</v>
      </c>
      <c r="AG375" s="1" t="str">
        <f ca="1">IFERROR(__xludf.DUMMYFUNCTION("""COMPUTED_VALUE"""),"SENEGAL")</f>
        <v>SENEGAL</v>
      </c>
      <c r="AH375" s="1"/>
      <c r="AI375" s="1"/>
      <c r="AJ375" s="1" t="str">
        <f ca="1">IFERROR(__xludf.DUMMYFUNCTION("""COMPUTED_VALUE"""),"F1436")</f>
        <v>F1436</v>
      </c>
      <c r="AK375" s="1" t="str">
        <f ca="1">IFERROR(__xludf.DUMMYFUNCTION("""COMPUTED_VALUE"""),"Marié(e)")</f>
        <v>Marié(e)</v>
      </c>
      <c r="AL375" s="1" t="str">
        <f ca="1">IFERROR(__xludf.DUMMYFUNCTION("""COMPUTED_VALUE"""),"Marié(e)")</f>
        <v>Marié(e)</v>
      </c>
      <c r="AM375" s="1" t="str">
        <f ca="1">IFERROR(__xludf.DUMMYFUNCTION("""COMPUTED_VALUE"""),"F1436")</f>
        <v>F1436</v>
      </c>
    </row>
    <row r="376" spans="1:39" ht="13" x14ac:dyDescent="0.15">
      <c r="A376" s="1" t="str">
        <f ca="1">IFERROR(__xludf.DUMMYFUNCTION("""COMPUTED_VALUE"""),"MBENGUE Mohamed Hamza Abdou")</f>
        <v>MBENGUE Mohamed Hamza Abdou</v>
      </c>
      <c r="B376" s="1" t="str">
        <f ca="1">IFERROR(__xludf.DUMMYFUNCTION("""COMPUTED_VALUE"""),"MBENGUE")</f>
        <v>MBENGUE</v>
      </c>
      <c r="C376" s="1" t="str">
        <f ca="1">IFERROR(__xludf.DUMMYFUNCTION("""COMPUTED_VALUE"""),"Mohamed Hamza Abdou")</f>
        <v>Mohamed Hamza Abdou</v>
      </c>
      <c r="D376" s="1" t="str">
        <f ca="1">IFERROR(__xludf.DUMMYFUNCTION("""COMPUTED_VALUE"""),"1440E1")</f>
        <v>1440E1</v>
      </c>
      <c r="E376" s="2">
        <f ca="1">IFERROR(__xludf.DUMMYFUNCTION("""COMPUTED_VALUE"""),43249)</f>
        <v>43249</v>
      </c>
      <c r="F376" s="1" t="str">
        <f ca="1">IFERROR(__xludf.DUMMYFUNCTION("""COMPUTED_VALUE"""),"CE1B")</f>
        <v>CE1B</v>
      </c>
      <c r="G376" s="1" t="str">
        <f ca="1">IFERROR(__xludf.DUMMYFUNCTION("""COMPUTED_VALUE"""),"CE1")</f>
        <v>CE1</v>
      </c>
      <c r="H376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376" s="1"/>
      <c r="J376" s="1"/>
      <c r="K376" s="1"/>
      <c r="L376" s="1"/>
      <c r="M376" s="1"/>
      <c r="N376" s="1" t="str">
        <f ca="1">IFERROR(__xludf.DUMMYFUNCTION("""COMPUTED_VALUE"""),"Garçon")</f>
        <v>Garçon</v>
      </c>
      <c r="O376" s="1"/>
      <c r="P376" s="1" t="str">
        <f ca="1">IFERROR(__xludf.DUMMYFUNCTION("""COMPUTED_VALUE"""),"FRANCE")</f>
        <v>FRANCE</v>
      </c>
      <c r="Q376" s="1"/>
      <c r="R376" s="1"/>
      <c r="S376" s="1"/>
      <c r="T376" s="1" t="str">
        <f ca="1">IFERROR(__xludf.DUMMYFUNCTION("""COMPUTED_VALUE"""),"MBENGUE Cheikh")</f>
        <v>MBENGUE Cheikh</v>
      </c>
      <c r="U376" s="1" t="str">
        <f ca="1">IFERROR(__xludf.DUMMYFUNCTION("""COMPUTED_VALUE"""),"MBENGUE Fatoumata")</f>
        <v>MBENGUE Fatoumata</v>
      </c>
      <c r="V376" s="1" t="str">
        <f ca="1">IFERROR(__xludf.DUMMYFUNCTION("""COMPUTED_VALUE"""),"cheikhmbenguepro@yahoo.com")</f>
        <v>cheikhmbenguepro@yahoo.com</v>
      </c>
      <c r="W376" s="1" t="str">
        <f ca="1">IFERROR(__xludf.DUMMYFUNCTION("""COMPUTED_VALUE"""),"direction@occitaneassurances.fr")</f>
        <v>direction@occitaneassurances.fr</v>
      </c>
      <c r="X376" s="1" t="str">
        <f ca="1">IFERROR(__xludf.DUMMYFUNCTION("""COMPUTED_VALUE"""),"+221 78 293 08 57")</f>
        <v>+221 78 293 08 57</v>
      </c>
      <c r="Y376" s="1" t="str">
        <f ca="1">IFERROR(__xludf.DUMMYFUNCTION("""COMPUTED_VALUE"""),"772982835")</f>
        <v>772982835</v>
      </c>
      <c r="Z376" s="1" t="str">
        <f ca="1">IFERROR(__xludf.DUMMYFUNCTION("""COMPUTED_VALUE"""),"+221")</f>
        <v>+221</v>
      </c>
      <c r="AA376" s="1"/>
      <c r="AB376" s="2">
        <f ca="1">IFERROR(__xludf.DUMMYFUNCTION("""COMPUTED_VALUE"""),32347)</f>
        <v>32347</v>
      </c>
      <c r="AC376" s="2">
        <f ca="1">IFERROR(__xludf.DUMMYFUNCTION("""COMPUTED_VALUE"""),33558)</f>
        <v>33558</v>
      </c>
      <c r="AD376" s="1" t="str">
        <f ca="1">IFERROR(__xludf.DUMMYFUNCTION("""COMPUTED_VALUE"""),"PERE")</f>
        <v>PERE</v>
      </c>
      <c r="AE376" s="1" t="str">
        <f ca="1">IFERROR(__xludf.DUMMYFUNCTION("""COMPUTED_VALUE"""),"MERE")</f>
        <v>MERE</v>
      </c>
      <c r="AF376" s="1" t="str">
        <f ca="1">IFERROR(__xludf.DUMMYFUNCTION("""COMPUTED_VALUE"""),"FRANCE")</f>
        <v>FRANCE</v>
      </c>
      <c r="AG376" s="1" t="str">
        <f ca="1">IFERROR(__xludf.DUMMYFUNCTION("""COMPUTED_VALUE"""),"FRANCE")</f>
        <v>FRANCE</v>
      </c>
      <c r="AH376" s="1"/>
      <c r="AI376" s="1"/>
      <c r="AJ376" s="1" t="str">
        <f ca="1">IFERROR(__xludf.DUMMYFUNCTION("""COMPUTED_VALUE"""),"F1440")</f>
        <v>F1440</v>
      </c>
      <c r="AK376" s="1" t="str">
        <f ca="1">IFERROR(__xludf.DUMMYFUNCTION("""COMPUTED_VALUE"""),"Marié(e)")</f>
        <v>Marié(e)</v>
      </c>
      <c r="AL376" s="1" t="str">
        <f ca="1">IFERROR(__xludf.DUMMYFUNCTION("""COMPUTED_VALUE"""),"Marié(e)")</f>
        <v>Marié(e)</v>
      </c>
      <c r="AM376" s="1" t="str">
        <f ca="1">IFERROR(__xludf.DUMMYFUNCTION("""COMPUTED_VALUE"""),"F1440")</f>
        <v>F1440</v>
      </c>
    </row>
    <row r="377" spans="1:39" ht="13" x14ac:dyDescent="0.15">
      <c r="A377" s="1" t="str">
        <f ca="1">IFERROR(__xludf.DUMMYFUNCTION("""COMPUTED_VALUE"""),"MBENGUE CISSOKHO Soline Ouly")</f>
        <v>MBENGUE CISSOKHO Soline Ouly</v>
      </c>
      <c r="B377" s="1" t="str">
        <f ca="1">IFERROR(__xludf.DUMMYFUNCTION("""COMPUTED_VALUE"""),"MBENGUE CISSOKHO")</f>
        <v>MBENGUE CISSOKHO</v>
      </c>
      <c r="C377" s="1" t="str">
        <f ca="1">IFERROR(__xludf.DUMMYFUNCTION("""COMPUTED_VALUE"""),"Soline Ouly")</f>
        <v>Soline Ouly</v>
      </c>
      <c r="D377" s="1" t="str">
        <f ca="1">IFERROR(__xludf.DUMMYFUNCTION("""COMPUTED_VALUE"""),"1673E1")</f>
        <v>1673E1</v>
      </c>
      <c r="E377" s="2">
        <f ca="1">IFERROR(__xludf.DUMMYFUNCTION("""COMPUTED_VALUE"""),41802)</f>
        <v>41802</v>
      </c>
      <c r="F377" s="1" t="str">
        <f ca="1">IFERROR(__xludf.DUMMYFUNCTION("""COMPUTED_VALUE"""),"6EME1")</f>
        <v>6EME1</v>
      </c>
      <c r="G377" s="1" t="str">
        <f ca="1">IFERROR(__xludf.DUMMYFUNCTION("""COMPUTED_VALUE"""),"6ème")</f>
        <v>6ème</v>
      </c>
      <c r="H377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377" s="1" t="str">
        <f ca="1">IFERROR(__xludf.DUMMYFUNCTION("""COMPUTED_VALUE"""),"LVA Anglais")</f>
        <v>LVA Anglais</v>
      </c>
      <c r="J377" s="1" t="str">
        <f ca="1">IFERROR(__xludf.DUMMYFUNCTION("""COMPUTED_VALUE"""),"LVB Espagnol")</f>
        <v>LVB Espagnol</v>
      </c>
      <c r="K377" s="1"/>
      <c r="L377" s="1"/>
      <c r="M377" s="1"/>
      <c r="N377" s="1" t="str">
        <f ca="1">IFERROR(__xludf.DUMMYFUNCTION("""COMPUTED_VALUE"""),"Fille")</f>
        <v>Fille</v>
      </c>
      <c r="O377" s="1"/>
      <c r="P377" s="1" t="str">
        <f ca="1">IFERROR(__xludf.DUMMYFUNCTION("""COMPUTED_VALUE"""),"FRANCE")</f>
        <v>FRANCE</v>
      </c>
      <c r="Q377" s="1" t="str">
        <f ca="1">IFERROR(__xludf.DUMMYFUNCTION("""COMPUTED_VALUE"""),"SENEGAL")</f>
        <v>SENEGAL</v>
      </c>
      <c r="R377" s="1" t="str">
        <f ca="1">IFERROR(__xludf.DUMMYFUNCTION("""COMPUTED_VALUE"""),"soline.mbengue@lfjpsaly.org")</f>
        <v>soline.mbengue@lfjpsaly.org</v>
      </c>
      <c r="S377" s="1" t="str">
        <f ca="1">IFERROR(__xludf.DUMMYFUNCTION("""COMPUTED_VALUE"""),"+221 77 442 87 57")</f>
        <v>+221 77 442 87 57</v>
      </c>
      <c r="T377" s="1" t="str">
        <f ca="1">IFERROR(__xludf.DUMMYFUNCTION("""COMPUTED_VALUE"""),"MBENGUE Mohamadou")</f>
        <v>MBENGUE Mohamadou</v>
      </c>
      <c r="U377" s="1" t="str">
        <f ca="1">IFERROR(__xludf.DUMMYFUNCTION("""COMPUTED_VALUE"""),"MBENGUE Ndeye Amie")</f>
        <v>MBENGUE Ndeye Amie</v>
      </c>
      <c r="V377" s="1" t="str">
        <f ca="1">IFERROR(__xludf.DUMMYFUNCTION("""COMPUTED_VALUE"""),"narabakh@hotmail.fr")</f>
        <v>narabakh@hotmail.fr</v>
      </c>
      <c r="W377" s="1" t="str">
        <f ca="1">IFERROR(__xludf.DUMMYFUNCTION("""COMPUTED_VALUE"""),"ndeyeamiethiobane@gmail.com")</f>
        <v>ndeyeamiethiobane@gmail.com</v>
      </c>
      <c r="X377" s="1" t="str">
        <f ca="1">IFERROR(__xludf.DUMMYFUNCTION("""COMPUTED_VALUE"""),"+221 77 442 87 57")</f>
        <v>+221 77 442 87 57</v>
      </c>
      <c r="Y377" s="1" t="str">
        <f ca="1">IFERROR(__xludf.DUMMYFUNCTION("""COMPUTED_VALUE"""),"775363268")</f>
        <v>775363268</v>
      </c>
      <c r="Z377" s="1" t="str">
        <f ca="1">IFERROR(__xludf.DUMMYFUNCTION("""COMPUTED_VALUE"""),"+221")</f>
        <v>+221</v>
      </c>
      <c r="AA377" s="1"/>
      <c r="AB377" s="2">
        <f ca="1">IFERROR(__xludf.DUMMYFUNCTION("""COMPUTED_VALUE"""),28796)</f>
        <v>28796</v>
      </c>
      <c r="AC377" s="2">
        <f ca="1">IFERROR(__xludf.DUMMYFUNCTION("""COMPUTED_VALUE"""),34357)</f>
        <v>34357</v>
      </c>
      <c r="AD377" s="1" t="str">
        <f ca="1">IFERROR(__xludf.DUMMYFUNCTION("""COMPUTED_VALUE"""),"PERE")</f>
        <v>PERE</v>
      </c>
      <c r="AE377" s="1" t="str">
        <f ca="1">IFERROR(__xludf.DUMMYFUNCTION("""COMPUTED_VALUE"""),"MERE")</f>
        <v>MERE</v>
      </c>
      <c r="AF377" s="1" t="str">
        <f ca="1">IFERROR(__xludf.DUMMYFUNCTION("""COMPUTED_VALUE"""),"SENEGAL")</f>
        <v>SENEGAL</v>
      </c>
      <c r="AG377" s="1" t="str">
        <f ca="1">IFERROR(__xludf.DUMMYFUNCTION("""COMPUTED_VALUE"""),"SENEGAL")</f>
        <v>SENEGAL</v>
      </c>
      <c r="AH377" s="1"/>
      <c r="AI377" s="1"/>
      <c r="AJ377" s="1" t="str">
        <f ca="1">IFERROR(__xludf.DUMMYFUNCTION("""COMPUTED_VALUE"""),"F1673")</f>
        <v>F1673</v>
      </c>
      <c r="AK377" s="1" t="str">
        <f ca="1">IFERROR(__xludf.DUMMYFUNCTION("""COMPUTED_VALUE"""),"Marié(e)")</f>
        <v>Marié(e)</v>
      </c>
      <c r="AL377" s="1" t="str">
        <f ca="1">IFERROR(__xludf.DUMMYFUNCTION("""COMPUTED_VALUE"""),"Marié(e)")</f>
        <v>Marié(e)</v>
      </c>
      <c r="AM377" s="1" t="str">
        <f ca="1">IFERROR(__xludf.DUMMYFUNCTION("""COMPUTED_VALUE"""),"F1673")</f>
        <v>F1673</v>
      </c>
    </row>
    <row r="378" spans="1:39" ht="13" x14ac:dyDescent="0.15">
      <c r="A378" s="1" t="str">
        <f ca="1">IFERROR(__xludf.DUMMYFUNCTION("""COMPUTED_VALUE"""),"MBOUDOU NKOU Zoé Madeleine")</f>
        <v>MBOUDOU NKOU Zoé Madeleine</v>
      </c>
      <c r="B378" s="1" t="str">
        <f ca="1">IFERROR(__xludf.DUMMYFUNCTION("""COMPUTED_VALUE"""),"MBOUDOU NKOU")</f>
        <v>MBOUDOU NKOU</v>
      </c>
      <c r="C378" s="1" t="str">
        <f ca="1">IFERROR(__xludf.DUMMYFUNCTION("""COMPUTED_VALUE"""),"Zoé Madeleine")</f>
        <v>Zoé Madeleine</v>
      </c>
      <c r="D378" s="1" t="str">
        <f ca="1">IFERROR(__xludf.DUMMYFUNCTION("""COMPUTED_VALUE"""),"11740S2429")</f>
        <v>11740S2429</v>
      </c>
      <c r="E378" s="2">
        <f ca="1">IFERROR(__xludf.DUMMYFUNCTION("""COMPUTED_VALUE"""),40495)</f>
        <v>40495</v>
      </c>
      <c r="F378" s="1" t="str">
        <f ca="1">IFERROR(__xludf.DUMMYFUNCTION("""COMPUTED_VALUE"""),"2NDE2")</f>
        <v>2NDE2</v>
      </c>
      <c r="G378" s="1" t="str">
        <f ca="1">IFERROR(__xludf.DUMMYFUNCTION("""COMPUTED_VALUE"""),"2nde")</f>
        <v>2nde</v>
      </c>
      <c r="H378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378" s="1" t="str">
        <f ca="1">IFERROR(__xludf.DUMMYFUNCTION("""COMPUTED_VALUE"""),"LVA Anglais")</f>
        <v>LVA Anglais</v>
      </c>
      <c r="J378" s="1" t="str">
        <f ca="1">IFERROR(__xludf.DUMMYFUNCTION("""COMPUTED_VALUE"""),"LVB Espagnol")</f>
        <v>LVB Espagnol</v>
      </c>
      <c r="K378" s="1"/>
      <c r="L378" s="1"/>
      <c r="M378" s="1"/>
      <c r="N378" s="1" t="str">
        <f ca="1">IFERROR(__xludf.DUMMYFUNCTION("""COMPUTED_VALUE"""),"Fille")</f>
        <v>Fille</v>
      </c>
      <c r="O378" s="1"/>
      <c r="P378" s="1" t="str">
        <f ca="1">IFERROR(__xludf.DUMMYFUNCTION("""COMPUTED_VALUE"""),"FRANCE")</f>
        <v>FRANCE</v>
      </c>
      <c r="Q378" s="1"/>
      <c r="R378" s="1" t="str">
        <f ca="1">IFERROR(__xludf.DUMMYFUNCTION("""COMPUTED_VALUE"""),"zoe.mboudounkou@lfjpsaly.org")</f>
        <v>zoe.mboudounkou@lfjpsaly.org</v>
      </c>
      <c r="S378" s="1" t="str">
        <f ca="1">IFERROR(__xludf.DUMMYFUNCTION("""COMPUTED_VALUE"""),"+221 78 431 00 53")</f>
        <v>+221 78 431 00 53</v>
      </c>
      <c r="T378" s="1" t="str">
        <f ca="1">IFERROR(__xludf.DUMMYFUNCTION("""COMPUTED_VALUE"""),"MBOUDOU Eric")</f>
        <v>MBOUDOU Eric</v>
      </c>
      <c r="U378" s="1" t="str">
        <f ca="1">IFERROR(__xludf.DUMMYFUNCTION("""COMPUTED_VALUE"""),"MARTELET Caroline")</f>
        <v>MARTELET Caroline</v>
      </c>
      <c r="V378" s="1" t="str">
        <f ca="1">IFERROR(__xludf.DUMMYFUNCTION("""COMPUTED_VALUE"""),"eric.mboudou@gmail.com")</f>
        <v>eric.mboudou@gmail.com</v>
      </c>
      <c r="W378" s="1" t="str">
        <f ca="1">IFERROR(__xludf.DUMMYFUNCTION("""COMPUTED_VALUE"""),"marteletcaroline@yahoo.fr")</f>
        <v>marteletcaroline@yahoo.fr</v>
      </c>
      <c r="X378" s="1" t="str">
        <f ca="1">IFERROR(__xludf.DUMMYFUNCTION("""COMPUTED_VALUE"""),"+221 78 710 31 81")</f>
        <v>+221 78 710 31 81</v>
      </c>
      <c r="Y378" s="1" t="str">
        <f ca="1">IFERROR(__xludf.DUMMYFUNCTION("""COMPUTED_VALUE"""),"+33 6 59 11 51 43")</f>
        <v>+33 6 59 11 51 43</v>
      </c>
      <c r="Z378" s="1" t="str">
        <f ca="1">IFERROR(__xludf.DUMMYFUNCTION("""COMPUTED_VALUE"""),"+33")</f>
        <v>+33</v>
      </c>
      <c r="AA378" s="1" t="str">
        <f ca="1">IFERROR(__xludf.DUMMYFUNCTION("""COMPUTED_VALUE"""),"+221")</f>
        <v>+221</v>
      </c>
      <c r="AB378" s="2">
        <f ca="1">IFERROR(__xludf.DUMMYFUNCTION("""COMPUTED_VALUE"""),28437)</f>
        <v>28437</v>
      </c>
      <c r="AC378" s="2">
        <f ca="1">IFERROR(__xludf.DUMMYFUNCTION("""COMPUTED_VALUE"""),30772)</f>
        <v>30772</v>
      </c>
      <c r="AD378" s="1" t="str">
        <f ca="1">IFERROR(__xludf.DUMMYFUNCTION("""COMPUTED_VALUE"""),"PERE")</f>
        <v>PERE</v>
      </c>
      <c r="AE378" s="1" t="str">
        <f ca="1">IFERROR(__xludf.DUMMYFUNCTION("""COMPUTED_VALUE"""),"MERE")</f>
        <v>MERE</v>
      </c>
      <c r="AF378" s="1" t="str">
        <f ca="1">IFERROR(__xludf.DUMMYFUNCTION("""COMPUTED_VALUE"""),"FRANCE")</f>
        <v>FRANCE</v>
      </c>
      <c r="AG378" s="1" t="str">
        <f ca="1">IFERROR(__xludf.DUMMYFUNCTION("""COMPUTED_VALUE"""),"FRANCE")</f>
        <v>FRANCE</v>
      </c>
      <c r="AH378" s="1"/>
      <c r="AI378" s="1"/>
      <c r="AJ378" s="1" t="str">
        <f ca="1">IFERROR(__xludf.DUMMYFUNCTION("""COMPUTED_VALUE"""),"U11740")</f>
        <v>U11740</v>
      </c>
      <c r="AK378" s="1" t="str">
        <f ca="1">IFERROR(__xludf.DUMMYFUNCTION("""COMPUTED_VALUE"""),"Pacsé(e)")</f>
        <v>Pacsé(e)</v>
      </c>
      <c r="AL378" s="1" t="str">
        <f ca="1">IFERROR(__xludf.DUMMYFUNCTION("""COMPUTED_VALUE"""),"CONCUBINAGE")</f>
        <v>CONCUBINAGE</v>
      </c>
      <c r="AM378" s="1" t="str">
        <f ca="1">IFERROR(__xludf.DUMMYFUNCTION("""COMPUTED_VALUE"""),"U11740")</f>
        <v>U11740</v>
      </c>
    </row>
    <row r="379" spans="1:39" ht="13" x14ac:dyDescent="0.15">
      <c r="A379" s="1" t="str">
        <f ca="1">IFERROR(__xludf.DUMMYFUNCTION("""COMPUTED_VALUE"""),"MBOUP Adam Fallou")</f>
        <v>MBOUP Adam Fallou</v>
      </c>
      <c r="B379" s="1" t="str">
        <f ca="1">IFERROR(__xludf.DUMMYFUNCTION("""COMPUTED_VALUE"""),"MBOUP")</f>
        <v>MBOUP</v>
      </c>
      <c r="C379" s="1" t="str">
        <f ca="1">IFERROR(__xludf.DUMMYFUNCTION("""COMPUTED_VALUE"""),"Adam Fallou")</f>
        <v>Adam Fallou</v>
      </c>
      <c r="D379" s="1" t="str">
        <f ca="1">IFERROR(__xludf.DUMMYFUNCTION("""COMPUTED_VALUE"""),"1441E1")</f>
        <v>1441E1</v>
      </c>
      <c r="E379" s="2">
        <f ca="1">IFERROR(__xludf.DUMMYFUNCTION("""COMPUTED_VALUE"""),40821)</f>
        <v>40821</v>
      </c>
      <c r="F379" s="1" t="str">
        <f ca="1">IFERROR(__xludf.DUMMYFUNCTION("""COMPUTED_VALUE"""),"3EME1")</f>
        <v>3EME1</v>
      </c>
      <c r="G379" s="1" t="str">
        <f ca="1">IFERROR(__xludf.DUMMYFUNCTION("""COMPUTED_VALUE"""),"3ème")</f>
        <v>3ème</v>
      </c>
      <c r="H379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379" s="1" t="str">
        <f ca="1">IFERROR(__xludf.DUMMYFUNCTION("""COMPUTED_VALUE"""),"LVA Anglais")</f>
        <v>LVA Anglais</v>
      </c>
      <c r="J379" s="1" t="str">
        <f ca="1">IFERROR(__xludf.DUMMYFUNCTION("""COMPUTED_VALUE"""),"LVB Espagnol")</f>
        <v>LVB Espagnol</v>
      </c>
      <c r="K379" s="1"/>
      <c r="L379" s="1"/>
      <c r="M379" s="1"/>
      <c r="N379" s="1" t="str">
        <f ca="1">IFERROR(__xludf.DUMMYFUNCTION("""COMPUTED_VALUE"""),"Garçon")</f>
        <v>Garçon</v>
      </c>
      <c r="O379" s="1"/>
      <c r="P379" s="1" t="str">
        <f ca="1">IFERROR(__xludf.DUMMYFUNCTION("""COMPUTED_VALUE"""),"FRANCE")</f>
        <v>FRANCE</v>
      </c>
      <c r="Q379" s="1" t="str">
        <f ca="1">IFERROR(__xludf.DUMMYFUNCTION("""COMPUTED_VALUE"""),"SENEGAL")</f>
        <v>SENEGAL</v>
      </c>
      <c r="R379" s="1" t="str">
        <f ca="1">IFERROR(__xludf.DUMMYFUNCTION("""COMPUTED_VALUE"""),"adam.mboup@lfjpsaly.org")</f>
        <v>adam.mboup@lfjpsaly.org</v>
      </c>
      <c r="S379" s="1"/>
      <c r="T379" s="1" t="str">
        <f ca="1">IFERROR(__xludf.DUMMYFUNCTION("""COMPUTED_VALUE"""),"MBOUP Nathalie")</f>
        <v>MBOUP Nathalie</v>
      </c>
      <c r="U379" s="1" t="str">
        <f ca="1">IFERROR(__xludf.DUMMYFUNCTION("""COMPUTED_VALUE"""),"MBOUP Modou")</f>
        <v>MBOUP Modou</v>
      </c>
      <c r="V379" s="1" t="str">
        <f ca="1">IFERROR(__xludf.DUMMYFUNCTION("""COMPUTED_VALUE"""),"nathalie.mboup@gmail.com")</f>
        <v>nathalie.mboup@gmail.com</v>
      </c>
      <c r="W379" s="1" t="str">
        <f ca="1">IFERROR(__xludf.DUMMYFUNCTION("""COMPUTED_VALUE"""),"nath_bosc@yahoo.fr")</f>
        <v>nath_bosc@yahoo.fr</v>
      </c>
      <c r="X379" s="1" t="str">
        <f ca="1">IFERROR(__xludf.DUMMYFUNCTION("""COMPUTED_VALUE"""),"+221 77 518 39 52")</f>
        <v>+221 77 518 39 52</v>
      </c>
      <c r="Y379" s="1" t="str">
        <f ca="1">IFERROR(__xludf.DUMMYFUNCTION("""COMPUTED_VALUE"""),"+221 78 540 37 75")</f>
        <v>+221 78 540 37 75</v>
      </c>
      <c r="Z379" s="1"/>
      <c r="AA379" s="1"/>
      <c r="AB379" s="2">
        <f ca="1">IFERROR(__xludf.DUMMYFUNCTION("""COMPUTED_VALUE"""),27062)</f>
        <v>27062</v>
      </c>
      <c r="AC379" s="2">
        <f ca="1">IFERROR(__xludf.DUMMYFUNCTION("""COMPUTED_VALUE"""),28273)</f>
        <v>28273</v>
      </c>
      <c r="AD379" s="1" t="str">
        <f ca="1">IFERROR(__xludf.DUMMYFUNCTION("""COMPUTED_VALUE"""),"MERE")</f>
        <v>MERE</v>
      </c>
      <c r="AE379" s="1" t="str">
        <f ca="1">IFERROR(__xludf.DUMMYFUNCTION("""COMPUTED_VALUE"""),"PERE")</f>
        <v>PERE</v>
      </c>
      <c r="AF379" s="1" t="str">
        <f ca="1">IFERROR(__xludf.DUMMYFUNCTION("""COMPUTED_VALUE"""),"FRANCE")</f>
        <v>FRANCE</v>
      </c>
      <c r="AG379" s="1" t="str">
        <f ca="1">IFERROR(__xludf.DUMMYFUNCTION("""COMPUTED_VALUE"""),"SENEGAL")</f>
        <v>SENEGAL</v>
      </c>
      <c r="AH379" s="1"/>
      <c r="AI379" s="1"/>
      <c r="AJ379" s="1" t="str">
        <f ca="1">IFERROR(__xludf.DUMMYFUNCTION("""COMPUTED_VALUE"""),"F1441")</f>
        <v>F1441</v>
      </c>
      <c r="AK379" s="1" t="str">
        <f ca="1">IFERROR(__xludf.DUMMYFUNCTION("""COMPUTED_VALUE"""),"Marié(e)")</f>
        <v>Marié(e)</v>
      </c>
      <c r="AL379" s="1" t="str">
        <f ca="1">IFERROR(__xludf.DUMMYFUNCTION("""COMPUTED_VALUE"""),"Marié(e)")</f>
        <v>Marié(e)</v>
      </c>
      <c r="AM379" s="1" t="str">
        <f ca="1">IFERROR(__xludf.DUMMYFUNCTION("""COMPUTED_VALUE"""),"F1441")</f>
        <v>F1441</v>
      </c>
    </row>
    <row r="380" spans="1:39" ht="13" x14ac:dyDescent="0.15">
      <c r="A380" s="1" t="str">
        <f ca="1">IFERROR(__xludf.DUMMYFUNCTION("""COMPUTED_VALUE"""),"MBOUP Amy")</f>
        <v>MBOUP Amy</v>
      </c>
      <c r="B380" s="1" t="str">
        <f ca="1">IFERROR(__xludf.DUMMYFUNCTION("""COMPUTED_VALUE"""),"MBOUP")</f>
        <v>MBOUP</v>
      </c>
      <c r="C380" s="1" t="str">
        <f ca="1">IFERROR(__xludf.DUMMYFUNCTION("""COMPUTED_VALUE"""),"Amy")</f>
        <v>Amy</v>
      </c>
      <c r="D380" s="1" t="str">
        <f ca="1">IFERROR(__xludf.DUMMYFUNCTION("""COMPUTED_VALUE"""),"1441E2")</f>
        <v>1441E2</v>
      </c>
      <c r="E380" s="2">
        <f ca="1">IFERROR(__xludf.DUMMYFUNCTION("""COMPUTED_VALUE"""),40107)</f>
        <v>40107</v>
      </c>
      <c r="F380" s="1" t="str">
        <f ca="1">IFERROR(__xludf.DUMMYFUNCTION("""COMPUTED_VALUE"""),"1ERE2")</f>
        <v>1ERE2</v>
      </c>
      <c r="G380" s="1" t="str">
        <f ca="1">IFERROR(__xludf.DUMMYFUNCTION("""COMPUTED_VALUE"""),"1ère")</f>
        <v>1ère</v>
      </c>
      <c r="H380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380" s="1" t="str">
        <f ca="1">IFERROR(__xludf.DUMMYFUNCTION("""COMPUTED_VALUE"""),"LVA Anglais")</f>
        <v>LVA Anglais</v>
      </c>
      <c r="J380" s="1" t="str">
        <f ca="1">IFERROR(__xludf.DUMMYFUNCTION("""COMPUTED_VALUE"""),"LVB Espagnol")</f>
        <v>LVB Espagnol</v>
      </c>
      <c r="K380" s="1"/>
      <c r="L380" s="1"/>
      <c r="M380" s="1" t="str">
        <f ca="1">IFERROR(__xludf.DUMMYFUNCTION("""COMPUTED_VALUE"""),"SPE MATHS, SPE SES, SPE SVT")</f>
        <v>SPE MATHS, SPE SES, SPE SVT</v>
      </c>
      <c r="N380" s="1" t="str">
        <f ca="1">IFERROR(__xludf.DUMMYFUNCTION("""COMPUTED_VALUE"""),"Fille")</f>
        <v>Fille</v>
      </c>
      <c r="O380" s="1"/>
      <c r="P380" s="1" t="str">
        <f ca="1">IFERROR(__xludf.DUMMYFUNCTION("""COMPUTED_VALUE"""),"FRANCE")</f>
        <v>FRANCE</v>
      </c>
      <c r="Q380" s="1" t="str">
        <f ca="1">IFERROR(__xludf.DUMMYFUNCTION("""COMPUTED_VALUE"""),"SENEGAL")</f>
        <v>SENEGAL</v>
      </c>
      <c r="R380" s="1" t="str">
        <f ca="1">IFERROR(__xludf.DUMMYFUNCTION("""COMPUTED_VALUE"""),"amy.mboup@lfjpsaly.org")</f>
        <v>amy.mboup@lfjpsaly.org</v>
      </c>
      <c r="S380" s="1" t="str">
        <f ca="1">IFERROR(__xludf.DUMMYFUNCTION("""COMPUTED_VALUE"""),"+221 78 461 56 45")</f>
        <v>+221 78 461 56 45</v>
      </c>
      <c r="T380" s="1" t="str">
        <f ca="1">IFERROR(__xludf.DUMMYFUNCTION("""COMPUTED_VALUE"""),"MBOUP Nathalie")</f>
        <v>MBOUP Nathalie</v>
      </c>
      <c r="U380" s="1" t="str">
        <f ca="1">IFERROR(__xludf.DUMMYFUNCTION("""COMPUTED_VALUE"""),"MBOUP Modou")</f>
        <v>MBOUP Modou</v>
      </c>
      <c r="V380" s="1" t="str">
        <f ca="1">IFERROR(__xludf.DUMMYFUNCTION("""COMPUTED_VALUE"""),"nathalie.mboup@gmail.com")</f>
        <v>nathalie.mboup@gmail.com</v>
      </c>
      <c r="W380" s="1" t="str">
        <f ca="1">IFERROR(__xludf.DUMMYFUNCTION("""COMPUTED_VALUE"""),"nath_bosc@yahoo.fr")</f>
        <v>nath_bosc@yahoo.fr</v>
      </c>
      <c r="X380" s="1" t="str">
        <f ca="1">IFERROR(__xludf.DUMMYFUNCTION("""COMPUTED_VALUE"""),"+221 77 518 39 52")</f>
        <v>+221 77 518 39 52</v>
      </c>
      <c r="Y380" s="1" t="str">
        <f ca="1">IFERROR(__xludf.DUMMYFUNCTION("""COMPUTED_VALUE"""),"+221 78 540 37 75")</f>
        <v>+221 78 540 37 75</v>
      </c>
      <c r="Z380" s="1"/>
      <c r="AA380" s="1"/>
      <c r="AB380" s="2">
        <f ca="1">IFERROR(__xludf.DUMMYFUNCTION("""COMPUTED_VALUE"""),27062)</f>
        <v>27062</v>
      </c>
      <c r="AC380" s="2">
        <f ca="1">IFERROR(__xludf.DUMMYFUNCTION("""COMPUTED_VALUE"""),28273)</f>
        <v>28273</v>
      </c>
      <c r="AD380" s="1" t="str">
        <f ca="1">IFERROR(__xludf.DUMMYFUNCTION("""COMPUTED_VALUE"""),"MERE")</f>
        <v>MERE</v>
      </c>
      <c r="AE380" s="1" t="str">
        <f ca="1">IFERROR(__xludf.DUMMYFUNCTION("""COMPUTED_VALUE"""),"MERE")</f>
        <v>MERE</v>
      </c>
      <c r="AF380" s="1" t="str">
        <f ca="1">IFERROR(__xludf.DUMMYFUNCTION("""COMPUTED_VALUE"""),"FRANCE")</f>
        <v>FRANCE</v>
      </c>
      <c r="AG380" s="1" t="str">
        <f ca="1">IFERROR(__xludf.DUMMYFUNCTION("""COMPUTED_VALUE"""),"SENEGAL")</f>
        <v>SENEGAL</v>
      </c>
      <c r="AH380" s="1"/>
      <c r="AI380" s="1"/>
      <c r="AJ380" s="1" t="str">
        <f ca="1">IFERROR(__xludf.DUMMYFUNCTION("""COMPUTED_VALUE"""),"F1441")</f>
        <v>F1441</v>
      </c>
      <c r="AK380" s="1" t="str">
        <f ca="1">IFERROR(__xludf.DUMMYFUNCTION("""COMPUTED_VALUE"""),"Marié(e)")</f>
        <v>Marié(e)</v>
      </c>
      <c r="AL380" s="1" t="str">
        <f ca="1">IFERROR(__xludf.DUMMYFUNCTION("""COMPUTED_VALUE"""),"Marié(e)")</f>
        <v>Marié(e)</v>
      </c>
      <c r="AM380" s="1" t="str">
        <f ca="1">IFERROR(__xludf.DUMMYFUNCTION("""COMPUTED_VALUE"""),"F1441")</f>
        <v>F1441</v>
      </c>
    </row>
    <row r="381" spans="1:39" ht="13" x14ac:dyDescent="0.15">
      <c r="A381" s="1" t="str">
        <f ca="1">IFERROR(__xludf.DUMMYFUNCTION("""COMPUTED_VALUE"""),"MBOUP Mame Diarra")</f>
        <v>MBOUP Mame Diarra</v>
      </c>
      <c r="B381" s="1" t="str">
        <f ca="1">IFERROR(__xludf.DUMMYFUNCTION("""COMPUTED_VALUE"""),"MBOUP")</f>
        <v>MBOUP</v>
      </c>
      <c r="C381" s="1" t="str">
        <f ca="1">IFERROR(__xludf.DUMMYFUNCTION("""COMPUTED_VALUE"""),"Mame Diarra")</f>
        <v>Mame Diarra</v>
      </c>
      <c r="D381" s="1" t="str">
        <f ca="1">IFERROR(__xludf.DUMMYFUNCTION("""COMPUTED_VALUE"""),"1442E1")</f>
        <v>1442E1</v>
      </c>
      <c r="E381" s="2">
        <f ca="1">IFERROR(__xludf.DUMMYFUNCTION("""COMPUTED_VALUE"""),40153)</f>
        <v>40153</v>
      </c>
      <c r="F381" s="1" t="str">
        <f ca="1">IFERROR(__xludf.DUMMYFUNCTION("""COMPUTED_VALUE"""),"TERMINALE2")</f>
        <v>TERMINALE2</v>
      </c>
      <c r="G381" s="1" t="str">
        <f ca="1">IFERROR(__xludf.DUMMYFUNCTION("""COMPUTED_VALUE"""),"Terminale")</f>
        <v>Terminale</v>
      </c>
      <c r="H381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381" s="1" t="str">
        <f ca="1">IFERROR(__xludf.DUMMYFUNCTION("""COMPUTED_VALUE"""),"LVA Anglais")</f>
        <v>LVA Anglais</v>
      </c>
      <c r="J381" s="1" t="str">
        <f ca="1">IFERROR(__xludf.DUMMYFUNCTION("""COMPUTED_VALUE"""),"LVB Espagnol")</f>
        <v>LVB Espagnol</v>
      </c>
      <c r="K381" s="1"/>
      <c r="L381" s="1"/>
      <c r="M381" s="1" t="str">
        <f ca="1">IFERROR(__xludf.DUMMYFUNCTION("""COMPUTED_VALUE"""),"SPE LLCE AMC, SPE SES")</f>
        <v>SPE LLCE AMC, SPE SES</v>
      </c>
      <c r="N381" s="1" t="str">
        <f ca="1">IFERROR(__xludf.DUMMYFUNCTION("""COMPUTED_VALUE"""),"Fille")</f>
        <v>Fille</v>
      </c>
      <c r="O381" s="1"/>
      <c r="P381" s="1" t="str">
        <f ca="1">IFERROR(__xludf.DUMMYFUNCTION("""COMPUTED_VALUE"""),"SENEGAL")</f>
        <v>SENEGAL</v>
      </c>
      <c r="Q381" s="1" t="str">
        <f ca="1">IFERROR(__xludf.DUMMYFUNCTION("""COMPUTED_VALUE"""),"COTE D'IVOIRE")</f>
        <v>COTE D'IVOIRE</v>
      </c>
      <c r="R381" s="1" t="str">
        <f ca="1">IFERROR(__xludf.DUMMYFUNCTION("""COMPUTED_VALUE"""),"mamediarra.mboup@lfjpsaly.org")</f>
        <v>mamediarra.mboup@lfjpsaly.org</v>
      </c>
      <c r="S381" s="1"/>
      <c r="T381" s="1" t="str">
        <f ca="1">IFERROR(__xludf.DUMMYFUNCTION("""COMPUTED_VALUE"""),"MBOUP Bec")</f>
        <v>MBOUP Bec</v>
      </c>
      <c r="U381" s="1" t="str">
        <f ca="1">IFERROR(__xludf.DUMMYFUNCTION("""COMPUTED_VALUE"""),"MBOUP Aïssatou")</f>
        <v>MBOUP Aïssatou</v>
      </c>
      <c r="V381" s="1" t="str">
        <f ca="1">IFERROR(__xludf.DUMMYFUNCTION("""COMPUTED_VALUE"""),"mboup7069@gmail.com")</f>
        <v>mboup7069@gmail.com</v>
      </c>
      <c r="W381" s="1" t="str">
        <f ca="1">IFERROR(__xludf.DUMMYFUNCTION("""COMPUTED_VALUE"""),"mboupmaissatou@gmail.com")</f>
        <v>mboupmaissatou@gmail.com</v>
      </c>
      <c r="X381" s="1" t="str">
        <f ca="1">IFERROR(__xludf.DUMMYFUNCTION("""COMPUTED_VALUE"""),"+221 77 644 96 12")</f>
        <v>+221 77 644 96 12</v>
      </c>
      <c r="Y381" s="1" t="str">
        <f ca="1">IFERROR(__xludf.DUMMYFUNCTION("""COMPUTED_VALUE"""),"+221 78 472 03 34")</f>
        <v>+221 78 472 03 34</v>
      </c>
      <c r="Z381" s="1"/>
      <c r="AA381" s="1" t="str">
        <f ca="1">IFERROR(__xludf.DUMMYFUNCTION("""COMPUTED_VALUE"""),"+221 77 215 50 36")</f>
        <v>+221 77 215 50 36</v>
      </c>
      <c r="AB381" s="2">
        <f ca="1">IFERROR(__xludf.DUMMYFUNCTION("""COMPUTED_VALUE"""),25824)</f>
        <v>25824</v>
      </c>
      <c r="AC381" s="2">
        <f ca="1">IFERROR(__xludf.DUMMYFUNCTION("""COMPUTED_VALUE"""),31768)</f>
        <v>31768</v>
      </c>
      <c r="AD381" s="1" t="str">
        <f ca="1">IFERROR(__xludf.DUMMYFUNCTION("""COMPUTED_VALUE"""),"PERE")</f>
        <v>PERE</v>
      </c>
      <c r="AE381" s="1" t="str">
        <f ca="1">IFERROR(__xludf.DUMMYFUNCTION("""COMPUTED_VALUE"""),"MERE")</f>
        <v>MERE</v>
      </c>
      <c r="AF381" s="1" t="str">
        <f ca="1">IFERROR(__xludf.DUMMYFUNCTION("""COMPUTED_VALUE"""),"SENEGAL")</f>
        <v>SENEGAL</v>
      </c>
      <c r="AG381" s="1" t="str">
        <f ca="1">IFERROR(__xludf.DUMMYFUNCTION("""COMPUTED_VALUE"""),"SENEGAL")</f>
        <v>SENEGAL</v>
      </c>
      <c r="AH381" s="1" t="str">
        <f ca="1">IFERROR(__xludf.DUMMYFUNCTION("""COMPUTED_VALUE"""),"PAYS-BAS")</f>
        <v>PAYS-BAS</v>
      </c>
      <c r="AI381" s="1"/>
      <c r="AJ381" s="1" t="str">
        <f ca="1">IFERROR(__xludf.DUMMYFUNCTION("""COMPUTED_VALUE"""),"F1442")</f>
        <v>F1442</v>
      </c>
      <c r="AK381" s="1" t="str">
        <f ca="1">IFERROR(__xludf.DUMMYFUNCTION("""COMPUTED_VALUE"""),"Marié(e)")</f>
        <v>Marié(e)</v>
      </c>
      <c r="AL381" s="1" t="str">
        <f ca="1">IFERROR(__xludf.DUMMYFUNCTION("""COMPUTED_VALUE"""),"Marié(e)")</f>
        <v>Marié(e)</v>
      </c>
      <c r="AM381" s="1" t="str">
        <f ca="1">IFERROR(__xludf.DUMMYFUNCTION("""COMPUTED_VALUE"""),"F1442")</f>
        <v>F1442</v>
      </c>
    </row>
    <row r="382" spans="1:39" ht="13" x14ac:dyDescent="0.15">
      <c r="A382" s="1" t="str">
        <f ca="1">IFERROR(__xludf.DUMMYFUNCTION("""COMPUTED_VALUE"""),"MBOW Aïssatou")</f>
        <v>MBOW Aïssatou</v>
      </c>
      <c r="B382" s="1" t="str">
        <f ca="1">IFERROR(__xludf.DUMMYFUNCTION("""COMPUTED_VALUE"""),"MBOW")</f>
        <v>MBOW</v>
      </c>
      <c r="C382" s="1" t="str">
        <f ca="1">IFERROR(__xludf.DUMMYFUNCTION("""COMPUTED_VALUE"""),"Aïssatou")</f>
        <v>Aïssatou</v>
      </c>
      <c r="D382" s="1" t="str">
        <f ca="1">IFERROR(__xludf.DUMMYFUNCTION("""COMPUTED_VALUE"""),"1444E1")</f>
        <v>1444E1</v>
      </c>
      <c r="E382" s="2">
        <f ca="1">IFERROR(__xludf.DUMMYFUNCTION("""COMPUTED_VALUE"""),40730)</f>
        <v>40730</v>
      </c>
      <c r="F382" s="1" t="str">
        <f ca="1">IFERROR(__xludf.DUMMYFUNCTION("""COMPUTED_VALUE"""),"3EME2")</f>
        <v>3EME2</v>
      </c>
      <c r="G382" s="1" t="str">
        <f ca="1">IFERROR(__xludf.DUMMYFUNCTION("""COMPUTED_VALUE"""),"3ème")</f>
        <v>3ème</v>
      </c>
      <c r="H382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382" s="1" t="str">
        <f ca="1">IFERROR(__xludf.DUMMYFUNCTION("""COMPUTED_VALUE"""),"LVA Anglais")</f>
        <v>LVA Anglais</v>
      </c>
      <c r="J382" s="1" t="str">
        <f ca="1">IFERROR(__xludf.DUMMYFUNCTION("""COMPUTED_VALUE"""),"LVB Espagnol")</f>
        <v>LVB Espagnol</v>
      </c>
      <c r="K382" s="1"/>
      <c r="L382" s="1"/>
      <c r="M382" s="1"/>
      <c r="N382" s="1" t="str">
        <f ca="1">IFERROR(__xludf.DUMMYFUNCTION("""COMPUTED_VALUE"""),"Fille")</f>
        <v>Fille</v>
      </c>
      <c r="O382" s="1"/>
      <c r="P382" s="1" t="str">
        <f ca="1">IFERROR(__xludf.DUMMYFUNCTION("""COMPUTED_VALUE"""),"SENEGAL")</f>
        <v>SENEGAL</v>
      </c>
      <c r="Q382" s="1"/>
      <c r="R382" s="1" t="str">
        <f ca="1">IFERROR(__xludf.DUMMYFUNCTION("""COMPUTED_VALUE"""),"aissatou.mbow@lfjpsaly.org")</f>
        <v>aissatou.mbow@lfjpsaly.org</v>
      </c>
      <c r="S382" s="1"/>
      <c r="T382" s="1" t="str">
        <f ca="1">IFERROR(__xludf.DUMMYFUNCTION("""COMPUTED_VALUE"""),"MBOW Ndeye Sokhna")</f>
        <v>MBOW Ndeye Sokhna</v>
      </c>
      <c r="U382" s="1" t="str">
        <f ca="1">IFERROR(__xludf.DUMMYFUNCTION("""COMPUTED_VALUE"""),"MBOW Papa")</f>
        <v>MBOW Papa</v>
      </c>
      <c r="V382" s="1" t="str">
        <f ca="1">IFERROR(__xludf.DUMMYFUNCTION("""COMPUTED_VALUE"""),"adjisokhna12@yahoo.fr")</f>
        <v>adjisokhna12@yahoo.fr</v>
      </c>
      <c r="W382" s="1" t="str">
        <f ca="1">IFERROR(__xludf.DUMMYFUNCTION("""COMPUTED_VALUE"""),"pmbow@hotmail.com")</f>
        <v>pmbow@hotmail.com</v>
      </c>
      <c r="X382" s="1" t="str">
        <f ca="1">IFERROR(__xludf.DUMMYFUNCTION("""COMPUTED_VALUE"""),"+221 77 540 83 76")</f>
        <v>+221 77 540 83 76</v>
      </c>
      <c r="Y382" s="1" t="str">
        <f ca="1">IFERROR(__xludf.DUMMYFUNCTION("""COMPUTED_VALUE"""),"+221 77 332 15 83")</f>
        <v>+221 77 332 15 83</v>
      </c>
      <c r="Z382" s="1" t="str">
        <f ca="1">IFERROR(__xludf.DUMMYFUNCTION("""COMPUTED_VALUE"""),"+221")</f>
        <v>+221</v>
      </c>
      <c r="AA382" s="1" t="str">
        <f ca="1">IFERROR(__xludf.DUMMYFUNCTION("""COMPUTED_VALUE"""),"+221")</f>
        <v>+221</v>
      </c>
      <c r="AB382" s="2">
        <f ca="1">IFERROR(__xludf.DUMMYFUNCTION("""COMPUTED_VALUE"""),27282)</f>
        <v>27282</v>
      </c>
      <c r="AC382" s="2">
        <f ca="1">IFERROR(__xludf.DUMMYFUNCTION("""COMPUTED_VALUE"""),26830)</f>
        <v>26830</v>
      </c>
      <c r="AD382" s="1" t="str">
        <f ca="1">IFERROR(__xludf.DUMMYFUNCTION("""COMPUTED_VALUE"""),"MERE")</f>
        <v>MERE</v>
      </c>
      <c r="AE382" s="1" t="str">
        <f ca="1">IFERROR(__xludf.DUMMYFUNCTION("""COMPUTED_VALUE"""),"PERE")</f>
        <v>PERE</v>
      </c>
      <c r="AF382" s="1" t="str">
        <f ca="1">IFERROR(__xludf.DUMMYFUNCTION("""COMPUTED_VALUE"""),"SENEGAL")</f>
        <v>SENEGAL</v>
      </c>
      <c r="AG382" s="1" t="str">
        <f ca="1">IFERROR(__xludf.DUMMYFUNCTION("""COMPUTED_VALUE"""),"SENEGAL")</f>
        <v>SENEGAL</v>
      </c>
      <c r="AH382" s="1"/>
      <c r="AI382" s="1"/>
      <c r="AJ382" s="1" t="str">
        <f ca="1">IFERROR(__xludf.DUMMYFUNCTION("""COMPUTED_VALUE"""),"F1444")</f>
        <v>F1444</v>
      </c>
      <c r="AK382" s="1" t="str">
        <f ca="1">IFERROR(__xludf.DUMMYFUNCTION("""COMPUTED_VALUE"""),"Marié(e)")</f>
        <v>Marié(e)</v>
      </c>
      <c r="AL382" s="1" t="str">
        <f ca="1">IFERROR(__xludf.DUMMYFUNCTION("""COMPUTED_VALUE"""),"Marié(e)")</f>
        <v>Marié(e)</v>
      </c>
      <c r="AM382" s="1" t="str">
        <f ca="1">IFERROR(__xludf.DUMMYFUNCTION("""COMPUTED_VALUE"""),"F1444")</f>
        <v>F1444</v>
      </c>
    </row>
    <row r="383" spans="1:39" ht="13" x14ac:dyDescent="0.15">
      <c r="A383" s="1" t="str">
        <f ca="1">IFERROR(__xludf.DUMMYFUNCTION("""COMPUTED_VALUE"""),"MBOW Ramatoulaye")</f>
        <v>MBOW Ramatoulaye</v>
      </c>
      <c r="B383" s="1" t="str">
        <f ca="1">IFERROR(__xludf.DUMMYFUNCTION("""COMPUTED_VALUE"""),"MBOW")</f>
        <v>MBOW</v>
      </c>
      <c r="C383" s="1" t="str">
        <f ca="1">IFERROR(__xludf.DUMMYFUNCTION("""COMPUTED_VALUE"""),"Ramatoulaye")</f>
        <v>Ramatoulaye</v>
      </c>
      <c r="D383" s="1" t="str">
        <f ca="1">IFERROR(__xludf.DUMMYFUNCTION("""COMPUTED_VALUE"""),"1444E2")</f>
        <v>1444E2</v>
      </c>
      <c r="E383" s="2">
        <f ca="1">IFERROR(__xludf.DUMMYFUNCTION("""COMPUTED_VALUE"""),39430)</f>
        <v>39430</v>
      </c>
      <c r="F383" s="1" t="str">
        <f ca="1">IFERROR(__xludf.DUMMYFUNCTION("""COMPUTED_VALUE"""),"TERMINALE1")</f>
        <v>TERMINALE1</v>
      </c>
      <c r="G383" s="1" t="str">
        <f ca="1">IFERROR(__xludf.DUMMYFUNCTION("""COMPUTED_VALUE"""),"Terminale")</f>
        <v>Terminale</v>
      </c>
      <c r="H383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383" s="1" t="str">
        <f ca="1">IFERROR(__xludf.DUMMYFUNCTION("""COMPUTED_VALUE"""),"LVA Anglais")</f>
        <v>LVA Anglais</v>
      </c>
      <c r="J383" s="1" t="str">
        <f ca="1">IFERROR(__xludf.DUMMYFUNCTION("""COMPUTED_VALUE"""),"LVB Espagnol")</f>
        <v>LVB Espagnol</v>
      </c>
      <c r="K383" s="1"/>
      <c r="L383" s="1"/>
      <c r="M383" s="1" t="str">
        <f ca="1">IFERROR(__xludf.DUMMYFUNCTION("""COMPUTED_VALUE"""),"SPE SPC, SPE SVT")</f>
        <v>SPE SPC, SPE SVT</v>
      </c>
      <c r="N383" s="1" t="str">
        <f ca="1">IFERROR(__xludf.DUMMYFUNCTION("""COMPUTED_VALUE"""),"Fille")</f>
        <v>Fille</v>
      </c>
      <c r="O383" s="1"/>
      <c r="P383" s="1" t="str">
        <f ca="1">IFERROR(__xludf.DUMMYFUNCTION("""COMPUTED_VALUE"""),"SENEGAL")</f>
        <v>SENEGAL</v>
      </c>
      <c r="Q383" s="1"/>
      <c r="R383" s="1" t="str">
        <f ca="1">IFERROR(__xludf.DUMMYFUNCTION("""COMPUTED_VALUE"""),"ramatoulaye.mbow@lfjpsaly.org")</f>
        <v>ramatoulaye.mbow@lfjpsaly.org</v>
      </c>
      <c r="S383" s="1"/>
      <c r="T383" s="1" t="str">
        <f ca="1">IFERROR(__xludf.DUMMYFUNCTION("""COMPUTED_VALUE"""),"MBOW Ndeye Sokhna")</f>
        <v>MBOW Ndeye Sokhna</v>
      </c>
      <c r="U383" s="1" t="str">
        <f ca="1">IFERROR(__xludf.DUMMYFUNCTION("""COMPUTED_VALUE"""),"MBOW Papa")</f>
        <v>MBOW Papa</v>
      </c>
      <c r="V383" s="1" t="str">
        <f ca="1">IFERROR(__xludf.DUMMYFUNCTION("""COMPUTED_VALUE"""),"adjisokhna12@yahoo.fr")</f>
        <v>adjisokhna12@yahoo.fr</v>
      </c>
      <c r="W383" s="1" t="str">
        <f ca="1">IFERROR(__xludf.DUMMYFUNCTION("""COMPUTED_VALUE"""),"pmbow@hotmail.com")</f>
        <v>pmbow@hotmail.com</v>
      </c>
      <c r="X383" s="1" t="str">
        <f ca="1">IFERROR(__xludf.DUMMYFUNCTION("""COMPUTED_VALUE"""),"+221 77 540 83 76")</f>
        <v>+221 77 540 83 76</v>
      </c>
      <c r="Y383" s="1" t="str">
        <f ca="1">IFERROR(__xludf.DUMMYFUNCTION("""COMPUTED_VALUE"""),"+221 77 332 15 83")</f>
        <v>+221 77 332 15 83</v>
      </c>
      <c r="Z383" s="1" t="str">
        <f ca="1">IFERROR(__xludf.DUMMYFUNCTION("""COMPUTED_VALUE"""),"+221")</f>
        <v>+221</v>
      </c>
      <c r="AA383" s="1" t="str">
        <f ca="1">IFERROR(__xludf.DUMMYFUNCTION("""COMPUTED_VALUE"""),"+221")</f>
        <v>+221</v>
      </c>
      <c r="AB383" s="2">
        <f ca="1">IFERROR(__xludf.DUMMYFUNCTION("""COMPUTED_VALUE"""),27282)</f>
        <v>27282</v>
      </c>
      <c r="AC383" s="2">
        <f ca="1">IFERROR(__xludf.DUMMYFUNCTION("""COMPUTED_VALUE"""),26830)</f>
        <v>26830</v>
      </c>
      <c r="AD383" s="1" t="str">
        <f ca="1">IFERROR(__xludf.DUMMYFUNCTION("""COMPUTED_VALUE"""),"MERE")</f>
        <v>MERE</v>
      </c>
      <c r="AE383" s="1" t="str">
        <f ca="1">IFERROR(__xludf.DUMMYFUNCTION("""COMPUTED_VALUE"""),"PERE")</f>
        <v>PERE</v>
      </c>
      <c r="AF383" s="1" t="str">
        <f ca="1">IFERROR(__xludf.DUMMYFUNCTION("""COMPUTED_VALUE"""),"SENEGAL")</f>
        <v>SENEGAL</v>
      </c>
      <c r="AG383" s="1" t="str">
        <f ca="1">IFERROR(__xludf.DUMMYFUNCTION("""COMPUTED_VALUE"""),"SENEGAL")</f>
        <v>SENEGAL</v>
      </c>
      <c r="AH383" s="1"/>
      <c r="AI383" s="1"/>
      <c r="AJ383" s="1" t="str">
        <f ca="1">IFERROR(__xludf.DUMMYFUNCTION("""COMPUTED_VALUE"""),"F1444")</f>
        <v>F1444</v>
      </c>
      <c r="AK383" s="1" t="str">
        <f ca="1">IFERROR(__xludf.DUMMYFUNCTION("""COMPUTED_VALUE"""),"Marié(e)")</f>
        <v>Marié(e)</v>
      </c>
      <c r="AL383" s="1" t="str">
        <f ca="1">IFERROR(__xludf.DUMMYFUNCTION("""COMPUTED_VALUE"""),"Marié(e)")</f>
        <v>Marié(e)</v>
      </c>
      <c r="AM383" s="1" t="str">
        <f ca="1">IFERROR(__xludf.DUMMYFUNCTION("""COMPUTED_VALUE"""),"F1444")</f>
        <v>F1444</v>
      </c>
    </row>
    <row r="384" spans="1:39" ht="13" x14ac:dyDescent="0.15">
      <c r="A384" s="1" t="str">
        <f ca="1">IFERROR(__xludf.DUMMYFUNCTION("""COMPUTED_VALUE"""),"MELHEM Asma")</f>
        <v>MELHEM Asma</v>
      </c>
      <c r="B384" s="1" t="str">
        <f ca="1">IFERROR(__xludf.DUMMYFUNCTION("""COMPUTED_VALUE"""),"MELHEM")</f>
        <v>MELHEM</v>
      </c>
      <c r="C384" s="1" t="str">
        <f ca="1">IFERROR(__xludf.DUMMYFUNCTION("""COMPUTED_VALUE"""),"Asma")</f>
        <v>Asma</v>
      </c>
      <c r="D384" s="1" t="str">
        <f ca="1">IFERROR(__xludf.DUMMYFUNCTION("""COMPUTED_VALUE"""),"1445E2")</f>
        <v>1445E2</v>
      </c>
      <c r="E384" s="2">
        <f ca="1">IFERROR(__xludf.DUMMYFUNCTION("""COMPUTED_VALUE"""),42137)</f>
        <v>42137</v>
      </c>
      <c r="F384" s="1" t="str">
        <f ca="1">IFERROR(__xludf.DUMMYFUNCTION("""COMPUTED_VALUE"""),"CM2A")</f>
        <v>CM2A</v>
      </c>
      <c r="G384" s="1" t="str">
        <f ca="1">IFERROR(__xludf.DUMMYFUNCTION("""COMPUTED_VALUE"""),"CM2")</f>
        <v>CM2</v>
      </c>
      <c r="H384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384" s="1"/>
      <c r="J384" s="1"/>
      <c r="K384" s="1"/>
      <c r="L384" s="1"/>
      <c r="M384" s="1"/>
      <c r="N384" s="1" t="str">
        <f ca="1">IFERROR(__xludf.DUMMYFUNCTION("""COMPUTED_VALUE"""),"Fille")</f>
        <v>Fille</v>
      </c>
      <c r="O384" s="1"/>
      <c r="P384" s="1" t="str">
        <f ca="1">IFERROR(__xludf.DUMMYFUNCTION("""COMPUTED_VALUE"""),"FRANCE")</f>
        <v>FRANCE</v>
      </c>
      <c r="Q384" s="1" t="str">
        <f ca="1">IFERROR(__xludf.DUMMYFUNCTION("""COMPUTED_VALUE"""),"SENEGAL")</f>
        <v>SENEGAL</v>
      </c>
      <c r="R384" s="1"/>
      <c r="S384" s="1" t="str">
        <f ca="1">IFERROR(__xludf.DUMMYFUNCTION("""COMPUTED_VALUE"""),"+221 77 550 37 07")</f>
        <v>+221 77 550 37 07</v>
      </c>
      <c r="T384" s="1" t="str">
        <f ca="1">IFERROR(__xludf.DUMMYFUNCTION("""COMPUTED_VALUE"""),"MELHEM Aziza")</f>
        <v>MELHEM Aziza</v>
      </c>
      <c r="U384" s="1" t="str">
        <f ca="1">IFERROR(__xludf.DUMMYFUNCTION("""COMPUTED_VALUE"""),"MELHEM Mohamed")</f>
        <v>MELHEM Mohamed</v>
      </c>
      <c r="V384" s="1" t="str">
        <f ca="1">IFERROR(__xludf.DUMMYFUNCTION("""COMPUTED_VALUE"""),"azizounette@hotmail.com")</f>
        <v>azizounette@hotmail.com</v>
      </c>
      <c r="W384" s="1" t="str">
        <f ca="1">IFERROR(__xludf.DUMMYFUNCTION("""COMPUTED_VALUE"""),"momelhem@hotmail.com")</f>
        <v>momelhem@hotmail.com</v>
      </c>
      <c r="X384" s="1" t="str">
        <f ca="1">IFERROR(__xludf.DUMMYFUNCTION("""COMPUTED_VALUE"""),"+221 77 645 92 81")</f>
        <v>+221 77 645 92 81</v>
      </c>
      <c r="Y384" s="1" t="str">
        <f ca="1">IFERROR(__xludf.DUMMYFUNCTION("""COMPUTED_VALUE"""),"+221 77 550 37 07")</f>
        <v>+221 77 550 37 07</v>
      </c>
      <c r="Z384" s="1" t="str">
        <f ca="1">IFERROR(__xludf.DUMMYFUNCTION("""COMPUTED_VALUE"""),"+221 77 645 92 81")</f>
        <v>+221 77 645 92 81</v>
      </c>
      <c r="AA384" s="1" t="str">
        <f ca="1">IFERROR(__xludf.DUMMYFUNCTION("""COMPUTED_VALUE"""),"+221 77 550 37 07")</f>
        <v>+221 77 550 37 07</v>
      </c>
      <c r="AB384" s="2">
        <f ca="1">IFERROR(__xludf.DUMMYFUNCTION("""COMPUTED_VALUE"""),30197)</f>
        <v>30197</v>
      </c>
      <c r="AC384" s="2">
        <f ca="1">IFERROR(__xludf.DUMMYFUNCTION("""COMPUTED_VALUE"""),27975)</f>
        <v>27975</v>
      </c>
      <c r="AD384" s="1" t="str">
        <f ca="1">IFERROR(__xludf.DUMMYFUNCTION("""COMPUTED_VALUE"""),"MERE")</f>
        <v>MERE</v>
      </c>
      <c r="AE384" s="1" t="str">
        <f ca="1">IFERROR(__xludf.DUMMYFUNCTION("""COMPUTED_VALUE"""),"PERE")</f>
        <v>PERE</v>
      </c>
      <c r="AF384" s="1" t="str">
        <f ca="1">IFERROR(__xludf.DUMMYFUNCTION("""COMPUTED_VALUE"""),"FRANCE")</f>
        <v>FRANCE</v>
      </c>
      <c r="AG384" s="1" t="str">
        <f ca="1">IFERROR(__xludf.DUMMYFUNCTION("""COMPUTED_VALUE"""),"SENEGAL")</f>
        <v>SENEGAL</v>
      </c>
      <c r="AH384" s="1"/>
      <c r="AI384" s="1"/>
      <c r="AJ384" s="1" t="str">
        <f ca="1">IFERROR(__xludf.DUMMYFUNCTION("""COMPUTED_VALUE"""),"F1445")</f>
        <v>F1445</v>
      </c>
      <c r="AK384" s="1" t="str">
        <f ca="1">IFERROR(__xludf.DUMMYFUNCTION("""COMPUTED_VALUE"""),"Marié(e)")</f>
        <v>Marié(e)</v>
      </c>
      <c r="AL384" s="1" t="str">
        <f ca="1">IFERROR(__xludf.DUMMYFUNCTION("""COMPUTED_VALUE"""),"Marié(e)")</f>
        <v>Marié(e)</v>
      </c>
      <c r="AM384" s="1" t="str">
        <f ca="1">IFERROR(__xludf.DUMMYFUNCTION("""COMPUTED_VALUE"""),"F1445")</f>
        <v>F1445</v>
      </c>
    </row>
    <row r="385" spans="1:39" ht="13" x14ac:dyDescent="0.15">
      <c r="A385" s="1" t="str">
        <f ca="1">IFERROR(__xludf.DUMMYFUNCTION("""COMPUTED_VALUE"""),"MELHEM Lana")</f>
        <v>MELHEM Lana</v>
      </c>
      <c r="B385" s="1" t="str">
        <f ca="1">IFERROR(__xludf.DUMMYFUNCTION("""COMPUTED_VALUE"""),"MELHEM")</f>
        <v>MELHEM</v>
      </c>
      <c r="C385" s="1" t="str">
        <f ca="1">IFERROR(__xludf.DUMMYFUNCTION("""COMPUTED_VALUE"""),"Lana")</f>
        <v>Lana</v>
      </c>
      <c r="D385" s="1" t="str">
        <f ca="1">IFERROR(__xludf.DUMMYFUNCTION("""COMPUTED_VALUE"""),"1445E1")</f>
        <v>1445E1</v>
      </c>
      <c r="E385" s="2">
        <f ca="1">IFERROR(__xludf.DUMMYFUNCTION("""COMPUTED_VALUE"""),41213)</f>
        <v>41213</v>
      </c>
      <c r="F385" s="1" t="str">
        <f ca="1">IFERROR(__xludf.DUMMYFUNCTION("""COMPUTED_VALUE"""),"4EME1")</f>
        <v>4EME1</v>
      </c>
      <c r="G385" s="1" t="str">
        <f ca="1">IFERROR(__xludf.DUMMYFUNCTION("""COMPUTED_VALUE"""),"4ème")</f>
        <v>4ème</v>
      </c>
      <c r="H385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385" s="1" t="str">
        <f ca="1">IFERROR(__xludf.DUMMYFUNCTION("""COMPUTED_VALUE"""),"LVA Anglais")</f>
        <v>LVA Anglais</v>
      </c>
      <c r="J385" s="1" t="str">
        <f ca="1">IFERROR(__xludf.DUMMYFUNCTION("""COMPUTED_VALUE"""),"LVB Espagnol")</f>
        <v>LVB Espagnol</v>
      </c>
      <c r="K385" s="1"/>
      <c r="L385" s="1"/>
      <c r="M385" s="1"/>
      <c r="N385" s="1" t="str">
        <f ca="1">IFERROR(__xludf.DUMMYFUNCTION("""COMPUTED_VALUE"""),"Fille")</f>
        <v>Fille</v>
      </c>
      <c r="O385" s="1"/>
      <c r="P385" s="1" t="str">
        <f ca="1">IFERROR(__xludf.DUMMYFUNCTION("""COMPUTED_VALUE"""),"FRANCE")</f>
        <v>FRANCE</v>
      </c>
      <c r="Q385" s="1" t="str">
        <f ca="1">IFERROR(__xludf.DUMMYFUNCTION("""COMPUTED_VALUE"""),"SENEGAL")</f>
        <v>SENEGAL</v>
      </c>
      <c r="R385" s="1" t="str">
        <f ca="1">IFERROR(__xludf.DUMMYFUNCTION("""COMPUTED_VALUE"""),"lana.melhem@lfjpsaly.org")</f>
        <v>lana.melhem@lfjpsaly.org</v>
      </c>
      <c r="S385" s="1" t="str">
        <f ca="1">IFERROR(__xludf.DUMMYFUNCTION("""COMPUTED_VALUE"""),"+221 77 550 37 07")</f>
        <v>+221 77 550 37 07</v>
      </c>
      <c r="T385" s="1" t="str">
        <f ca="1">IFERROR(__xludf.DUMMYFUNCTION("""COMPUTED_VALUE"""),"MELHEM Aziza")</f>
        <v>MELHEM Aziza</v>
      </c>
      <c r="U385" s="1" t="str">
        <f ca="1">IFERROR(__xludf.DUMMYFUNCTION("""COMPUTED_VALUE"""),"MELHEM Mohamed")</f>
        <v>MELHEM Mohamed</v>
      </c>
      <c r="V385" s="1" t="str">
        <f ca="1">IFERROR(__xludf.DUMMYFUNCTION("""COMPUTED_VALUE"""),"azizounette@hotmail.com")</f>
        <v>azizounette@hotmail.com</v>
      </c>
      <c r="W385" s="1" t="str">
        <f ca="1">IFERROR(__xludf.DUMMYFUNCTION("""COMPUTED_VALUE"""),"momelhem@hotmail.com")</f>
        <v>momelhem@hotmail.com</v>
      </c>
      <c r="X385" s="1" t="str">
        <f ca="1">IFERROR(__xludf.DUMMYFUNCTION("""COMPUTED_VALUE"""),"+221 77 645 92 81")</f>
        <v>+221 77 645 92 81</v>
      </c>
      <c r="Y385" s="1" t="str">
        <f ca="1">IFERROR(__xludf.DUMMYFUNCTION("""COMPUTED_VALUE"""),"+221 77 550 37 07")</f>
        <v>+221 77 550 37 07</v>
      </c>
      <c r="Z385" s="1" t="str">
        <f ca="1">IFERROR(__xludf.DUMMYFUNCTION("""COMPUTED_VALUE"""),"+221 77 645 92 81")</f>
        <v>+221 77 645 92 81</v>
      </c>
      <c r="AA385" s="1" t="str">
        <f ca="1">IFERROR(__xludf.DUMMYFUNCTION("""COMPUTED_VALUE"""),"+221 77 550 37 07")</f>
        <v>+221 77 550 37 07</v>
      </c>
      <c r="AB385" s="2">
        <f ca="1">IFERROR(__xludf.DUMMYFUNCTION("""COMPUTED_VALUE"""),30197)</f>
        <v>30197</v>
      </c>
      <c r="AC385" s="2">
        <f ca="1">IFERROR(__xludf.DUMMYFUNCTION("""COMPUTED_VALUE"""),27975)</f>
        <v>27975</v>
      </c>
      <c r="AD385" s="1" t="str">
        <f ca="1">IFERROR(__xludf.DUMMYFUNCTION("""COMPUTED_VALUE"""),"MERE")</f>
        <v>MERE</v>
      </c>
      <c r="AE385" s="1" t="str">
        <f ca="1">IFERROR(__xludf.DUMMYFUNCTION("""COMPUTED_VALUE"""),"PERE")</f>
        <v>PERE</v>
      </c>
      <c r="AF385" s="1" t="str">
        <f ca="1">IFERROR(__xludf.DUMMYFUNCTION("""COMPUTED_VALUE"""),"FRANCE")</f>
        <v>FRANCE</v>
      </c>
      <c r="AG385" s="1" t="str">
        <f ca="1">IFERROR(__xludf.DUMMYFUNCTION("""COMPUTED_VALUE"""),"SENEGAL")</f>
        <v>SENEGAL</v>
      </c>
      <c r="AH385" s="1"/>
      <c r="AI385" s="1"/>
      <c r="AJ385" s="1" t="str">
        <f ca="1">IFERROR(__xludf.DUMMYFUNCTION("""COMPUTED_VALUE"""),"F1445")</f>
        <v>F1445</v>
      </c>
      <c r="AK385" s="1" t="str">
        <f ca="1">IFERROR(__xludf.DUMMYFUNCTION("""COMPUTED_VALUE"""),"Marié(e)")</f>
        <v>Marié(e)</v>
      </c>
      <c r="AL385" s="1" t="str">
        <f ca="1">IFERROR(__xludf.DUMMYFUNCTION("""COMPUTED_VALUE"""),"Marié(e)")</f>
        <v>Marié(e)</v>
      </c>
      <c r="AM385" s="1" t="str">
        <f ca="1">IFERROR(__xludf.DUMMYFUNCTION("""COMPUTED_VALUE"""),"F1445")</f>
        <v>F1445</v>
      </c>
    </row>
    <row r="386" spans="1:39" ht="13" x14ac:dyDescent="0.15">
      <c r="A386" s="1" t="str">
        <f ca="1">IFERROR(__xludf.DUMMYFUNCTION("""COMPUTED_VALUE"""),"MENCIERE Théophane Sedar")</f>
        <v>MENCIERE Théophane Sedar</v>
      </c>
      <c r="B386" s="1" t="str">
        <f ca="1">IFERROR(__xludf.DUMMYFUNCTION("""COMPUTED_VALUE"""),"MENCIERE")</f>
        <v>MENCIERE</v>
      </c>
      <c r="C386" s="1" t="str">
        <f ca="1">IFERROR(__xludf.DUMMYFUNCTION("""COMPUTED_VALUE"""),"Théophane Sedar")</f>
        <v>Théophane Sedar</v>
      </c>
      <c r="D386" s="1" t="str">
        <f ca="1">IFERROR(__xludf.DUMMYFUNCTION("""COMPUTED_VALUE"""),"1447E1")</f>
        <v>1447E1</v>
      </c>
      <c r="E386" s="2">
        <f ca="1">IFERROR(__xludf.DUMMYFUNCTION("""COMPUTED_VALUE"""),40600)</f>
        <v>40600</v>
      </c>
      <c r="F386" s="1" t="str">
        <f ca="1">IFERROR(__xludf.DUMMYFUNCTION("""COMPUTED_VALUE"""),"3EME2")</f>
        <v>3EME2</v>
      </c>
      <c r="G386" s="1" t="str">
        <f ca="1">IFERROR(__xludf.DUMMYFUNCTION("""COMPUTED_VALUE"""),"3ème")</f>
        <v>3ème</v>
      </c>
      <c r="H386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386" s="1" t="str">
        <f ca="1">IFERROR(__xludf.DUMMYFUNCTION("""COMPUTED_VALUE"""),"LVA Anglais")</f>
        <v>LVA Anglais</v>
      </c>
      <c r="J386" s="1" t="str">
        <f ca="1">IFERROR(__xludf.DUMMYFUNCTION("""COMPUTED_VALUE"""),"LVB Espagnol")</f>
        <v>LVB Espagnol</v>
      </c>
      <c r="K386" s="1"/>
      <c r="L386" s="1"/>
      <c r="M386" s="1"/>
      <c r="N386" s="1" t="str">
        <f ca="1">IFERROR(__xludf.DUMMYFUNCTION("""COMPUTED_VALUE"""),"Garçon")</f>
        <v>Garçon</v>
      </c>
      <c r="O386" s="1"/>
      <c r="P386" s="1" t="str">
        <f ca="1">IFERROR(__xludf.DUMMYFUNCTION("""COMPUTED_VALUE"""),"FRANCE")</f>
        <v>FRANCE</v>
      </c>
      <c r="Q386" s="1" t="str">
        <f ca="1">IFERROR(__xludf.DUMMYFUNCTION("""COMPUTED_VALUE"""),"SENEGAL")</f>
        <v>SENEGAL</v>
      </c>
      <c r="R386" s="1" t="str">
        <f ca="1">IFERROR(__xludf.DUMMYFUNCTION("""COMPUTED_VALUE"""),"theophane.menciere@lfjpsaly.org")</f>
        <v>theophane.menciere@lfjpsaly.org</v>
      </c>
      <c r="S386" s="1" t="str">
        <f ca="1">IFERROR(__xludf.DUMMYFUNCTION("""COMPUTED_VALUE"""),"+221 77 221 65 77")</f>
        <v>+221 77 221 65 77</v>
      </c>
      <c r="T386" s="1" t="str">
        <f ca="1">IFERROR(__xludf.DUMMYFUNCTION("""COMPUTED_VALUE"""),"MENCIERE Denis")</f>
        <v>MENCIERE Denis</v>
      </c>
      <c r="U386" s="1" t="str">
        <f ca="1">IFERROR(__xludf.DUMMYFUNCTION("""COMPUTED_VALUE"""),"SENGHOR Fatou")</f>
        <v>SENGHOR Fatou</v>
      </c>
      <c r="V386" s="1" t="str">
        <f ca="1">IFERROR(__xludf.DUMMYFUNCTION("""COMPUTED_VALUE"""),"denismenciere@gmail.com")</f>
        <v>denismenciere@gmail.com</v>
      </c>
      <c r="W386" s="1" t="str">
        <f ca="1">IFERROR(__xludf.DUMMYFUNCTION("""COMPUTED_VALUE"""),"denismenciere@gmail.com")</f>
        <v>denismenciere@gmail.com</v>
      </c>
      <c r="X386" s="1" t="str">
        <f ca="1">IFERROR(__xludf.DUMMYFUNCTION("""COMPUTED_VALUE"""),"+221 77 638 76 01")</f>
        <v>+221 77 638 76 01</v>
      </c>
      <c r="Y386" s="1" t="str">
        <f ca="1">IFERROR(__xludf.DUMMYFUNCTION("""COMPUTED_VALUE"""),"+221 77 511 49 12")</f>
        <v>+221 77 511 49 12</v>
      </c>
      <c r="Z386" s="1" t="str">
        <f ca="1">IFERROR(__xludf.DUMMYFUNCTION("""COMPUTED_VALUE"""),"+221")</f>
        <v>+221</v>
      </c>
      <c r="AA386" s="1" t="str">
        <f ca="1">IFERROR(__xludf.DUMMYFUNCTION("""COMPUTED_VALUE"""),"+221")</f>
        <v>+221</v>
      </c>
      <c r="AB386" s="2">
        <f ca="1">IFERROR(__xludf.DUMMYFUNCTION("""COMPUTED_VALUE"""),20424)</f>
        <v>20424</v>
      </c>
      <c r="AC386" s="2">
        <f ca="1">IFERROR(__xludf.DUMMYFUNCTION("""COMPUTED_VALUE"""),29874)</f>
        <v>29874</v>
      </c>
      <c r="AD386" s="1" t="str">
        <f ca="1">IFERROR(__xludf.DUMMYFUNCTION("""COMPUTED_VALUE"""),"PERE")</f>
        <v>PERE</v>
      </c>
      <c r="AE386" s="1" t="str">
        <f ca="1">IFERROR(__xludf.DUMMYFUNCTION("""COMPUTED_VALUE"""),"MERE")</f>
        <v>MERE</v>
      </c>
      <c r="AF386" s="1" t="str">
        <f ca="1">IFERROR(__xludf.DUMMYFUNCTION("""COMPUTED_VALUE"""),"FRANCE")</f>
        <v>FRANCE</v>
      </c>
      <c r="AG386" s="1" t="str">
        <f ca="1">IFERROR(__xludf.DUMMYFUNCTION("""COMPUTED_VALUE"""),"FRANCE")</f>
        <v>FRANCE</v>
      </c>
      <c r="AH386" s="1"/>
      <c r="AI386" s="1" t="str">
        <f ca="1">IFERROR(__xludf.DUMMYFUNCTION("""COMPUTED_VALUE"""),"SENEGAL")</f>
        <v>SENEGAL</v>
      </c>
      <c r="AJ386" s="1" t="str">
        <f ca="1">IFERROR(__xludf.DUMMYFUNCTION("""COMPUTED_VALUE"""),"F1447")</f>
        <v>F1447</v>
      </c>
      <c r="AK386" s="1" t="str">
        <f ca="1">IFERROR(__xludf.DUMMYFUNCTION("""COMPUTED_VALUE"""),"Marié(e)")</f>
        <v>Marié(e)</v>
      </c>
      <c r="AL386" s="1" t="str">
        <f ca="1">IFERROR(__xludf.DUMMYFUNCTION("""COMPUTED_VALUE"""),"Divorcée")</f>
        <v>Divorcée</v>
      </c>
      <c r="AM386" s="1" t="str">
        <f ca="1">IFERROR(__xludf.DUMMYFUNCTION("""COMPUTED_VALUE"""),"F1447")</f>
        <v>F1447</v>
      </c>
    </row>
    <row r="387" spans="1:39" ht="13" x14ac:dyDescent="0.15">
      <c r="A387" s="1" t="str">
        <f ca="1">IFERROR(__xludf.DUMMYFUNCTION("""COMPUTED_VALUE"""),"MENDY BOSSU Mia Caroline Michele")</f>
        <v>MENDY BOSSU Mia Caroline Michele</v>
      </c>
      <c r="B387" s="1" t="str">
        <f ca="1">IFERROR(__xludf.DUMMYFUNCTION("""COMPUTED_VALUE"""),"MENDY BOSSU")</f>
        <v>MENDY BOSSU</v>
      </c>
      <c r="C387" s="1" t="str">
        <f ca="1">IFERROR(__xludf.DUMMYFUNCTION("""COMPUTED_VALUE"""),"Mia Caroline Michele")</f>
        <v>Mia Caroline Michele</v>
      </c>
      <c r="D387" s="1" t="str">
        <f ca="1">IFERROR(__xludf.DUMMYFUNCTION("""COMPUTED_VALUE"""),"1674E1")</f>
        <v>1674E1</v>
      </c>
      <c r="E387" s="2">
        <f ca="1">IFERROR(__xludf.DUMMYFUNCTION("""COMPUTED_VALUE"""),40816)</f>
        <v>40816</v>
      </c>
      <c r="F387" s="1" t="str">
        <f ca="1">IFERROR(__xludf.DUMMYFUNCTION("""COMPUTED_VALUE"""),"3EME1")</f>
        <v>3EME1</v>
      </c>
      <c r="G387" s="1" t="str">
        <f ca="1">IFERROR(__xludf.DUMMYFUNCTION("""COMPUTED_VALUE"""),"3ème")</f>
        <v>3ème</v>
      </c>
      <c r="H387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387" s="1" t="str">
        <f ca="1">IFERROR(__xludf.DUMMYFUNCTION("""COMPUTED_VALUE"""),"LVA Anglais")</f>
        <v>LVA Anglais</v>
      </c>
      <c r="J387" s="1" t="str">
        <f ca="1">IFERROR(__xludf.DUMMYFUNCTION("""COMPUTED_VALUE"""),"LVB Espagnol")</f>
        <v>LVB Espagnol</v>
      </c>
      <c r="K387" s="1"/>
      <c r="L387" s="1"/>
      <c r="M387" s="1"/>
      <c r="N387" s="1" t="str">
        <f ca="1">IFERROR(__xludf.DUMMYFUNCTION("""COMPUTED_VALUE"""),"Fille")</f>
        <v>Fille</v>
      </c>
      <c r="O387" s="1"/>
      <c r="P387" s="1" t="str">
        <f ca="1">IFERROR(__xludf.DUMMYFUNCTION("""COMPUTED_VALUE"""),"FRANCE")</f>
        <v>FRANCE</v>
      </c>
      <c r="Q387" s="1"/>
      <c r="R387" s="1" t="str">
        <f ca="1">IFERROR(__xludf.DUMMYFUNCTION("""COMPUTED_VALUE"""),"mia.mendybossu@lfjpsaly.org")</f>
        <v>mia.mendybossu@lfjpsaly.org</v>
      </c>
      <c r="S387" s="1" t="str">
        <f ca="1">IFERROR(__xludf.DUMMYFUNCTION("""COMPUTED_VALUE"""),"+221 78 178 14 28")</f>
        <v>+221 78 178 14 28</v>
      </c>
      <c r="T387" s="1" t="str">
        <f ca="1">IFERROR(__xludf.DUMMYFUNCTION("""COMPUTED_VALUE"""),"BOSSU Claire")</f>
        <v>BOSSU Claire</v>
      </c>
      <c r="U387" s="1" t="str">
        <f ca="1">IFERROR(__xludf.DUMMYFUNCTION("""COMPUTED_VALUE"""),"MENDY Laurent")</f>
        <v>MENDY Laurent</v>
      </c>
      <c r="V387" s="1" t="str">
        <f ca="1">IFERROR(__xludf.DUMMYFUNCTION("""COMPUTED_VALUE"""),"clairebossu@orange.fr")</f>
        <v>clairebossu@orange.fr</v>
      </c>
      <c r="W387" s="1" t="str">
        <f ca="1">IFERROR(__xludf.DUMMYFUNCTION("""COMPUTED_VALUE"""),"lllolo95350@hotmail.fr")</f>
        <v>lllolo95350@hotmail.fr</v>
      </c>
      <c r="X387" s="1" t="str">
        <f ca="1">IFERROR(__xludf.DUMMYFUNCTION("""COMPUTED_VALUE"""),"+33 6 24 62 29 49")</f>
        <v>+33 6 24 62 29 49</v>
      </c>
      <c r="Y387" s="1" t="str">
        <f ca="1">IFERROR(__xludf.DUMMYFUNCTION("""COMPUTED_VALUE"""),"+221 77 367 75 99")</f>
        <v>+221 77 367 75 99</v>
      </c>
      <c r="Z387" s="1" t="str">
        <f ca="1">IFERROR(__xludf.DUMMYFUNCTION("""COMPUTED_VALUE"""),"+221 78 178 14 28")</f>
        <v>+221 78 178 14 28</v>
      </c>
      <c r="AA387" s="1" t="str">
        <f ca="1">IFERROR(__xludf.DUMMYFUNCTION("""COMPUTED_VALUE"""),"+221")</f>
        <v>+221</v>
      </c>
      <c r="AB387" s="2">
        <f ca="1">IFERROR(__xludf.DUMMYFUNCTION("""COMPUTED_VALUE"""),30032)</f>
        <v>30032</v>
      </c>
      <c r="AC387" s="2">
        <f ca="1">IFERROR(__xludf.DUMMYFUNCTION("""COMPUTED_VALUE"""),28599)</f>
        <v>28599</v>
      </c>
      <c r="AD387" s="1" t="str">
        <f ca="1">IFERROR(__xludf.DUMMYFUNCTION("""COMPUTED_VALUE"""),"MERE")</f>
        <v>MERE</v>
      </c>
      <c r="AE387" s="1" t="str">
        <f ca="1">IFERROR(__xludf.DUMMYFUNCTION("""COMPUTED_VALUE"""),"PERE")</f>
        <v>PERE</v>
      </c>
      <c r="AF387" s="1" t="str">
        <f ca="1">IFERROR(__xludf.DUMMYFUNCTION("""COMPUTED_VALUE"""),"FRANCE")</f>
        <v>FRANCE</v>
      </c>
      <c r="AG387" s="1" t="str">
        <f ca="1">IFERROR(__xludf.DUMMYFUNCTION("""COMPUTED_VALUE"""),"FRANCE")</f>
        <v>FRANCE</v>
      </c>
      <c r="AH387" s="1"/>
      <c r="AI387" s="1"/>
      <c r="AJ387" s="1" t="str">
        <f ca="1">IFERROR(__xludf.DUMMYFUNCTION("""COMPUTED_VALUE"""),"F1674")</f>
        <v>F1674</v>
      </c>
      <c r="AK387" s="1" t="str">
        <f ca="1">IFERROR(__xludf.DUMMYFUNCTION("""COMPUTED_VALUE"""),"CONCUBINAGE")</f>
        <v>CONCUBINAGE</v>
      </c>
      <c r="AL387" s="1" t="str">
        <f ca="1">IFERROR(__xludf.DUMMYFUNCTION("""COMPUTED_VALUE"""),"CONCUBINAGE")</f>
        <v>CONCUBINAGE</v>
      </c>
      <c r="AM387" s="1" t="str">
        <f ca="1">IFERROR(__xludf.DUMMYFUNCTION("""COMPUTED_VALUE"""),"F1674")</f>
        <v>F1674</v>
      </c>
    </row>
    <row r="388" spans="1:39" ht="13" x14ac:dyDescent="0.15">
      <c r="A388" s="1" t="str">
        <f ca="1">IFERROR(__xludf.DUMMYFUNCTION("""COMPUTED_VALUE"""),"MENDY BOSSU Nolhan Patrice Alexandre")</f>
        <v>MENDY BOSSU Nolhan Patrice Alexandre</v>
      </c>
      <c r="B388" s="1" t="str">
        <f ca="1">IFERROR(__xludf.DUMMYFUNCTION("""COMPUTED_VALUE"""),"MENDY BOSSU")</f>
        <v>MENDY BOSSU</v>
      </c>
      <c r="C388" s="1" t="str">
        <f ca="1">IFERROR(__xludf.DUMMYFUNCTION("""COMPUTED_VALUE"""),"Nolhan Patrice Alexandre")</f>
        <v>Nolhan Patrice Alexandre</v>
      </c>
      <c r="D388" s="1" t="str">
        <f ca="1">IFERROR(__xludf.DUMMYFUNCTION("""COMPUTED_VALUE"""),"1674E2")</f>
        <v>1674E2</v>
      </c>
      <c r="E388" s="2">
        <f ca="1">IFERROR(__xludf.DUMMYFUNCTION("""COMPUTED_VALUE"""),40377)</f>
        <v>40377</v>
      </c>
      <c r="F388" s="1" t="str">
        <f ca="1">IFERROR(__xludf.DUMMYFUNCTION("""COMPUTED_VALUE"""),"2NDE1 COOP")</f>
        <v>2NDE1 COOP</v>
      </c>
      <c r="G388" s="1" t="str">
        <f ca="1">IFERROR(__xludf.DUMMYFUNCTION("""COMPUTED_VALUE"""),"2nde")</f>
        <v>2nde</v>
      </c>
      <c r="H388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388" s="1" t="str">
        <f ca="1">IFERROR(__xludf.DUMMYFUNCTION("""COMPUTED_VALUE"""),"LVA Anglais")</f>
        <v>LVA Anglais</v>
      </c>
      <c r="J388" s="1" t="str">
        <f ca="1">IFERROR(__xludf.DUMMYFUNCTION("""COMPUTED_VALUE"""),"LVB Espagnol")</f>
        <v>LVB Espagnol</v>
      </c>
      <c r="K388" s="1"/>
      <c r="L388" s="1"/>
      <c r="M388" s="1"/>
      <c r="N388" s="1" t="str">
        <f ca="1">IFERROR(__xludf.DUMMYFUNCTION("""COMPUTED_VALUE"""),"Garçon")</f>
        <v>Garçon</v>
      </c>
      <c r="O388" s="1"/>
      <c r="P388" s="1" t="str">
        <f ca="1">IFERROR(__xludf.DUMMYFUNCTION("""COMPUTED_VALUE"""),"FRANCE")</f>
        <v>FRANCE</v>
      </c>
      <c r="Q388" s="1"/>
      <c r="R388" s="1" t="str">
        <f ca="1">IFERROR(__xludf.DUMMYFUNCTION("""COMPUTED_VALUE"""),"nolhan.mendybossu@lfjpsaly.org")</f>
        <v>nolhan.mendybossu@lfjpsaly.org</v>
      </c>
      <c r="S388" s="1"/>
      <c r="T388" s="1" t="str">
        <f ca="1">IFERROR(__xludf.DUMMYFUNCTION("""COMPUTED_VALUE"""),"BOSSU Claire")</f>
        <v>BOSSU Claire</v>
      </c>
      <c r="U388" s="1" t="str">
        <f ca="1">IFERROR(__xludf.DUMMYFUNCTION("""COMPUTED_VALUE"""),"MENDY Laurent")</f>
        <v>MENDY Laurent</v>
      </c>
      <c r="V388" s="1" t="str">
        <f ca="1">IFERROR(__xludf.DUMMYFUNCTION("""COMPUTED_VALUE"""),"clairebossu@orange.fr")</f>
        <v>clairebossu@orange.fr</v>
      </c>
      <c r="W388" s="1" t="str">
        <f ca="1">IFERROR(__xludf.DUMMYFUNCTION("""COMPUTED_VALUE"""),"lllolo95350@hotmail.fr")</f>
        <v>lllolo95350@hotmail.fr</v>
      </c>
      <c r="X388" s="1" t="str">
        <f ca="1">IFERROR(__xludf.DUMMYFUNCTION("""COMPUTED_VALUE"""),"+33 6 24 62 29 49")</f>
        <v>+33 6 24 62 29 49</v>
      </c>
      <c r="Y388" s="1" t="str">
        <f ca="1">IFERROR(__xludf.DUMMYFUNCTION("""COMPUTED_VALUE"""),"+221 77 367 75 99")</f>
        <v>+221 77 367 75 99</v>
      </c>
      <c r="Z388" s="1" t="str">
        <f ca="1">IFERROR(__xludf.DUMMYFUNCTION("""COMPUTED_VALUE"""),"+221 78 178 14 28")</f>
        <v>+221 78 178 14 28</v>
      </c>
      <c r="AA388" s="1" t="str">
        <f ca="1">IFERROR(__xludf.DUMMYFUNCTION("""COMPUTED_VALUE"""),"+221")</f>
        <v>+221</v>
      </c>
      <c r="AB388" s="2">
        <f ca="1">IFERROR(__xludf.DUMMYFUNCTION("""COMPUTED_VALUE"""),30032)</f>
        <v>30032</v>
      </c>
      <c r="AC388" s="2">
        <f ca="1">IFERROR(__xludf.DUMMYFUNCTION("""COMPUTED_VALUE"""),28599)</f>
        <v>28599</v>
      </c>
      <c r="AD388" s="1" t="str">
        <f ca="1">IFERROR(__xludf.DUMMYFUNCTION("""COMPUTED_VALUE"""),"MERE")</f>
        <v>MERE</v>
      </c>
      <c r="AE388" s="1" t="str">
        <f ca="1">IFERROR(__xludf.DUMMYFUNCTION("""COMPUTED_VALUE"""),"PERE")</f>
        <v>PERE</v>
      </c>
      <c r="AF388" s="1" t="str">
        <f ca="1">IFERROR(__xludf.DUMMYFUNCTION("""COMPUTED_VALUE"""),"FRANCE")</f>
        <v>FRANCE</v>
      </c>
      <c r="AG388" s="1" t="str">
        <f ca="1">IFERROR(__xludf.DUMMYFUNCTION("""COMPUTED_VALUE"""),"FRANCE")</f>
        <v>FRANCE</v>
      </c>
      <c r="AH388" s="1"/>
      <c r="AI388" s="1"/>
      <c r="AJ388" s="1" t="str">
        <f ca="1">IFERROR(__xludf.DUMMYFUNCTION("""COMPUTED_VALUE"""),"F1674")</f>
        <v>F1674</v>
      </c>
      <c r="AK388" s="1" t="str">
        <f ca="1">IFERROR(__xludf.DUMMYFUNCTION("""COMPUTED_VALUE"""),"CONCUBINAGE")</f>
        <v>CONCUBINAGE</v>
      </c>
      <c r="AL388" s="1" t="str">
        <f ca="1">IFERROR(__xludf.DUMMYFUNCTION("""COMPUTED_VALUE"""),"CONCUBINAGE")</f>
        <v>CONCUBINAGE</v>
      </c>
      <c r="AM388" s="1" t="str">
        <f ca="1">IFERROR(__xludf.DUMMYFUNCTION("""COMPUTED_VALUE"""),"F1674")</f>
        <v>F1674</v>
      </c>
    </row>
    <row r="389" spans="1:39" ht="13" x14ac:dyDescent="0.15">
      <c r="A389" s="1" t="str">
        <f ca="1">IFERROR(__xludf.DUMMYFUNCTION("""COMPUTED_VALUE"""),"MERDJANOPOULOS Edenn")</f>
        <v>MERDJANOPOULOS Edenn</v>
      </c>
      <c r="B389" s="1" t="str">
        <f ca="1">IFERROR(__xludf.DUMMYFUNCTION("""COMPUTED_VALUE"""),"MERDJANOPOULOS")</f>
        <v>MERDJANOPOULOS</v>
      </c>
      <c r="C389" s="1" t="str">
        <f ca="1">IFERROR(__xludf.DUMMYFUNCTION("""COMPUTED_VALUE"""),"Edenn")</f>
        <v>Edenn</v>
      </c>
      <c r="D389" s="1" t="str">
        <f ca="1">IFERROR(__xludf.DUMMYFUNCTION("""COMPUTED_VALUE"""),"1449E1")</f>
        <v>1449E1</v>
      </c>
      <c r="E389" s="2">
        <f ca="1">IFERROR(__xludf.DUMMYFUNCTION("""COMPUTED_VALUE"""),41178)</f>
        <v>41178</v>
      </c>
      <c r="F389" s="1" t="str">
        <f ca="1">IFERROR(__xludf.DUMMYFUNCTION("""COMPUTED_VALUE"""),"5EME1")</f>
        <v>5EME1</v>
      </c>
      <c r="G389" s="1" t="str">
        <f ca="1">IFERROR(__xludf.DUMMYFUNCTION("""COMPUTED_VALUE"""),"5ème")</f>
        <v>5ème</v>
      </c>
      <c r="H389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389" s="1" t="str">
        <f ca="1">IFERROR(__xludf.DUMMYFUNCTION("""COMPUTED_VALUE"""),"LVA Anglais")</f>
        <v>LVA Anglais</v>
      </c>
      <c r="J389" s="1" t="str">
        <f ca="1">IFERROR(__xludf.DUMMYFUNCTION("""COMPUTED_VALUE"""),"LVB Espagnol")</f>
        <v>LVB Espagnol</v>
      </c>
      <c r="K389" s="1"/>
      <c r="L389" s="1"/>
      <c r="M389" s="1"/>
      <c r="N389" s="1" t="str">
        <f ca="1">IFERROR(__xludf.DUMMYFUNCTION("""COMPUTED_VALUE"""),"Fille")</f>
        <v>Fille</v>
      </c>
      <c r="O389" s="1"/>
      <c r="P389" s="1" t="str">
        <f ca="1">IFERROR(__xludf.DUMMYFUNCTION("""COMPUTED_VALUE"""),"FRANCE")</f>
        <v>FRANCE</v>
      </c>
      <c r="Q389" s="1"/>
      <c r="R389" s="1" t="str">
        <f ca="1">IFERROR(__xludf.DUMMYFUNCTION("""COMPUTED_VALUE"""),"edenn.merdjanopoulos@lfjpsaly.org")</f>
        <v>edenn.merdjanopoulos@lfjpsaly.org</v>
      </c>
      <c r="S389" s="1" t="str">
        <f ca="1">IFERROR(__xludf.DUMMYFUNCTION("""COMPUTED_VALUE"""),"+221 77 681 33 21")</f>
        <v>+221 77 681 33 21</v>
      </c>
      <c r="T389" s="1" t="str">
        <f ca="1">IFERROR(__xludf.DUMMYFUNCTION("""COMPUTED_VALUE"""),"MERDJANOPOULOS Jennifer Monique Michelle")</f>
        <v>MERDJANOPOULOS Jennifer Monique Michelle</v>
      </c>
      <c r="U389" s="1" t="str">
        <f ca="1">IFERROR(__xludf.DUMMYFUNCTION("""COMPUTED_VALUE"""),"MERDJANOPOULOS Yanis Georges Marcel")</f>
        <v>MERDJANOPOULOS Yanis Georges Marcel</v>
      </c>
      <c r="V389" s="1" t="str">
        <f ca="1">IFERROR(__xludf.DUMMYFUNCTION("""COMPUTED_VALUE"""),"merdjanopoulos@gmail.com")</f>
        <v>merdjanopoulos@gmail.com</v>
      </c>
      <c r="W389" s="1" t="str">
        <f ca="1">IFERROR(__xludf.DUMMYFUNCTION("""COMPUTED_VALUE"""),"yanis1@me.com")</f>
        <v>yanis1@me.com</v>
      </c>
      <c r="X389" s="1" t="str">
        <f ca="1">IFERROR(__xludf.DUMMYFUNCTION("""COMPUTED_VALUE"""),"+221 78 162 70 86")</f>
        <v>+221 78 162 70 86</v>
      </c>
      <c r="Y389" s="1" t="str">
        <f ca="1">IFERROR(__xludf.DUMMYFUNCTION("""COMPUTED_VALUE"""),"+221 77 681 33 21")</f>
        <v>+221 77 681 33 21</v>
      </c>
      <c r="Z389" s="1" t="str">
        <f ca="1">IFERROR(__xludf.DUMMYFUNCTION("""COMPUTED_VALUE"""),"+221")</f>
        <v>+221</v>
      </c>
      <c r="AA389" s="1" t="str">
        <f ca="1">IFERROR(__xludf.DUMMYFUNCTION("""COMPUTED_VALUE"""),"+221")</f>
        <v>+221</v>
      </c>
      <c r="AB389" s="2">
        <f ca="1">IFERROR(__xludf.DUMMYFUNCTION("""COMPUTED_VALUE"""),31266)</f>
        <v>31266</v>
      </c>
      <c r="AC389" s="2">
        <f ca="1">IFERROR(__xludf.DUMMYFUNCTION("""COMPUTED_VALUE"""),29830)</f>
        <v>29830</v>
      </c>
      <c r="AD389" s="1" t="str">
        <f ca="1">IFERROR(__xludf.DUMMYFUNCTION("""COMPUTED_VALUE"""),"MERE")</f>
        <v>MERE</v>
      </c>
      <c r="AE389" s="1" t="str">
        <f ca="1">IFERROR(__xludf.DUMMYFUNCTION("""COMPUTED_VALUE"""),"PERE")</f>
        <v>PERE</v>
      </c>
      <c r="AF389" s="1" t="str">
        <f ca="1">IFERROR(__xludf.DUMMYFUNCTION("""COMPUTED_VALUE"""),"FRANCE")</f>
        <v>FRANCE</v>
      </c>
      <c r="AG389" s="1" t="str">
        <f ca="1">IFERROR(__xludf.DUMMYFUNCTION("""COMPUTED_VALUE"""),"FRANCE")</f>
        <v>FRANCE</v>
      </c>
      <c r="AH389" s="1"/>
      <c r="AI389" s="1"/>
      <c r="AJ389" s="1" t="str">
        <f ca="1">IFERROR(__xludf.DUMMYFUNCTION("""COMPUTED_VALUE"""),"F1449")</f>
        <v>F1449</v>
      </c>
      <c r="AK389" s="1" t="str">
        <f ca="1">IFERROR(__xludf.DUMMYFUNCTION("""COMPUTED_VALUE"""),"Marié(e)")</f>
        <v>Marié(e)</v>
      </c>
      <c r="AL389" s="1" t="str">
        <f ca="1">IFERROR(__xludf.DUMMYFUNCTION("""COMPUTED_VALUE"""),"Marié(e)")</f>
        <v>Marié(e)</v>
      </c>
      <c r="AM389" s="1" t="str">
        <f ca="1">IFERROR(__xludf.DUMMYFUNCTION("""COMPUTED_VALUE"""),"F1449")</f>
        <v>F1449</v>
      </c>
    </row>
    <row r="390" spans="1:39" ht="13" x14ac:dyDescent="0.15">
      <c r="A390" s="1" t="str">
        <f ca="1">IFERROR(__xludf.DUMMYFUNCTION("""COMPUTED_VALUE"""),"MERDJANOPOULOS Louka")</f>
        <v>MERDJANOPOULOS Louka</v>
      </c>
      <c r="B390" s="1" t="str">
        <f ca="1">IFERROR(__xludf.DUMMYFUNCTION("""COMPUTED_VALUE"""),"MERDJANOPOULOS")</f>
        <v>MERDJANOPOULOS</v>
      </c>
      <c r="C390" s="1" t="str">
        <f ca="1">IFERROR(__xludf.DUMMYFUNCTION("""COMPUTED_VALUE"""),"Louka")</f>
        <v>Louka</v>
      </c>
      <c r="D390" s="1" t="str">
        <f ca="1">IFERROR(__xludf.DUMMYFUNCTION("""COMPUTED_VALUE"""),"1449E2")</f>
        <v>1449E2</v>
      </c>
      <c r="E390" s="2">
        <f ca="1">IFERROR(__xludf.DUMMYFUNCTION("""COMPUTED_VALUE"""),39776)</f>
        <v>39776</v>
      </c>
      <c r="F390" s="1" t="str">
        <f ca="1">IFERROR(__xludf.DUMMYFUNCTION("""COMPUTED_VALUE"""),"TERMINALE1")</f>
        <v>TERMINALE1</v>
      </c>
      <c r="G390" s="1" t="str">
        <f ca="1">IFERROR(__xludf.DUMMYFUNCTION("""COMPUTED_VALUE"""),"Terminale")</f>
        <v>Terminale</v>
      </c>
      <c r="H390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390" s="1" t="str">
        <f ca="1">IFERROR(__xludf.DUMMYFUNCTION("""COMPUTED_VALUE"""),"LVA Anglais")</f>
        <v>LVA Anglais</v>
      </c>
      <c r="J390" s="1" t="str">
        <f ca="1">IFERROR(__xludf.DUMMYFUNCTION("""COMPUTED_VALUE"""),"LVB Espagnol")</f>
        <v>LVB Espagnol</v>
      </c>
      <c r="K390" s="1"/>
      <c r="L390" s="1"/>
      <c r="M390" s="1" t="str">
        <f ca="1">IFERROR(__xludf.DUMMYFUNCTION("""COMPUTED_VALUE"""),"SPE MATHS, SPE SPC")</f>
        <v>SPE MATHS, SPE SPC</v>
      </c>
      <c r="N390" s="1" t="str">
        <f ca="1">IFERROR(__xludf.DUMMYFUNCTION("""COMPUTED_VALUE"""),"Garçon")</f>
        <v>Garçon</v>
      </c>
      <c r="O390" s="1"/>
      <c r="P390" s="1" t="str">
        <f ca="1">IFERROR(__xludf.DUMMYFUNCTION("""COMPUTED_VALUE"""),"FRANCE")</f>
        <v>FRANCE</v>
      </c>
      <c r="Q390" s="1"/>
      <c r="R390" s="1" t="str">
        <f ca="1">IFERROR(__xludf.DUMMYFUNCTION("""COMPUTED_VALUE"""),"louka.merdjanopoulos@lfjpsaly.org")</f>
        <v>louka.merdjanopoulos@lfjpsaly.org</v>
      </c>
      <c r="S390" s="1"/>
      <c r="T390" s="1" t="str">
        <f ca="1">IFERROR(__xludf.DUMMYFUNCTION("""COMPUTED_VALUE"""),"MERDJANOPOULOS Jennifer Monique Michelle")</f>
        <v>MERDJANOPOULOS Jennifer Monique Michelle</v>
      </c>
      <c r="U390" s="1" t="str">
        <f ca="1">IFERROR(__xludf.DUMMYFUNCTION("""COMPUTED_VALUE"""),"MERDJANOPOULOS Yanis Georges Marcel")</f>
        <v>MERDJANOPOULOS Yanis Georges Marcel</v>
      </c>
      <c r="V390" s="1" t="str">
        <f ca="1">IFERROR(__xludf.DUMMYFUNCTION("""COMPUTED_VALUE"""),"merdjanopoulos@gmail.com")</f>
        <v>merdjanopoulos@gmail.com</v>
      </c>
      <c r="W390" s="1" t="str">
        <f ca="1">IFERROR(__xludf.DUMMYFUNCTION("""COMPUTED_VALUE"""),"yanis1@me.com")</f>
        <v>yanis1@me.com</v>
      </c>
      <c r="X390" s="1" t="str">
        <f ca="1">IFERROR(__xludf.DUMMYFUNCTION("""COMPUTED_VALUE"""),"+221 78 162 70 86")</f>
        <v>+221 78 162 70 86</v>
      </c>
      <c r="Y390" s="1" t="str">
        <f ca="1">IFERROR(__xludf.DUMMYFUNCTION("""COMPUTED_VALUE"""),"+221 77 681 33 21")</f>
        <v>+221 77 681 33 21</v>
      </c>
      <c r="Z390" s="1" t="str">
        <f ca="1">IFERROR(__xludf.DUMMYFUNCTION("""COMPUTED_VALUE"""),"+221")</f>
        <v>+221</v>
      </c>
      <c r="AA390" s="1" t="str">
        <f ca="1">IFERROR(__xludf.DUMMYFUNCTION("""COMPUTED_VALUE"""),"+221")</f>
        <v>+221</v>
      </c>
      <c r="AB390" s="2">
        <f ca="1">IFERROR(__xludf.DUMMYFUNCTION("""COMPUTED_VALUE"""),31266)</f>
        <v>31266</v>
      </c>
      <c r="AC390" s="2">
        <f ca="1">IFERROR(__xludf.DUMMYFUNCTION("""COMPUTED_VALUE"""),29830)</f>
        <v>29830</v>
      </c>
      <c r="AD390" s="1" t="str">
        <f ca="1">IFERROR(__xludf.DUMMYFUNCTION("""COMPUTED_VALUE"""),"MERE")</f>
        <v>MERE</v>
      </c>
      <c r="AE390" s="1" t="str">
        <f ca="1">IFERROR(__xludf.DUMMYFUNCTION("""COMPUTED_VALUE"""),"PERE")</f>
        <v>PERE</v>
      </c>
      <c r="AF390" s="1" t="str">
        <f ca="1">IFERROR(__xludf.DUMMYFUNCTION("""COMPUTED_VALUE"""),"FRANCE")</f>
        <v>FRANCE</v>
      </c>
      <c r="AG390" s="1" t="str">
        <f ca="1">IFERROR(__xludf.DUMMYFUNCTION("""COMPUTED_VALUE"""),"FRANCE")</f>
        <v>FRANCE</v>
      </c>
      <c r="AH390" s="1"/>
      <c r="AI390" s="1"/>
      <c r="AJ390" s="1" t="str">
        <f ca="1">IFERROR(__xludf.DUMMYFUNCTION("""COMPUTED_VALUE"""),"F1449")</f>
        <v>F1449</v>
      </c>
      <c r="AK390" s="1" t="str">
        <f ca="1">IFERROR(__xludf.DUMMYFUNCTION("""COMPUTED_VALUE"""),"Marié(e)")</f>
        <v>Marié(e)</v>
      </c>
      <c r="AL390" s="1" t="str">
        <f ca="1">IFERROR(__xludf.DUMMYFUNCTION("""COMPUTED_VALUE"""),"Marié(e)")</f>
        <v>Marié(e)</v>
      </c>
      <c r="AM390" s="1" t="str">
        <f ca="1">IFERROR(__xludf.DUMMYFUNCTION("""COMPUTED_VALUE"""),"F1449")</f>
        <v>F1449</v>
      </c>
    </row>
    <row r="391" spans="1:39" ht="13" x14ac:dyDescent="0.15">
      <c r="A391" s="1" t="str">
        <f ca="1">IFERROR(__xludf.DUMMYFUNCTION("""COMPUTED_VALUE"""),"MESSAOUDI Noé")</f>
        <v>MESSAOUDI Noé</v>
      </c>
      <c r="B391" s="1" t="str">
        <f ca="1">IFERROR(__xludf.DUMMYFUNCTION("""COMPUTED_VALUE"""),"MESSAOUDI")</f>
        <v>MESSAOUDI</v>
      </c>
      <c r="C391" s="1" t="str">
        <f ca="1">IFERROR(__xludf.DUMMYFUNCTION("""COMPUTED_VALUE"""),"Noé")</f>
        <v>Noé</v>
      </c>
      <c r="D391" s="1" t="str">
        <f ca="1">IFERROR(__xludf.DUMMYFUNCTION("""COMPUTED_VALUE"""),"11582S2777")</f>
        <v>11582S2777</v>
      </c>
      <c r="E391" s="2">
        <f ca="1">IFERROR(__xludf.DUMMYFUNCTION("""COMPUTED_VALUE"""),42975)</f>
        <v>42975</v>
      </c>
      <c r="F391" s="1" t="str">
        <f ca="1">IFERROR(__xludf.DUMMYFUNCTION("""COMPUTED_VALUE"""),"CE2")</f>
        <v>CE2</v>
      </c>
      <c r="G391" s="1" t="str">
        <f ca="1">IFERROR(__xludf.DUMMYFUNCTION("""COMPUTED_VALUE"""),"CE2")</f>
        <v>CE2</v>
      </c>
      <c r="H391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391" s="1"/>
      <c r="J391" s="1"/>
      <c r="K391" s="1"/>
      <c r="L391" s="1"/>
      <c r="M391" s="1"/>
      <c r="N391" s="1" t="str">
        <f ca="1">IFERROR(__xludf.DUMMYFUNCTION("""COMPUTED_VALUE"""),"Garçon")</f>
        <v>Garçon</v>
      </c>
      <c r="O391" s="1"/>
      <c r="P391" s="1" t="str">
        <f ca="1">IFERROR(__xludf.DUMMYFUNCTION("""COMPUTED_VALUE"""),"FRANCE")</f>
        <v>FRANCE</v>
      </c>
      <c r="Q391" s="1"/>
      <c r="R391" s="1"/>
      <c r="S391" s="1" t="str">
        <f ca="1">IFERROR(__xludf.DUMMYFUNCTION("""COMPUTED_VALUE"""),"+221")</f>
        <v>+221</v>
      </c>
      <c r="T391" s="1" t="str">
        <f ca="1">IFERROR(__xludf.DUMMYFUNCTION("""COMPUTED_VALUE"""),"SARR-MESSAOUDI Licka")</f>
        <v>SARR-MESSAOUDI Licka</v>
      </c>
      <c r="U391" s="1" t="str">
        <f ca="1">IFERROR(__xludf.DUMMYFUNCTION("""COMPUTED_VALUE"""),"MESSAOUDI Yacine")</f>
        <v>MESSAOUDI Yacine</v>
      </c>
      <c r="V391" s="1" t="str">
        <f ca="1">IFERROR(__xludf.DUMMYFUNCTION("""COMPUTED_VALUE"""),"yacine.licka@gmail.com")</f>
        <v>yacine.licka@gmail.com</v>
      </c>
      <c r="W391" s="1" t="str">
        <f ca="1">IFERROR(__xludf.DUMMYFUNCTION("""COMPUTED_VALUE"""),"yac.messaoudi@gmail.com")</f>
        <v>yac.messaoudi@gmail.com</v>
      </c>
      <c r="X391" s="1" t="str">
        <f ca="1">IFERROR(__xludf.DUMMYFUNCTION("""COMPUTED_VALUE"""),"+221 78 912 91 27")</f>
        <v>+221 78 912 91 27</v>
      </c>
      <c r="Y391" s="1" t="str">
        <f ca="1">IFERROR(__xludf.DUMMYFUNCTION("""COMPUTED_VALUE"""),"+221 78 912 91 27")</f>
        <v>+221 78 912 91 27</v>
      </c>
      <c r="Z391" s="1" t="str">
        <f ca="1">IFERROR(__xludf.DUMMYFUNCTION("""COMPUTED_VALUE"""),"+221 77 593 91 07")</f>
        <v>+221 77 593 91 07</v>
      </c>
      <c r="AA391" s="1" t="str">
        <f ca="1">IFERROR(__xludf.DUMMYFUNCTION("""COMPUTED_VALUE"""),"+33 6 24 28 22 27")</f>
        <v>+33 6 24 28 22 27</v>
      </c>
      <c r="AB391" s="2">
        <f ca="1">IFERROR(__xludf.DUMMYFUNCTION("""COMPUTED_VALUE"""),30479)</f>
        <v>30479</v>
      </c>
      <c r="AC391" s="2">
        <f ca="1">IFERROR(__xludf.DUMMYFUNCTION("""COMPUTED_VALUE"""),29845)</f>
        <v>29845</v>
      </c>
      <c r="AD391" s="1" t="str">
        <f ca="1">IFERROR(__xludf.DUMMYFUNCTION("""COMPUTED_VALUE"""),"MERE")</f>
        <v>MERE</v>
      </c>
      <c r="AE391" s="1" t="str">
        <f ca="1">IFERROR(__xludf.DUMMYFUNCTION("""COMPUTED_VALUE"""),"PERE")</f>
        <v>PERE</v>
      </c>
      <c r="AF391" s="1" t="str">
        <f ca="1">IFERROR(__xludf.DUMMYFUNCTION("""COMPUTED_VALUE"""),"FRANCE")</f>
        <v>FRANCE</v>
      </c>
      <c r="AG391" s="1" t="str">
        <f ca="1">IFERROR(__xludf.DUMMYFUNCTION("""COMPUTED_VALUE"""),"FRANCE")</f>
        <v>FRANCE</v>
      </c>
      <c r="AH391" s="1"/>
      <c r="AI391" s="1"/>
      <c r="AJ391" s="1" t="str">
        <f ca="1">IFERROR(__xludf.DUMMYFUNCTION("""COMPUTED_VALUE"""),"F1626")</f>
        <v>F1626</v>
      </c>
      <c r="AK391" s="1" t="str">
        <f ca="1">IFERROR(__xludf.DUMMYFUNCTION("""COMPUTED_VALUE"""),"Marié(e)")</f>
        <v>Marié(e)</v>
      </c>
      <c r="AL391" s="1" t="str">
        <f ca="1">IFERROR(__xludf.DUMMYFUNCTION("""COMPUTED_VALUE"""),"Marié(e)")</f>
        <v>Marié(e)</v>
      </c>
      <c r="AM391" s="1" t="str">
        <f ca="1">IFERROR(__xludf.DUMMYFUNCTION("""COMPUTED_VALUE"""),"F1626")</f>
        <v>F1626</v>
      </c>
    </row>
    <row r="392" spans="1:39" ht="13" x14ac:dyDescent="0.15">
      <c r="A392" s="1" t="str">
        <f ca="1">IFERROR(__xludf.DUMMYFUNCTION("""COMPUTED_VALUE"""),"MESSINA Tom")</f>
        <v>MESSINA Tom</v>
      </c>
      <c r="B392" s="1" t="str">
        <f ca="1">IFERROR(__xludf.DUMMYFUNCTION("""COMPUTED_VALUE"""),"MESSINA")</f>
        <v>MESSINA</v>
      </c>
      <c r="C392" s="1" t="str">
        <f ca="1">IFERROR(__xludf.DUMMYFUNCTION("""COMPUTED_VALUE"""),"Tom")</f>
        <v>Tom</v>
      </c>
      <c r="D392" s="1" t="str">
        <f ca="1">IFERROR(__xludf.DUMMYFUNCTION("""COMPUTED_VALUE"""),"1450E1")</f>
        <v>1450E1</v>
      </c>
      <c r="E392" s="2">
        <f ca="1">IFERROR(__xludf.DUMMYFUNCTION("""COMPUTED_VALUE"""),39679)</f>
        <v>39679</v>
      </c>
      <c r="F392" s="1" t="str">
        <f ca="1">IFERROR(__xludf.DUMMYFUNCTION("""COMPUTED_VALUE"""),"TERMINALE1")</f>
        <v>TERMINALE1</v>
      </c>
      <c r="G392" s="1" t="str">
        <f ca="1">IFERROR(__xludf.DUMMYFUNCTION("""COMPUTED_VALUE"""),"Terminale")</f>
        <v>Terminale</v>
      </c>
      <c r="H392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392" s="1" t="str">
        <f ca="1">IFERROR(__xludf.DUMMYFUNCTION("""COMPUTED_VALUE"""),"LVA Anglais")</f>
        <v>LVA Anglais</v>
      </c>
      <c r="J392" s="1" t="str">
        <f ca="1">IFERROR(__xludf.DUMMYFUNCTION("""COMPUTED_VALUE"""),"LVB Espagnol")</f>
        <v>LVB Espagnol</v>
      </c>
      <c r="K392" s="1"/>
      <c r="L392" s="1"/>
      <c r="M392" s="1" t="str">
        <f ca="1">IFERROR(__xludf.DUMMYFUNCTION("""COMPUTED_VALUE"""),"SPE SES, SPE SVT")</f>
        <v>SPE SES, SPE SVT</v>
      </c>
      <c r="N392" s="1" t="str">
        <f ca="1">IFERROR(__xludf.DUMMYFUNCTION("""COMPUTED_VALUE"""),"Garçon")</f>
        <v>Garçon</v>
      </c>
      <c r="O392" s="1"/>
      <c r="P392" s="1" t="str">
        <f ca="1">IFERROR(__xludf.DUMMYFUNCTION("""COMPUTED_VALUE"""),"FRANCE")</f>
        <v>FRANCE</v>
      </c>
      <c r="Q392" s="1"/>
      <c r="R392" s="1" t="str">
        <f ca="1">IFERROR(__xludf.DUMMYFUNCTION("""COMPUTED_VALUE"""),"tom.messina@lfjpsaly.org")</f>
        <v>tom.messina@lfjpsaly.org</v>
      </c>
      <c r="S392" s="1" t="str">
        <f ca="1">IFERROR(__xludf.DUMMYFUNCTION("""COMPUTED_VALUE"""),"+221 77 399 97 86")</f>
        <v>+221 77 399 97 86</v>
      </c>
      <c r="T392" s="1" t="str">
        <f ca="1">IFERROR(__xludf.DUMMYFUNCTION("""COMPUTED_VALUE"""),"MESSINA Jean-Claude")</f>
        <v>MESSINA Jean-Claude</v>
      </c>
      <c r="U392" s="1" t="str">
        <f ca="1">IFERROR(__xludf.DUMMYFUNCTION("""COMPUTED_VALUE"""),"MESSINA Ingrid")</f>
        <v>MESSINA Ingrid</v>
      </c>
      <c r="V392" s="1" t="str">
        <f ca="1">IFERROR(__xludf.DUMMYFUNCTION("""COMPUTED_VALUE"""),"jeanclaudemessina@yahoo.fr")</f>
        <v>jeanclaudemessina@yahoo.fr</v>
      </c>
      <c r="W392" s="1" t="str">
        <f ca="1">IFERROR(__xludf.DUMMYFUNCTION("""COMPUTED_VALUE"""),"messinaingrid@icloud.com")</f>
        <v>messinaingrid@icloud.com</v>
      </c>
      <c r="X392" s="1"/>
      <c r="Y392" s="1" t="str">
        <f ca="1">IFERROR(__xludf.DUMMYFUNCTION("""COMPUTED_VALUE"""),"+221 77 399 97 86")</f>
        <v>+221 77 399 97 86</v>
      </c>
      <c r="Z392" s="1"/>
      <c r="AA392" s="1"/>
      <c r="AB392" s="2">
        <f ca="1">IFERROR(__xludf.DUMMYFUNCTION("""COMPUTED_VALUE"""),22738)</f>
        <v>22738</v>
      </c>
      <c r="AC392" s="2">
        <f ca="1">IFERROR(__xludf.DUMMYFUNCTION("""COMPUTED_VALUE"""),29552)</f>
        <v>29552</v>
      </c>
      <c r="AD392" s="1" t="str">
        <f ca="1">IFERROR(__xludf.DUMMYFUNCTION("""COMPUTED_VALUE"""),"PERE")</f>
        <v>PERE</v>
      </c>
      <c r="AE392" s="1" t="str">
        <f ca="1">IFERROR(__xludf.DUMMYFUNCTION("""COMPUTED_VALUE"""),"MERE")</f>
        <v>MERE</v>
      </c>
      <c r="AF392" s="1" t="str">
        <f ca="1">IFERROR(__xludf.DUMMYFUNCTION("""COMPUTED_VALUE"""),"FRANCE")</f>
        <v>FRANCE</v>
      </c>
      <c r="AG392" s="1" t="str">
        <f ca="1">IFERROR(__xludf.DUMMYFUNCTION("""COMPUTED_VALUE"""),"FRANCE")</f>
        <v>FRANCE</v>
      </c>
      <c r="AH392" s="1"/>
      <c r="AI392" s="1"/>
      <c r="AJ392" s="1" t="str">
        <f ca="1">IFERROR(__xludf.DUMMYFUNCTION("""COMPUTED_VALUE"""),"F1450")</f>
        <v>F1450</v>
      </c>
      <c r="AK392" s="1" t="str">
        <f ca="1">IFERROR(__xludf.DUMMYFUNCTION("""COMPUTED_VALUE"""),"Marié(e)")</f>
        <v>Marié(e)</v>
      </c>
      <c r="AL392" s="1" t="str">
        <f ca="1">IFERROR(__xludf.DUMMYFUNCTION("""COMPUTED_VALUE"""),"Marié(e)")</f>
        <v>Marié(e)</v>
      </c>
      <c r="AM392" s="1" t="str">
        <f ca="1">IFERROR(__xludf.DUMMYFUNCTION("""COMPUTED_VALUE"""),"F1450")</f>
        <v>F1450</v>
      </c>
    </row>
    <row r="393" spans="1:39" ht="13" x14ac:dyDescent="0.15">
      <c r="A393" s="1" t="str">
        <f ca="1">IFERROR(__xludf.DUMMYFUNCTION("""COMPUTED_VALUE"""),"METSU Maeva")</f>
        <v>METSU Maeva</v>
      </c>
      <c r="B393" s="1" t="str">
        <f ca="1">IFERROR(__xludf.DUMMYFUNCTION("""COMPUTED_VALUE"""),"METSU")</f>
        <v>METSU</v>
      </c>
      <c r="C393" s="1" t="str">
        <f ca="1">IFERROR(__xludf.DUMMYFUNCTION("""COMPUTED_VALUE"""),"Maeva")</f>
        <v>Maeva</v>
      </c>
      <c r="D393" s="1" t="str">
        <f ca="1">IFERROR(__xludf.DUMMYFUNCTION("""COMPUTED_VALUE"""),"1451E2")</f>
        <v>1451E2</v>
      </c>
      <c r="E393" s="2">
        <f ca="1">IFERROR(__xludf.DUMMYFUNCTION("""COMPUTED_VALUE"""),40249)</f>
        <v>40249</v>
      </c>
      <c r="F393" s="1" t="str">
        <f ca="1">IFERROR(__xludf.DUMMYFUNCTION("""COMPUTED_VALUE"""),"4EME2")</f>
        <v>4EME2</v>
      </c>
      <c r="G393" s="1" t="str">
        <f ca="1">IFERROR(__xludf.DUMMYFUNCTION("""COMPUTED_VALUE"""),"4ème")</f>
        <v>4ème</v>
      </c>
      <c r="H393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393" s="1"/>
      <c r="J393" s="1"/>
      <c r="K393" s="1"/>
      <c r="L393" s="1"/>
      <c r="M393" s="1"/>
      <c r="N393" s="1" t="str">
        <f ca="1">IFERROR(__xludf.DUMMYFUNCTION("""COMPUTED_VALUE"""),"Fille")</f>
        <v>Fille</v>
      </c>
      <c r="O393" s="1"/>
      <c r="P393" s="1" t="str">
        <f ca="1">IFERROR(__xludf.DUMMYFUNCTION("""COMPUTED_VALUE"""),"FRANCE")</f>
        <v>FRANCE</v>
      </c>
      <c r="Q393" s="1"/>
      <c r="R393" s="1"/>
      <c r="S393" s="1" t="str">
        <f ca="1">IFERROR(__xludf.DUMMYFUNCTION("""COMPUTED_VALUE"""),"+221")</f>
        <v>+221</v>
      </c>
      <c r="T393" s="1" t="str">
        <f ca="1">IFERROR(__xludf.DUMMYFUNCTION("""COMPUTED_VALUE"""),"METSU Viviane")</f>
        <v>METSU Viviane</v>
      </c>
      <c r="U393" s="1" t="str">
        <f ca="1">IFERROR(__xludf.DUMMYFUNCTION("""COMPUTED_VALUE"""),"RENARD Herve")</f>
        <v>RENARD Herve</v>
      </c>
      <c r="V393" s="1" t="str">
        <f ca="1">IFERROR(__xludf.DUMMYFUNCTION("""COMPUTED_VALUE"""),"vivianemetsu@gmail.com")</f>
        <v>vivianemetsu@gmail.com</v>
      </c>
      <c r="W393" s="1" t="str">
        <f ca="1">IFERROR(__xludf.DUMMYFUNCTION("""COMPUTED_VALUE"""),"herverenard6@icloud.com")</f>
        <v>herverenard6@icloud.com</v>
      </c>
      <c r="X393" s="1" t="str">
        <f ca="1">IFERROR(__xludf.DUMMYFUNCTION("""COMPUTED_VALUE"""),"+221 77 754 97 71")</f>
        <v>+221 77 754 97 71</v>
      </c>
      <c r="Y393" s="1" t="str">
        <f ca="1">IFERROR(__xludf.DUMMYFUNCTION("""COMPUTED_VALUE"""),"+33 6 13 06 02 80")</f>
        <v>+33 6 13 06 02 80</v>
      </c>
      <c r="Z393" s="1" t="str">
        <f ca="1">IFERROR(__xludf.DUMMYFUNCTION("""COMPUTED_VALUE"""),"+221")</f>
        <v>+221</v>
      </c>
      <c r="AA393" s="1" t="str">
        <f ca="1">IFERROR(__xludf.DUMMYFUNCTION("""COMPUTED_VALUE"""),"+221")</f>
        <v>+221</v>
      </c>
      <c r="AB393" s="2">
        <f ca="1">IFERROR(__xludf.DUMMYFUNCTION("""COMPUTED_VALUE"""),25491)</f>
        <v>25491</v>
      </c>
      <c r="AC393" s="2">
        <f ca="1">IFERROR(__xludf.DUMMYFUNCTION("""COMPUTED_VALUE"""),25111)</f>
        <v>25111</v>
      </c>
      <c r="AD393" s="1" t="str">
        <f ca="1">IFERROR(__xludf.DUMMYFUNCTION("""COMPUTED_VALUE"""),"MERE")</f>
        <v>MERE</v>
      </c>
      <c r="AE393" s="1" t="str">
        <f ca="1">IFERROR(__xludf.DUMMYFUNCTION("""COMPUTED_VALUE"""),"AUTRE FAM.")</f>
        <v>AUTRE FAM.</v>
      </c>
      <c r="AF393" s="1" t="str">
        <f ca="1">IFERROR(__xludf.DUMMYFUNCTION("""COMPUTED_VALUE"""),"FRANCE")</f>
        <v>FRANCE</v>
      </c>
      <c r="AG393" s="1" t="str">
        <f ca="1">IFERROR(__xludf.DUMMYFUNCTION("""COMPUTED_VALUE"""),"FRANCE")</f>
        <v>FRANCE</v>
      </c>
      <c r="AH393" s="1" t="str">
        <f ca="1">IFERROR(__xludf.DUMMYFUNCTION("""COMPUTED_VALUE"""),"SENEGAL")</f>
        <v>SENEGAL</v>
      </c>
      <c r="AI393" s="1"/>
      <c r="AJ393" s="1" t="str">
        <f ca="1">IFERROR(__xludf.DUMMYFUNCTION("""COMPUTED_VALUE"""),"F1451")</f>
        <v>F1451</v>
      </c>
      <c r="AK393" s="1" t="str">
        <f ca="1">IFERROR(__xludf.DUMMYFUNCTION("""COMPUTED_VALUE"""),"CONCUBINAGE")</f>
        <v>CONCUBINAGE</v>
      </c>
      <c r="AL393" s="1" t="str">
        <f ca="1">IFERROR(__xludf.DUMMYFUNCTION("""COMPUTED_VALUE"""),"CONCUBINAGE")</f>
        <v>CONCUBINAGE</v>
      </c>
      <c r="AM393" s="1" t="str">
        <f ca="1">IFERROR(__xludf.DUMMYFUNCTION("""COMPUTED_VALUE"""),"F1451")</f>
        <v>F1451</v>
      </c>
    </row>
    <row r="394" spans="1:39" ht="13" x14ac:dyDescent="0.15">
      <c r="A394" s="1" t="str">
        <f ca="1">IFERROR(__xludf.DUMMYFUNCTION("""COMPUTED_VALUE"""),"METZ Celia")</f>
        <v>METZ Celia</v>
      </c>
      <c r="B394" s="1" t="str">
        <f ca="1">IFERROR(__xludf.DUMMYFUNCTION("""COMPUTED_VALUE"""),"METZ")</f>
        <v>METZ</v>
      </c>
      <c r="C394" s="1" t="str">
        <f ca="1">IFERROR(__xludf.DUMMYFUNCTION("""COMPUTED_VALUE"""),"Celia")</f>
        <v>Celia</v>
      </c>
      <c r="D394" s="1" t="str">
        <f ca="1">IFERROR(__xludf.DUMMYFUNCTION("""COMPUTED_VALUE"""),"1452E1")</f>
        <v>1452E1</v>
      </c>
      <c r="E394" s="2">
        <f ca="1">IFERROR(__xludf.DUMMYFUNCTION("""COMPUTED_VALUE"""),39857)</f>
        <v>39857</v>
      </c>
      <c r="F394" s="1" t="str">
        <f ca="1">IFERROR(__xludf.DUMMYFUNCTION("""COMPUTED_VALUE"""),"1ERE2")</f>
        <v>1ERE2</v>
      </c>
      <c r="G394" s="1" t="str">
        <f ca="1">IFERROR(__xludf.DUMMYFUNCTION("""COMPUTED_VALUE"""),"1ère")</f>
        <v>1ère</v>
      </c>
      <c r="H394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394" s="1" t="str">
        <f ca="1">IFERROR(__xludf.DUMMYFUNCTION("""COMPUTED_VALUE"""),"LVA Anglais")</f>
        <v>LVA Anglais</v>
      </c>
      <c r="J394" s="1" t="str">
        <f ca="1">IFERROR(__xludf.DUMMYFUNCTION("""COMPUTED_VALUE"""),"LVB Espagnol")</f>
        <v>LVB Espagnol</v>
      </c>
      <c r="K394" s="1"/>
      <c r="L394" s="1"/>
      <c r="M394" s="1" t="str">
        <f ca="1">IFERROR(__xludf.DUMMYFUNCTION("""COMPUTED_VALUE"""),"SPE HGGSP, SPE LLCE AMC, SPE SES")</f>
        <v>SPE HGGSP, SPE LLCE AMC, SPE SES</v>
      </c>
      <c r="N394" s="1" t="str">
        <f ca="1">IFERROR(__xludf.DUMMYFUNCTION("""COMPUTED_VALUE"""),"Fille")</f>
        <v>Fille</v>
      </c>
      <c r="O394" s="1"/>
      <c r="P394" s="1" t="str">
        <f ca="1">IFERROR(__xludf.DUMMYFUNCTION("""COMPUTED_VALUE"""),"FRANCE")</f>
        <v>FRANCE</v>
      </c>
      <c r="Q394" s="1"/>
      <c r="R394" s="1" t="str">
        <f ca="1">IFERROR(__xludf.DUMMYFUNCTION("""COMPUTED_VALUE"""),"celia.metz@lfjpsaly.org")</f>
        <v>celia.metz@lfjpsaly.org</v>
      </c>
      <c r="S394" s="1"/>
      <c r="T394" s="1" t="str">
        <f ca="1">IFERROR(__xludf.DUMMYFUNCTION("""COMPUTED_VALUE"""),"METZ Jean-Francois")</f>
        <v>METZ Jean-Francois</v>
      </c>
      <c r="U394" s="1" t="str">
        <f ca="1">IFERROR(__xludf.DUMMYFUNCTION("""COMPUTED_VALUE"""),"METZ Helene")</f>
        <v>METZ Helene</v>
      </c>
      <c r="V394" s="1" t="str">
        <f ca="1">IFERROR(__xludf.DUMMYFUNCTION("""COMPUTED_VALUE"""),"jefdedubai@gmail.com")</f>
        <v>jefdedubai@gmail.com</v>
      </c>
      <c r="W394" s="1" t="str">
        <f ca="1">IFERROR(__xludf.DUMMYFUNCTION("""COMPUTED_VALUE"""),"helenesene75@gmail.com")</f>
        <v>helenesene75@gmail.com</v>
      </c>
      <c r="X394" s="1" t="str">
        <f ca="1">IFERROR(__xludf.DUMMYFUNCTION("""COMPUTED_VALUE"""),"+221 77 162 26 31")</f>
        <v>+221 77 162 26 31</v>
      </c>
      <c r="Y394" s="1" t="str">
        <f ca="1">IFERROR(__xludf.DUMMYFUNCTION("""COMPUTED_VALUE"""),"+221 77 197 39 20")</f>
        <v>+221 77 197 39 20</v>
      </c>
      <c r="Z394" s="1" t="str">
        <f ca="1">IFERROR(__xludf.DUMMYFUNCTION("""COMPUTED_VALUE"""),"+221 77 162 26 31")</f>
        <v>+221 77 162 26 31</v>
      </c>
      <c r="AA394" s="1" t="str">
        <f ca="1">IFERROR(__xludf.DUMMYFUNCTION("""COMPUTED_VALUE"""),"+221")</f>
        <v>+221</v>
      </c>
      <c r="AB394" s="2">
        <f ca="1">IFERROR(__xludf.DUMMYFUNCTION("""COMPUTED_VALUE"""),22020)</f>
        <v>22020</v>
      </c>
      <c r="AC394" s="2">
        <f ca="1">IFERROR(__xludf.DUMMYFUNCTION("""COMPUTED_VALUE"""),27432)</f>
        <v>27432</v>
      </c>
      <c r="AD394" s="1" t="str">
        <f ca="1">IFERROR(__xludf.DUMMYFUNCTION("""COMPUTED_VALUE"""),"PERE")</f>
        <v>PERE</v>
      </c>
      <c r="AE394" s="1" t="str">
        <f ca="1">IFERROR(__xludf.DUMMYFUNCTION("""COMPUTED_VALUE"""),"MERE")</f>
        <v>MERE</v>
      </c>
      <c r="AF394" s="1" t="str">
        <f ca="1">IFERROR(__xludf.DUMMYFUNCTION("""COMPUTED_VALUE"""),"FRANCE")</f>
        <v>FRANCE</v>
      </c>
      <c r="AG394" s="1" t="str">
        <f ca="1">IFERROR(__xludf.DUMMYFUNCTION("""COMPUTED_VALUE"""),"SENEGAL")</f>
        <v>SENEGAL</v>
      </c>
      <c r="AH394" s="1"/>
      <c r="AI394" s="1" t="str">
        <f ca="1">IFERROR(__xludf.DUMMYFUNCTION("""COMPUTED_VALUE"""),"FRANCE")</f>
        <v>FRANCE</v>
      </c>
      <c r="AJ394" s="1" t="str">
        <f ca="1">IFERROR(__xludf.DUMMYFUNCTION("""COMPUTED_VALUE"""),"F1452")</f>
        <v>F1452</v>
      </c>
      <c r="AK394" s="1" t="str">
        <f ca="1">IFERROR(__xludf.DUMMYFUNCTION("""COMPUTED_VALUE"""),"Marié(e)")</f>
        <v>Marié(e)</v>
      </c>
      <c r="AL394" s="1" t="str">
        <f ca="1">IFERROR(__xludf.DUMMYFUNCTION("""COMPUTED_VALUE"""),"Marié(e)")</f>
        <v>Marié(e)</v>
      </c>
      <c r="AM394" s="1" t="str">
        <f ca="1">IFERROR(__xludf.DUMMYFUNCTION("""COMPUTED_VALUE"""),"F1452")</f>
        <v>F1452</v>
      </c>
    </row>
    <row r="395" spans="1:39" ht="13" x14ac:dyDescent="0.15">
      <c r="A395" s="1" t="str">
        <f ca="1">IFERROR(__xludf.DUMMYFUNCTION("""COMPUTED_VALUE"""),"MEUNIER Sylvia")</f>
        <v>MEUNIER Sylvia</v>
      </c>
      <c r="B395" s="1" t="str">
        <f ca="1">IFERROR(__xludf.DUMMYFUNCTION("""COMPUTED_VALUE"""),"MEUNIER")</f>
        <v>MEUNIER</v>
      </c>
      <c r="C395" s="1" t="str">
        <f ca="1">IFERROR(__xludf.DUMMYFUNCTION("""COMPUTED_VALUE"""),"Sylvia")</f>
        <v>Sylvia</v>
      </c>
      <c r="D395" s="1" t="str">
        <f ca="1">IFERROR(__xludf.DUMMYFUNCTION("""COMPUTED_VALUE"""),"1453E1")</f>
        <v>1453E1</v>
      </c>
      <c r="E395" s="2">
        <f ca="1">IFERROR(__xludf.DUMMYFUNCTION("""COMPUTED_VALUE"""),40582)</f>
        <v>40582</v>
      </c>
      <c r="F395" s="1" t="str">
        <f ca="1">IFERROR(__xludf.DUMMYFUNCTION("""COMPUTED_VALUE"""),"2NDE2")</f>
        <v>2NDE2</v>
      </c>
      <c r="G395" s="1" t="str">
        <f ca="1">IFERROR(__xludf.DUMMYFUNCTION("""COMPUTED_VALUE"""),"2nde")</f>
        <v>2nde</v>
      </c>
      <c r="H395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395" s="1" t="str">
        <f ca="1">IFERROR(__xludf.DUMMYFUNCTION("""COMPUTED_VALUE"""),"LVA Anglais")</f>
        <v>LVA Anglais</v>
      </c>
      <c r="J395" s="1" t="str">
        <f ca="1">IFERROR(__xludf.DUMMYFUNCTION("""COMPUTED_VALUE"""),"LVB Espagnol")</f>
        <v>LVB Espagnol</v>
      </c>
      <c r="K395" s="1"/>
      <c r="L395" s="1"/>
      <c r="M395" s="1"/>
      <c r="N395" s="1" t="str">
        <f ca="1">IFERROR(__xludf.DUMMYFUNCTION("""COMPUTED_VALUE"""),"Fille")</f>
        <v>Fille</v>
      </c>
      <c r="O395" s="1"/>
      <c r="P395" s="1" t="str">
        <f ca="1">IFERROR(__xludf.DUMMYFUNCTION("""COMPUTED_VALUE"""),"FRANCE")</f>
        <v>FRANCE</v>
      </c>
      <c r="Q395" s="1"/>
      <c r="R395" s="1" t="str">
        <f ca="1">IFERROR(__xludf.DUMMYFUNCTION("""COMPUTED_VALUE"""),"sylvia.meunier@lfjpsaly.org")</f>
        <v>sylvia.meunier@lfjpsaly.org</v>
      </c>
      <c r="S395" s="1"/>
      <c r="T395" s="1" t="str">
        <f ca="1">IFERROR(__xludf.DUMMYFUNCTION("""COMPUTED_VALUE"""),"PIAZZOLA Jean")</f>
        <v>PIAZZOLA Jean</v>
      </c>
      <c r="U395" s="1" t="str">
        <f ca="1">IFERROR(__xludf.DUMMYFUNCTION("""COMPUTED_VALUE"""),"WANE Couro")</f>
        <v>WANE Couro</v>
      </c>
      <c r="V395" s="1" t="str">
        <f ca="1">IFERROR(__xludf.DUMMYFUNCTION("""COMPUTED_VALUE"""),"jean.piazzola@hotmail.fr")</f>
        <v>jean.piazzola@hotmail.fr</v>
      </c>
      <c r="W395" s="1" t="str">
        <f ca="1">IFERROR(__xludf.DUMMYFUNCTION("""COMPUTED_VALUE"""),"courowane77@gmail.com")</f>
        <v>courowane77@gmail.com</v>
      </c>
      <c r="X395" s="1" t="str">
        <f ca="1">IFERROR(__xludf.DUMMYFUNCTION("""COMPUTED_VALUE"""),"+33 6 61 17 60 19")</f>
        <v>+33 6 61 17 60 19</v>
      </c>
      <c r="Y395" s="1" t="str">
        <f ca="1">IFERROR(__xludf.DUMMYFUNCTION("""COMPUTED_VALUE"""),"+221 77 793 84 24")</f>
        <v>+221 77 793 84 24</v>
      </c>
      <c r="Z395" s="1"/>
      <c r="AA395" s="1" t="str">
        <f ca="1">IFERROR(__xludf.DUMMYFUNCTION("""COMPUTED_VALUE"""),"+221")</f>
        <v>+221</v>
      </c>
      <c r="AB395" s="2">
        <f ca="1">IFERROR(__xludf.DUMMYFUNCTION("""COMPUTED_VALUE"""),17034)</f>
        <v>17034</v>
      </c>
      <c r="AC395" s="2">
        <f ca="1">IFERROR(__xludf.DUMMYFUNCTION("""COMPUTED_VALUE"""),28338)</f>
        <v>28338</v>
      </c>
      <c r="AD395" s="1" t="str">
        <f ca="1">IFERROR(__xludf.DUMMYFUNCTION("""COMPUTED_VALUE"""),"GRAND-PÈRE")</f>
        <v>GRAND-PÈRE</v>
      </c>
      <c r="AE395" s="1" t="str">
        <f ca="1">IFERROR(__xludf.DUMMYFUNCTION("""COMPUTED_VALUE"""),"TUTEUR")</f>
        <v>TUTEUR</v>
      </c>
      <c r="AF395" s="1" t="str">
        <f ca="1">IFERROR(__xludf.DUMMYFUNCTION("""COMPUTED_VALUE"""),"FRANCE")</f>
        <v>FRANCE</v>
      </c>
      <c r="AG395" s="1" t="str">
        <f ca="1">IFERROR(__xludf.DUMMYFUNCTION("""COMPUTED_VALUE"""),"SENEGAL")</f>
        <v>SENEGAL</v>
      </c>
      <c r="AH395" s="1"/>
      <c r="AI395" s="1"/>
      <c r="AJ395" s="1" t="str">
        <f ca="1">IFERROR(__xludf.DUMMYFUNCTION("""COMPUTED_VALUE"""),"F1453")</f>
        <v>F1453</v>
      </c>
      <c r="AK395" s="1" t="str">
        <f ca="1">IFERROR(__xludf.DUMMYFUNCTION("""COMPUTED_VALUE"""),"Marié(e)")</f>
        <v>Marié(e)</v>
      </c>
      <c r="AL395" s="1" t="str">
        <f ca="1">IFERROR(__xludf.DUMMYFUNCTION("""COMPUTED_VALUE"""),"Marié(e)")</f>
        <v>Marié(e)</v>
      </c>
      <c r="AM395" s="1" t="str">
        <f ca="1">IFERROR(__xludf.DUMMYFUNCTION("""COMPUTED_VALUE"""),"F1453")</f>
        <v>F1453</v>
      </c>
    </row>
    <row r="396" spans="1:39" ht="13" x14ac:dyDescent="0.15">
      <c r="A396" s="1" t="str">
        <f ca="1">IFERROR(__xludf.DUMMYFUNCTION("""COMPUTED_VALUE"""),"MINGOU Abraham")</f>
        <v>MINGOU Abraham</v>
      </c>
      <c r="B396" s="1" t="str">
        <f ca="1">IFERROR(__xludf.DUMMYFUNCTION("""COMPUTED_VALUE"""),"MINGOU")</f>
        <v>MINGOU</v>
      </c>
      <c r="C396" s="1" t="str">
        <f ca="1">IFERROR(__xludf.DUMMYFUNCTION("""COMPUTED_VALUE"""),"Abraham")</f>
        <v>Abraham</v>
      </c>
      <c r="D396" s="1" t="str">
        <f ca="1">IFERROR(__xludf.DUMMYFUNCTION("""COMPUTED_VALUE"""),"1455E1")</f>
        <v>1455E1</v>
      </c>
      <c r="E396" s="2">
        <f ca="1">IFERROR(__xludf.DUMMYFUNCTION("""COMPUTED_VALUE"""),40474)</f>
        <v>40474</v>
      </c>
      <c r="F396" s="1" t="str">
        <f ca="1">IFERROR(__xludf.DUMMYFUNCTION("""COMPUTED_VALUE"""),"2NDE1 COOP")</f>
        <v>2NDE1 COOP</v>
      </c>
      <c r="G396" s="1" t="str">
        <f ca="1">IFERROR(__xludf.DUMMYFUNCTION("""COMPUTED_VALUE"""),"2nde")</f>
        <v>2nde</v>
      </c>
      <c r="H396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396" s="1" t="str">
        <f ca="1">IFERROR(__xludf.DUMMYFUNCTION("""COMPUTED_VALUE"""),"LVA Anglais")</f>
        <v>LVA Anglais</v>
      </c>
      <c r="J396" s="1" t="str">
        <f ca="1">IFERROR(__xludf.DUMMYFUNCTION("""COMPUTED_VALUE"""),"LVB Espagnol")</f>
        <v>LVB Espagnol</v>
      </c>
      <c r="K396" s="1"/>
      <c r="L396" s="1"/>
      <c r="M396" s="1"/>
      <c r="N396" s="1" t="str">
        <f ca="1">IFERROR(__xludf.DUMMYFUNCTION("""COMPUTED_VALUE"""),"Garçon")</f>
        <v>Garçon</v>
      </c>
      <c r="O396" s="1"/>
      <c r="P396" s="1" t="str">
        <f ca="1">IFERROR(__xludf.DUMMYFUNCTION("""COMPUTED_VALUE"""),"SENEGAL")</f>
        <v>SENEGAL</v>
      </c>
      <c r="Q396" s="1"/>
      <c r="R396" s="1" t="str">
        <f ca="1">IFERROR(__xludf.DUMMYFUNCTION("""COMPUTED_VALUE"""),"abraham.mingou@lfjpsaly.org")</f>
        <v>abraham.mingou@lfjpsaly.org</v>
      </c>
      <c r="S396" s="1" t="str">
        <f ca="1">IFERROR(__xludf.DUMMYFUNCTION("""COMPUTED_VALUE"""),"+221 77 702 67 51")</f>
        <v>+221 77 702 67 51</v>
      </c>
      <c r="T396" s="1" t="str">
        <f ca="1">IFERROR(__xludf.DUMMYFUNCTION("""COMPUTED_VALUE"""),"MINGOU Lisa")</f>
        <v>MINGOU Lisa</v>
      </c>
      <c r="U396" s="1" t="str">
        <f ca="1">IFERROR(__xludf.DUMMYFUNCTION("""COMPUTED_VALUE"""),"MINGOU Isaac")</f>
        <v>MINGOU Isaac</v>
      </c>
      <c r="V396" s="1" t="str">
        <f ca="1">IFERROR(__xludf.DUMMYFUNCTION("""COMPUTED_VALUE"""),"mingoulisandecky@yahoo.fr")</f>
        <v>mingoulisandecky@yahoo.fr</v>
      </c>
      <c r="W396" s="1" t="str">
        <f ca="1">IFERROR(__xludf.DUMMYFUNCTION("""COMPUTED_VALUE"""),"isaacmingou@gmail.com")</f>
        <v>isaacmingou@gmail.com</v>
      </c>
      <c r="X396" s="1" t="str">
        <f ca="1">IFERROR(__xludf.DUMMYFUNCTION("""COMPUTED_VALUE"""),"+221 77 876 00 33")</f>
        <v>+221 77 876 00 33</v>
      </c>
      <c r="Y396" s="1" t="str">
        <f ca="1">IFERROR(__xludf.DUMMYFUNCTION("""COMPUTED_VALUE"""),"+221 77 988 46 46")</f>
        <v>+221 77 988 46 46</v>
      </c>
      <c r="Z396" s="1" t="str">
        <f ca="1">IFERROR(__xludf.DUMMYFUNCTION("""COMPUTED_VALUE"""),"+221 77 876 00 33")</f>
        <v>+221 77 876 00 33</v>
      </c>
      <c r="AA396" s="1" t="str">
        <f ca="1">IFERROR(__xludf.DUMMYFUNCTION("""COMPUTED_VALUE"""),"+221 77 988 46 46")</f>
        <v>+221 77 988 46 46</v>
      </c>
      <c r="AB396" s="2">
        <f ca="1">IFERROR(__xludf.DUMMYFUNCTION("""COMPUTED_VALUE"""),30520)</f>
        <v>30520</v>
      </c>
      <c r="AC396" s="2">
        <f ca="1">IFERROR(__xludf.DUMMYFUNCTION("""COMPUTED_VALUE"""),29442)</f>
        <v>29442</v>
      </c>
      <c r="AD396" s="1" t="str">
        <f ca="1">IFERROR(__xludf.DUMMYFUNCTION("""COMPUTED_VALUE"""),"MERE")</f>
        <v>MERE</v>
      </c>
      <c r="AE396" s="1" t="str">
        <f ca="1">IFERROR(__xludf.DUMMYFUNCTION("""COMPUTED_VALUE"""),"PERE")</f>
        <v>PERE</v>
      </c>
      <c r="AF396" s="1" t="str">
        <f ca="1">IFERROR(__xludf.DUMMYFUNCTION("""COMPUTED_VALUE"""),"SENEGAL")</f>
        <v>SENEGAL</v>
      </c>
      <c r="AG396" s="1" t="str">
        <f ca="1">IFERROR(__xludf.DUMMYFUNCTION("""COMPUTED_VALUE"""),"SENEGAL")</f>
        <v>SENEGAL</v>
      </c>
      <c r="AH396" s="1"/>
      <c r="AI396" s="1"/>
      <c r="AJ396" s="1" t="str">
        <f ca="1">IFERROR(__xludf.DUMMYFUNCTION("""COMPUTED_VALUE"""),"F1455")</f>
        <v>F1455</v>
      </c>
      <c r="AK396" s="1" t="str">
        <f ca="1">IFERROR(__xludf.DUMMYFUNCTION("""COMPUTED_VALUE"""),"Marié(e)")</f>
        <v>Marié(e)</v>
      </c>
      <c r="AL396" s="1" t="str">
        <f ca="1">IFERROR(__xludf.DUMMYFUNCTION("""COMPUTED_VALUE"""),"Marié(e)")</f>
        <v>Marié(e)</v>
      </c>
      <c r="AM396" s="1" t="str">
        <f ca="1">IFERROR(__xludf.DUMMYFUNCTION("""COMPUTED_VALUE"""),"F1455")</f>
        <v>F1455</v>
      </c>
    </row>
    <row r="397" spans="1:39" ht="13" x14ac:dyDescent="0.15">
      <c r="A397" s="1" t="str">
        <f ca="1">IFERROR(__xludf.DUMMYFUNCTION("""COMPUTED_VALUE"""),"MINGOU Cécilia")</f>
        <v>MINGOU Cécilia</v>
      </c>
      <c r="B397" s="1" t="str">
        <f ca="1">IFERROR(__xludf.DUMMYFUNCTION("""COMPUTED_VALUE"""),"MINGOU")</f>
        <v>MINGOU</v>
      </c>
      <c r="C397" s="1" t="str">
        <f ca="1">IFERROR(__xludf.DUMMYFUNCTION("""COMPUTED_VALUE"""),"Cécilia")</f>
        <v>Cécilia</v>
      </c>
      <c r="D397" s="1" t="str">
        <f ca="1">IFERROR(__xludf.DUMMYFUNCTION("""COMPUTED_VALUE"""),"1455E2")</f>
        <v>1455E2</v>
      </c>
      <c r="E397" s="2">
        <f ca="1">IFERROR(__xludf.DUMMYFUNCTION("""COMPUTED_VALUE"""),39376)</f>
        <v>39376</v>
      </c>
      <c r="F397" s="1" t="str">
        <f ca="1">IFERROR(__xludf.DUMMYFUNCTION("""COMPUTED_VALUE"""),"TERMINALE2")</f>
        <v>TERMINALE2</v>
      </c>
      <c r="G397" s="1" t="str">
        <f ca="1">IFERROR(__xludf.DUMMYFUNCTION("""COMPUTED_VALUE"""),"Terminale")</f>
        <v>Terminale</v>
      </c>
      <c r="H397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397" s="1" t="str">
        <f ca="1">IFERROR(__xludf.DUMMYFUNCTION("""COMPUTED_VALUE"""),"LVA Anglais")</f>
        <v>LVA Anglais</v>
      </c>
      <c r="J397" s="1" t="str">
        <f ca="1">IFERROR(__xludf.DUMMYFUNCTION("""COMPUTED_VALUE"""),"LVB Espagnol")</f>
        <v>LVB Espagnol</v>
      </c>
      <c r="K397" s="1"/>
      <c r="L397" s="1"/>
      <c r="M397" s="1" t="str">
        <f ca="1">IFERROR(__xludf.DUMMYFUNCTION("""COMPUTED_VALUE"""),"SPE HGGSP, SPE SES")</f>
        <v>SPE HGGSP, SPE SES</v>
      </c>
      <c r="N397" s="1" t="str">
        <f ca="1">IFERROR(__xludf.DUMMYFUNCTION("""COMPUTED_VALUE"""),"Fille")</f>
        <v>Fille</v>
      </c>
      <c r="O397" s="1"/>
      <c r="P397" s="1" t="str">
        <f ca="1">IFERROR(__xludf.DUMMYFUNCTION("""COMPUTED_VALUE"""),"SENEGAL")</f>
        <v>SENEGAL</v>
      </c>
      <c r="Q397" s="1"/>
      <c r="R397" s="1" t="str">
        <f ca="1">IFERROR(__xludf.DUMMYFUNCTION("""COMPUTED_VALUE"""),"cecilia.mingou@lfjpsaly.org")</f>
        <v>cecilia.mingou@lfjpsaly.org</v>
      </c>
      <c r="S397" s="1"/>
      <c r="T397" s="1" t="str">
        <f ca="1">IFERROR(__xludf.DUMMYFUNCTION("""COMPUTED_VALUE"""),"MINGOU Lisa")</f>
        <v>MINGOU Lisa</v>
      </c>
      <c r="U397" s="1" t="str">
        <f ca="1">IFERROR(__xludf.DUMMYFUNCTION("""COMPUTED_VALUE"""),"MINGOU Isaac")</f>
        <v>MINGOU Isaac</v>
      </c>
      <c r="V397" s="1" t="str">
        <f ca="1">IFERROR(__xludf.DUMMYFUNCTION("""COMPUTED_VALUE"""),"mingoulisandecky@yahoo.fr")</f>
        <v>mingoulisandecky@yahoo.fr</v>
      </c>
      <c r="W397" s="1" t="str">
        <f ca="1">IFERROR(__xludf.DUMMYFUNCTION("""COMPUTED_VALUE"""),"isaacmingou@gmail.com")</f>
        <v>isaacmingou@gmail.com</v>
      </c>
      <c r="X397" s="1" t="str">
        <f ca="1">IFERROR(__xludf.DUMMYFUNCTION("""COMPUTED_VALUE"""),"+221 77 876 00 33")</f>
        <v>+221 77 876 00 33</v>
      </c>
      <c r="Y397" s="1" t="str">
        <f ca="1">IFERROR(__xludf.DUMMYFUNCTION("""COMPUTED_VALUE"""),"+221 77 988 46 46")</f>
        <v>+221 77 988 46 46</v>
      </c>
      <c r="Z397" s="1" t="str">
        <f ca="1">IFERROR(__xludf.DUMMYFUNCTION("""COMPUTED_VALUE"""),"+221 77 876 00 33")</f>
        <v>+221 77 876 00 33</v>
      </c>
      <c r="AA397" s="1" t="str">
        <f ca="1">IFERROR(__xludf.DUMMYFUNCTION("""COMPUTED_VALUE"""),"+221 77 988 46 46")</f>
        <v>+221 77 988 46 46</v>
      </c>
      <c r="AB397" s="2">
        <f ca="1">IFERROR(__xludf.DUMMYFUNCTION("""COMPUTED_VALUE"""),30520)</f>
        <v>30520</v>
      </c>
      <c r="AC397" s="2">
        <f ca="1">IFERROR(__xludf.DUMMYFUNCTION("""COMPUTED_VALUE"""),29442)</f>
        <v>29442</v>
      </c>
      <c r="AD397" s="1" t="str">
        <f ca="1">IFERROR(__xludf.DUMMYFUNCTION("""COMPUTED_VALUE"""),"MERE")</f>
        <v>MERE</v>
      </c>
      <c r="AE397" s="1" t="str">
        <f ca="1">IFERROR(__xludf.DUMMYFUNCTION("""COMPUTED_VALUE"""),"PERE")</f>
        <v>PERE</v>
      </c>
      <c r="AF397" s="1" t="str">
        <f ca="1">IFERROR(__xludf.DUMMYFUNCTION("""COMPUTED_VALUE"""),"SENEGAL")</f>
        <v>SENEGAL</v>
      </c>
      <c r="AG397" s="1" t="str">
        <f ca="1">IFERROR(__xludf.DUMMYFUNCTION("""COMPUTED_VALUE"""),"SENEGAL")</f>
        <v>SENEGAL</v>
      </c>
      <c r="AH397" s="1"/>
      <c r="AI397" s="1"/>
      <c r="AJ397" s="1" t="str">
        <f ca="1">IFERROR(__xludf.DUMMYFUNCTION("""COMPUTED_VALUE"""),"F1455")</f>
        <v>F1455</v>
      </c>
      <c r="AK397" s="1" t="str">
        <f ca="1">IFERROR(__xludf.DUMMYFUNCTION("""COMPUTED_VALUE"""),"Marié(e)")</f>
        <v>Marié(e)</v>
      </c>
      <c r="AL397" s="1" t="str">
        <f ca="1">IFERROR(__xludf.DUMMYFUNCTION("""COMPUTED_VALUE"""),"Marié(e)")</f>
        <v>Marié(e)</v>
      </c>
      <c r="AM397" s="1" t="str">
        <f ca="1">IFERROR(__xludf.DUMMYFUNCTION("""COMPUTED_VALUE"""),"F1455")</f>
        <v>F1455</v>
      </c>
    </row>
    <row r="398" spans="1:39" ht="13" x14ac:dyDescent="0.15">
      <c r="A398" s="1" t="str">
        <f ca="1">IFERROR(__xludf.DUMMYFUNCTION("""COMPUTED_VALUE"""),"MINGOU Claudia")</f>
        <v>MINGOU Claudia</v>
      </c>
      <c r="B398" s="1" t="str">
        <f ca="1">IFERROR(__xludf.DUMMYFUNCTION("""COMPUTED_VALUE"""),"MINGOU")</f>
        <v>MINGOU</v>
      </c>
      <c r="C398" s="1" t="str">
        <f ca="1">IFERROR(__xludf.DUMMYFUNCTION("""COMPUTED_VALUE"""),"Claudia")</f>
        <v>Claudia</v>
      </c>
      <c r="D398" s="1" t="str">
        <f ca="1">IFERROR(__xludf.DUMMYFUNCTION("""COMPUTED_VALUE"""),"1455E3")</f>
        <v>1455E3</v>
      </c>
      <c r="E398" s="2">
        <f ca="1">IFERROR(__xludf.DUMMYFUNCTION("""COMPUTED_VALUE"""),42017)</f>
        <v>42017</v>
      </c>
      <c r="F398" s="1" t="str">
        <f ca="1">IFERROR(__xludf.DUMMYFUNCTION("""COMPUTED_VALUE"""),"CM2A")</f>
        <v>CM2A</v>
      </c>
      <c r="G398" s="1" t="str">
        <f ca="1">IFERROR(__xludf.DUMMYFUNCTION("""COMPUTED_VALUE"""),"CM2")</f>
        <v>CM2</v>
      </c>
      <c r="H398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398" s="1"/>
      <c r="J398" s="1"/>
      <c r="K398" s="1"/>
      <c r="L398" s="1"/>
      <c r="M398" s="1"/>
      <c r="N398" s="1" t="str">
        <f ca="1">IFERROR(__xludf.DUMMYFUNCTION("""COMPUTED_VALUE"""),"Fille")</f>
        <v>Fille</v>
      </c>
      <c r="O398" s="1"/>
      <c r="P398" s="1" t="str">
        <f ca="1">IFERROR(__xludf.DUMMYFUNCTION("""COMPUTED_VALUE"""),"SENEGAL")</f>
        <v>SENEGAL</v>
      </c>
      <c r="Q398" s="1"/>
      <c r="R398" s="1"/>
      <c r="S398" s="1"/>
      <c r="T398" s="1" t="str">
        <f ca="1">IFERROR(__xludf.DUMMYFUNCTION("""COMPUTED_VALUE"""),"MINGOU Lisa")</f>
        <v>MINGOU Lisa</v>
      </c>
      <c r="U398" s="1" t="str">
        <f ca="1">IFERROR(__xludf.DUMMYFUNCTION("""COMPUTED_VALUE"""),"MINGOU Isaac")</f>
        <v>MINGOU Isaac</v>
      </c>
      <c r="V398" s="1" t="str">
        <f ca="1">IFERROR(__xludf.DUMMYFUNCTION("""COMPUTED_VALUE"""),"mingoulisandecky@yahoo.fr")</f>
        <v>mingoulisandecky@yahoo.fr</v>
      </c>
      <c r="W398" s="1" t="str">
        <f ca="1">IFERROR(__xludf.DUMMYFUNCTION("""COMPUTED_VALUE"""),"isaacmingou@gmail.com")</f>
        <v>isaacmingou@gmail.com</v>
      </c>
      <c r="X398" s="1" t="str">
        <f ca="1">IFERROR(__xludf.DUMMYFUNCTION("""COMPUTED_VALUE"""),"+221 77 876 00 33")</f>
        <v>+221 77 876 00 33</v>
      </c>
      <c r="Y398" s="1" t="str">
        <f ca="1">IFERROR(__xludf.DUMMYFUNCTION("""COMPUTED_VALUE"""),"+221 77 988 46 46")</f>
        <v>+221 77 988 46 46</v>
      </c>
      <c r="Z398" s="1" t="str">
        <f ca="1">IFERROR(__xludf.DUMMYFUNCTION("""COMPUTED_VALUE"""),"+221 77 876 00 33")</f>
        <v>+221 77 876 00 33</v>
      </c>
      <c r="AA398" s="1" t="str">
        <f ca="1">IFERROR(__xludf.DUMMYFUNCTION("""COMPUTED_VALUE"""),"+221 77 988 46 46")</f>
        <v>+221 77 988 46 46</v>
      </c>
      <c r="AB398" s="2">
        <f ca="1">IFERROR(__xludf.DUMMYFUNCTION("""COMPUTED_VALUE"""),30520)</f>
        <v>30520</v>
      </c>
      <c r="AC398" s="2">
        <f ca="1">IFERROR(__xludf.DUMMYFUNCTION("""COMPUTED_VALUE"""),29442)</f>
        <v>29442</v>
      </c>
      <c r="AD398" s="1" t="str">
        <f ca="1">IFERROR(__xludf.DUMMYFUNCTION("""COMPUTED_VALUE"""),"MERE")</f>
        <v>MERE</v>
      </c>
      <c r="AE398" s="1" t="str">
        <f ca="1">IFERROR(__xludf.DUMMYFUNCTION("""COMPUTED_VALUE"""),"PERE")</f>
        <v>PERE</v>
      </c>
      <c r="AF398" s="1" t="str">
        <f ca="1">IFERROR(__xludf.DUMMYFUNCTION("""COMPUTED_VALUE"""),"SENEGAL")</f>
        <v>SENEGAL</v>
      </c>
      <c r="AG398" s="1" t="str">
        <f ca="1">IFERROR(__xludf.DUMMYFUNCTION("""COMPUTED_VALUE"""),"SENEGAL")</f>
        <v>SENEGAL</v>
      </c>
      <c r="AH398" s="1"/>
      <c r="AI398" s="1"/>
      <c r="AJ398" s="1" t="str">
        <f ca="1">IFERROR(__xludf.DUMMYFUNCTION("""COMPUTED_VALUE"""),"F1455")</f>
        <v>F1455</v>
      </c>
      <c r="AK398" s="1" t="str">
        <f ca="1">IFERROR(__xludf.DUMMYFUNCTION("""COMPUTED_VALUE"""),"Marié(e)")</f>
        <v>Marié(e)</v>
      </c>
      <c r="AL398" s="1" t="str">
        <f ca="1">IFERROR(__xludf.DUMMYFUNCTION("""COMPUTED_VALUE"""),"Marié(e)")</f>
        <v>Marié(e)</v>
      </c>
      <c r="AM398" s="1" t="str">
        <f ca="1">IFERROR(__xludf.DUMMYFUNCTION("""COMPUTED_VALUE"""),"F1455")</f>
        <v>F1455</v>
      </c>
    </row>
    <row r="399" spans="1:39" ht="13" x14ac:dyDescent="0.15">
      <c r="A399" s="1" t="str">
        <f ca="1">IFERROR(__xludf.DUMMYFUNCTION("""COMPUTED_VALUE"""),"MINGOU Helena Prisca")</f>
        <v>MINGOU Helena Prisca</v>
      </c>
      <c r="B399" s="1" t="str">
        <f ca="1">IFERROR(__xludf.DUMMYFUNCTION("""COMPUTED_VALUE"""),"MINGOU")</f>
        <v>MINGOU</v>
      </c>
      <c r="C399" s="1" t="str">
        <f ca="1">IFERROR(__xludf.DUMMYFUNCTION("""COMPUTED_VALUE"""),"Helena Prisca")</f>
        <v>Helena Prisca</v>
      </c>
      <c r="D399" s="1" t="str">
        <f ca="1">IFERROR(__xludf.DUMMYFUNCTION("""COMPUTED_VALUE"""),"1455E4")</f>
        <v>1455E4</v>
      </c>
      <c r="E399" s="2">
        <f ca="1">IFERROR(__xludf.DUMMYFUNCTION("""COMPUTED_VALUE"""),42949)</f>
        <v>42949</v>
      </c>
      <c r="F399" s="1" t="str">
        <f ca="1">IFERROR(__xludf.DUMMYFUNCTION("""COMPUTED_VALUE"""),"CE2")</f>
        <v>CE2</v>
      </c>
      <c r="G399" s="1" t="str">
        <f ca="1">IFERROR(__xludf.DUMMYFUNCTION("""COMPUTED_VALUE"""),"CE2")</f>
        <v>CE2</v>
      </c>
      <c r="H399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399" s="1"/>
      <c r="J399" s="1"/>
      <c r="K399" s="1"/>
      <c r="L399" s="1"/>
      <c r="M399" s="1"/>
      <c r="N399" s="1" t="str">
        <f ca="1">IFERROR(__xludf.DUMMYFUNCTION("""COMPUTED_VALUE"""),"Fille")</f>
        <v>Fille</v>
      </c>
      <c r="O399" s="1"/>
      <c r="P399" s="1" t="str">
        <f ca="1">IFERROR(__xludf.DUMMYFUNCTION("""COMPUTED_VALUE"""),"SENEGAL")</f>
        <v>SENEGAL</v>
      </c>
      <c r="Q399" s="1"/>
      <c r="R399" s="1"/>
      <c r="S399" s="1" t="str">
        <f ca="1">IFERROR(__xludf.DUMMYFUNCTION("""COMPUTED_VALUE"""),"+221")</f>
        <v>+221</v>
      </c>
      <c r="T399" s="1" t="str">
        <f ca="1">IFERROR(__xludf.DUMMYFUNCTION("""COMPUTED_VALUE"""),"MINGOU Lisa")</f>
        <v>MINGOU Lisa</v>
      </c>
      <c r="U399" s="1" t="str">
        <f ca="1">IFERROR(__xludf.DUMMYFUNCTION("""COMPUTED_VALUE"""),"MINGOU Isaac")</f>
        <v>MINGOU Isaac</v>
      </c>
      <c r="V399" s="1" t="str">
        <f ca="1">IFERROR(__xludf.DUMMYFUNCTION("""COMPUTED_VALUE"""),"mingoulisandecky@yahoo.fr")</f>
        <v>mingoulisandecky@yahoo.fr</v>
      </c>
      <c r="W399" s="1" t="str">
        <f ca="1">IFERROR(__xludf.DUMMYFUNCTION("""COMPUTED_VALUE"""),"isaacmingou@gmail.com")</f>
        <v>isaacmingou@gmail.com</v>
      </c>
      <c r="X399" s="1" t="str">
        <f ca="1">IFERROR(__xludf.DUMMYFUNCTION("""COMPUTED_VALUE"""),"+221 77 876 00 33")</f>
        <v>+221 77 876 00 33</v>
      </c>
      <c r="Y399" s="1" t="str">
        <f ca="1">IFERROR(__xludf.DUMMYFUNCTION("""COMPUTED_VALUE"""),"+221 77 988 46 46")</f>
        <v>+221 77 988 46 46</v>
      </c>
      <c r="Z399" s="1" t="str">
        <f ca="1">IFERROR(__xludf.DUMMYFUNCTION("""COMPUTED_VALUE"""),"+221 77 876 00 33")</f>
        <v>+221 77 876 00 33</v>
      </c>
      <c r="AA399" s="1" t="str">
        <f ca="1">IFERROR(__xludf.DUMMYFUNCTION("""COMPUTED_VALUE"""),"+221 77 988 46 46")</f>
        <v>+221 77 988 46 46</v>
      </c>
      <c r="AB399" s="2">
        <f ca="1">IFERROR(__xludf.DUMMYFUNCTION("""COMPUTED_VALUE"""),30520)</f>
        <v>30520</v>
      </c>
      <c r="AC399" s="2">
        <f ca="1">IFERROR(__xludf.DUMMYFUNCTION("""COMPUTED_VALUE"""),29442)</f>
        <v>29442</v>
      </c>
      <c r="AD399" s="1" t="str">
        <f ca="1">IFERROR(__xludf.DUMMYFUNCTION("""COMPUTED_VALUE"""),"MERE")</f>
        <v>MERE</v>
      </c>
      <c r="AE399" s="1" t="str">
        <f ca="1">IFERROR(__xludf.DUMMYFUNCTION("""COMPUTED_VALUE"""),"PERE")</f>
        <v>PERE</v>
      </c>
      <c r="AF399" s="1" t="str">
        <f ca="1">IFERROR(__xludf.DUMMYFUNCTION("""COMPUTED_VALUE"""),"SENEGAL")</f>
        <v>SENEGAL</v>
      </c>
      <c r="AG399" s="1" t="str">
        <f ca="1">IFERROR(__xludf.DUMMYFUNCTION("""COMPUTED_VALUE"""),"SENEGAL")</f>
        <v>SENEGAL</v>
      </c>
      <c r="AH399" s="1"/>
      <c r="AI399" s="1"/>
      <c r="AJ399" s="1" t="str">
        <f ca="1">IFERROR(__xludf.DUMMYFUNCTION("""COMPUTED_VALUE"""),"F1455")</f>
        <v>F1455</v>
      </c>
      <c r="AK399" s="1" t="str">
        <f ca="1">IFERROR(__xludf.DUMMYFUNCTION("""COMPUTED_VALUE"""),"Marié(e)")</f>
        <v>Marié(e)</v>
      </c>
      <c r="AL399" s="1" t="str">
        <f ca="1">IFERROR(__xludf.DUMMYFUNCTION("""COMPUTED_VALUE"""),"Marié(e)")</f>
        <v>Marié(e)</v>
      </c>
      <c r="AM399" s="1" t="str">
        <f ca="1">IFERROR(__xludf.DUMMYFUNCTION("""COMPUTED_VALUE"""),"F1455")</f>
        <v>F1455</v>
      </c>
    </row>
    <row r="400" spans="1:39" ht="13" x14ac:dyDescent="0.15">
      <c r="A400" s="1" t="str">
        <f ca="1">IFERROR(__xludf.DUMMYFUNCTION("""COMPUTED_VALUE"""),"MINGOU Rebecca")</f>
        <v>MINGOU Rebecca</v>
      </c>
      <c r="B400" s="1" t="str">
        <f ca="1">IFERROR(__xludf.DUMMYFUNCTION("""COMPUTED_VALUE"""),"MINGOU")</f>
        <v>MINGOU</v>
      </c>
      <c r="C400" s="1" t="str">
        <f ca="1">IFERROR(__xludf.DUMMYFUNCTION("""COMPUTED_VALUE"""),"Rebecca")</f>
        <v>Rebecca</v>
      </c>
      <c r="D400" s="1" t="str">
        <f ca="1">IFERROR(__xludf.DUMMYFUNCTION("""COMPUTED_VALUE"""),"1455E5")</f>
        <v>1455E5</v>
      </c>
      <c r="E400" s="2">
        <f ca="1">IFERROR(__xludf.DUMMYFUNCTION("""COMPUTED_VALUE"""),44596)</f>
        <v>44596</v>
      </c>
      <c r="F400" s="1" t="str">
        <f ca="1">IFERROR(__xludf.DUMMYFUNCTION("""COMPUTED_VALUE"""),"Mat 1")</f>
        <v>Mat 1</v>
      </c>
      <c r="G400" s="1" t="str">
        <f ca="1">IFERROR(__xludf.DUMMYFUNCTION("""COMPUTED_VALUE"""),"PS")</f>
        <v>PS</v>
      </c>
      <c r="H400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400" s="1"/>
      <c r="J400" s="1"/>
      <c r="K400" s="1"/>
      <c r="L400" s="1"/>
      <c r="M400" s="1"/>
      <c r="N400" s="1" t="str">
        <f ca="1">IFERROR(__xludf.DUMMYFUNCTION("""COMPUTED_VALUE"""),"Fille")</f>
        <v>Fille</v>
      </c>
      <c r="O400" s="1"/>
      <c r="P400" s="1" t="str">
        <f ca="1">IFERROR(__xludf.DUMMYFUNCTION("""COMPUTED_VALUE"""),"SENEGAL")</f>
        <v>SENEGAL</v>
      </c>
      <c r="Q400" s="1"/>
      <c r="R400" s="1"/>
      <c r="S400" s="1"/>
      <c r="T400" s="1" t="str">
        <f ca="1">IFERROR(__xludf.DUMMYFUNCTION("""COMPUTED_VALUE"""),"MINGOU Lisa")</f>
        <v>MINGOU Lisa</v>
      </c>
      <c r="U400" s="1" t="str">
        <f ca="1">IFERROR(__xludf.DUMMYFUNCTION("""COMPUTED_VALUE"""),"MINGOU Isaac")</f>
        <v>MINGOU Isaac</v>
      </c>
      <c r="V400" s="1" t="str">
        <f ca="1">IFERROR(__xludf.DUMMYFUNCTION("""COMPUTED_VALUE"""),"mingoulisandecky@yahoo.fr")</f>
        <v>mingoulisandecky@yahoo.fr</v>
      </c>
      <c r="W400" s="1" t="str">
        <f ca="1">IFERROR(__xludf.DUMMYFUNCTION("""COMPUTED_VALUE"""),"isaacmingou@gmail.com")</f>
        <v>isaacmingou@gmail.com</v>
      </c>
      <c r="X400" s="1" t="str">
        <f ca="1">IFERROR(__xludf.DUMMYFUNCTION("""COMPUTED_VALUE"""),"+221 77 876 00 33")</f>
        <v>+221 77 876 00 33</v>
      </c>
      <c r="Y400" s="1" t="str">
        <f ca="1">IFERROR(__xludf.DUMMYFUNCTION("""COMPUTED_VALUE"""),"+221 77 988 46 46")</f>
        <v>+221 77 988 46 46</v>
      </c>
      <c r="Z400" s="1" t="str">
        <f ca="1">IFERROR(__xludf.DUMMYFUNCTION("""COMPUTED_VALUE"""),"+221 77 876 00 33")</f>
        <v>+221 77 876 00 33</v>
      </c>
      <c r="AA400" s="1" t="str">
        <f ca="1">IFERROR(__xludf.DUMMYFUNCTION("""COMPUTED_VALUE"""),"+221 77 988 46 46")</f>
        <v>+221 77 988 46 46</v>
      </c>
      <c r="AB400" s="2">
        <f ca="1">IFERROR(__xludf.DUMMYFUNCTION("""COMPUTED_VALUE"""),30520)</f>
        <v>30520</v>
      </c>
      <c r="AC400" s="2">
        <f ca="1">IFERROR(__xludf.DUMMYFUNCTION("""COMPUTED_VALUE"""),29442)</f>
        <v>29442</v>
      </c>
      <c r="AD400" s="1" t="str">
        <f ca="1">IFERROR(__xludf.DUMMYFUNCTION("""COMPUTED_VALUE"""),"MERE")</f>
        <v>MERE</v>
      </c>
      <c r="AE400" s="1" t="str">
        <f ca="1">IFERROR(__xludf.DUMMYFUNCTION("""COMPUTED_VALUE"""),"PERE")</f>
        <v>PERE</v>
      </c>
      <c r="AF400" s="1" t="str">
        <f ca="1">IFERROR(__xludf.DUMMYFUNCTION("""COMPUTED_VALUE"""),"SENEGAL")</f>
        <v>SENEGAL</v>
      </c>
      <c r="AG400" s="1" t="str">
        <f ca="1">IFERROR(__xludf.DUMMYFUNCTION("""COMPUTED_VALUE"""),"SENEGAL")</f>
        <v>SENEGAL</v>
      </c>
      <c r="AH400" s="1"/>
      <c r="AI400" s="1"/>
      <c r="AJ400" s="1" t="str">
        <f ca="1">IFERROR(__xludf.DUMMYFUNCTION("""COMPUTED_VALUE"""),"F1455")</f>
        <v>F1455</v>
      </c>
      <c r="AK400" s="1" t="str">
        <f ca="1">IFERROR(__xludf.DUMMYFUNCTION("""COMPUTED_VALUE"""),"Marié(e)")</f>
        <v>Marié(e)</v>
      </c>
      <c r="AL400" s="1" t="str">
        <f ca="1">IFERROR(__xludf.DUMMYFUNCTION("""COMPUTED_VALUE"""),"Marié(e)")</f>
        <v>Marié(e)</v>
      </c>
      <c r="AM400" s="1" t="str">
        <f ca="1">IFERROR(__xludf.DUMMYFUNCTION("""COMPUTED_VALUE"""),"F1455")</f>
        <v>F1455</v>
      </c>
    </row>
    <row r="401" spans="1:39" ht="13" x14ac:dyDescent="0.15">
      <c r="A401" s="1" t="str">
        <f ca="1">IFERROR(__xludf.DUMMYFUNCTION("""COMPUTED_VALUE"""),"MINO KEBE Amdy")</f>
        <v>MINO KEBE Amdy</v>
      </c>
      <c r="B401" s="1" t="str">
        <f ca="1">IFERROR(__xludf.DUMMYFUNCTION("""COMPUTED_VALUE"""),"MINO KEBE")</f>
        <v>MINO KEBE</v>
      </c>
      <c r="C401" s="1" t="str">
        <f ca="1">IFERROR(__xludf.DUMMYFUNCTION("""COMPUTED_VALUE"""),"Amdy")</f>
        <v>Amdy</v>
      </c>
      <c r="D401" s="1" t="str">
        <f ca="1">IFERROR(__xludf.DUMMYFUNCTION("""COMPUTED_VALUE"""),"1456E1")</f>
        <v>1456E1</v>
      </c>
      <c r="E401" s="2">
        <f ca="1">IFERROR(__xludf.DUMMYFUNCTION("""COMPUTED_VALUE"""),41540)</f>
        <v>41540</v>
      </c>
      <c r="F401" s="1" t="str">
        <f ca="1">IFERROR(__xludf.DUMMYFUNCTION("""COMPUTED_VALUE"""),"5EME1")</f>
        <v>5EME1</v>
      </c>
      <c r="G401" s="1" t="str">
        <f ca="1">IFERROR(__xludf.DUMMYFUNCTION("""COMPUTED_VALUE"""),"5ème")</f>
        <v>5ème</v>
      </c>
      <c r="H401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401" s="1" t="str">
        <f ca="1">IFERROR(__xludf.DUMMYFUNCTION("""COMPUTED_VALUE"""),"LVA Anglais")</f>
        <v>LVA Anglais</v>
      </c>
      <c r="J401" s="1" t="str">
        <f ca="1">IFERROR(__xludf.DUMMYFUNCTION("""COMPUTED_VALUE"""),"LVB Espagnol")</f>
        <v>LVB Espagnol</v>
      </c>
      <c r="K401" s="1"/>
      <c r="L401" s="1"/>
      <c r="M401" s="1"/>
      <c r="N401" s="1" t="str">
        <f ca="1">IFERROR(__xludf.DUMMYFUNCTION("""COMPUTED_VALUE"""),"Garçon")</f>
        <v>Garçon</v>
      </c>
      <c r="O401" s="1"/>
      <c r="P401" s="1" t="str">
        <f ca="1">IFERROR(__xludf.DUMMYFUNCTION("""COMPUTED_VALUE"""),"FRANCE")</f>
        <v>FRANCE</v>
      </c>
      <c r="Q401" s="1"/>
      <c r="R401" s="1" t="str">
        <f ca="1">IFERROR(__xludf.DUMMYFUNCTION("""COMPUTED_VALUE"""),"amdy.minokebe@lfjpsaly.org")</f>
        <v>amdy.minokebe@lfjpsaly.org</v>
      </c>
      <c r="S401" s="1"/>
      <c r="T401" s="1" t="str">
        <f ca="1">IFERROR(__xludf.DUMMYFUNCTION("""COMPUTED_VALUE"""),"MINO Florie")</f>
        <v>MINO Florie</v>
      </c>
      <c r="U401" s="1" t="str">
        <f ca="1">IFERROR(__xludf.DUMMYFUNCTION("""COMPUTED_VALUE"""),"KEBE Badara")</f>
        <v>KEBE Badara</v>
      </c>
      <c r="V401" s="1" t="str">
        <f ca="1">IFERROR(__xludf.DUMMYFUNCTION("""COMPUTED_VALUE"""),"floriemino@yahoo.fr")</f>
        <v>floriemino@yahoo.fr</v>
      </c>
      <c r="W401" s="1" t="str">
        <f ca="1">IFERROR(__xludf.DUMMYFUNCTION("""COMPUTED_VALUE"""),"badara.kebe@yahoo.com")</f>
        <v>badara.kebe@yahoo.com</v>
      </c>
      <c r="X401" s="1" t="str">
        <f ca="1">IFERROR(__xludf.DUMMYFUNCTION("""COMPUTED_VALUE"""),"+221 77 729 56 76")</f>
        <v>+221 77 729 56 76</v>
      </c>
      <c r="Y401" s="1" t="str">
        <f ca="1">IFERROR(__xludf.DUMMYFUNCTION("""COMPUTED_VALUE"""),"+221 75 345 01 49")</f>
        <v>+221 75 345 01 49</v>
      </c>
      <c r="Z401" s="1" t="str">
        <f ca="1">IFERROR(__xludf.DUMMYFUNCTION("""COMPUTED_VALUE"""),"+33 7 81 97 47 47")</f>
        <v>+33 7 81 97 47 47</v>
      </c>
      <c r="AA401" s="1" t="str">
        <f ca="1">IFERROR(__xludf.DUMMYFUNCTION("""COMPUTED_VALUE"""),"+33 7 51 04 92 08")</f>
        <v>+33 7 51 04 92 08</v>
      </c>
      <c r="AB401" s="2">
        <f ca="1">IFERROR(__xludf.DUMMYFUNCTION("""COMPUTED_VALUE"""),29762)</f>
        <v>29762</v>
      </c>
      <c r="AC401" s="2">
        <f ca="1">IFERROR(__xludf.DUMMYFUNCTION("""COMPUTED_VALUE"""),26098)</f>
        <v>26098</v>
      </c>
      <c r="AD401" s="1" t="str">
        <f ca="1">IFERROR(__xludf.DUMMYFUNCTION("""COMPUTED_VALUE"""),"MERE")</f>
        <v>MERE</v>
      </c>
      <c r="AE401" s="1" t="str">
        <f ca="1">IFERROR(__xludf.DUMMYFUNCTION("""COMPUTED_VALUE"""),"PERE")</f>
        <v>PERE</v>
      </c>
      <c r="AF401" s="1" t="str">
        <f ca="1">IFERROR(__xludf.DUMMYFUNCTION("""COMPUTED_VALUE"""),"FRANCE")</f>
        <v>FRANCE</v>
      </c>
      <c r="AG401" s="1" t="str">
        <f ca="1">IFERROR(__xludf.DUMMYFUNCTION("""COMPUTED_VALUE"""),"SENEGAL")</f>
        <v>SENEGAL</v>
      </c>
      <c r="AH401" s="1"/>
      <c r="AI401" s="1"/>
      <c r="AJ401" s="1" t="str">
        <f ca="1">IFERROR(__xludf.DUMMYFUNCTION("""COMPUTED_VALUE"""),"F1456")</f>
        <v>F1456</v>
      </c>
      <c r="AK401" s="1" t="str">
        <f ca="1">IFERROR(__xludf.DUMMYFUNCTION("""COMPUTED_VALUE"""),"Divorcée")</f>
        <v>Divorcée</v>
      </c>
      <c r="AL401" s="1" t="str">
        <f ca="1">IFERROR(__xludf.DUMMYFUNCTION("""COMPUTED_VALUE"""),"Divorcée")</f>
        <v>Divorcée</v>
      </c>
      <c r="AM401" s="1" t="str">
        <f ca="1">IFERROR(__xludf.DUMMYFUNCTION("""COMPUTED_VALUE"""),"F1456")</f>
        <v>F1456</v>
      </c>
    </row>
    <row r="402" spans="1:39" ht="13" x14ac:dyDescent="0.15">
      <c r="A402" s="1" t="str">
        <f ca="1">IFERROR(__xludf.DUMMYFUNCTION("""COMPUTED_VALUE"""),"MINO KEBE Jamil")</f>
        <v>MINO KEBE Jamil</v>
      </c>
      <c r="B402" s="1" t="str">
        <f ca="1">IFERROR(__xludf.DUMMYFUNCTION("""COMPUTED_VALUE"""),"MINO KEBE")</f>
        <v>MINO KEBE</v>
      </c>
      <c r="C402" s="1" t="str">
        <f ca="1">IFERROR(__xludf.DUMMYFUNCTION("""COMPUTED_VALUE"""),"Jamil")</f>
        <v>Jamil</v>
      </c>
      <c r="D402" s="1" t="str">
        <f ca="1">IFERROR(__xludf.DUMMYFUNCTION("""COMPUTED_VALUE"""),"1456E2")</f>
        <v>1456E2</v>
      </c>
      <c r="E402" s="2">
        <f ca="1">IFERROR(__xludf.DUMMYFUNCTION("""COMPUTED_VALUE"""),43080)</f>
        <v>43080</v>
      </c>
      <c r="F402" s="1" t="str">
        <f ca="1">IFERROR(__xludf.DUMMYFUNCTION("""COMPUTED_VALUE"""),"CP-CE2")</f>
        <v>CP-CE2</v>
      </c>
      <c r="G402" s="1" t="str">
        <f ca="1">IFERROR(__xludf.DUMMYFUNCTION("""COMPUTED_VALUE"""),"CE2")</f>
        <v>CE2</v>
      </c>
      <c r="H402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402" s="1"/>
      <c r="J402" s="1"/>
      <c r="K402" s="1"/>
      <c r="L402" s="1"/>
      <c r="M402" s="1"/>
      <c r="N402" s="1" t="str">
        <f ca="1">IFERROR(__xludf.DUMMYFUNCTION("""COMPUTED_VALUE"""),"Garçon")</f>
        <v>Garçon</v>
      </c>
      <c r="O402" s="1"/>
      <c r="P402" s="1" t="str">
        <f ca="1">IFERROR(__xludf.DUMMYFUNCTION("""COMPUTED_VALUE"""),"FRANCE")</f>
        <v>FRANCE</v>
      </c>
      <c r="Q402" s="1"/>
      <c r="R402" s="1"/>
      <c r="S402" s="1"/>
      <c r="T402" s="1" t="str">
        <f ca="1">IFERROR(__xludf.DUMMYFUNCTION("""COMPUTED_VALUE"""),"MINO Florie")</f>
        <v>MINO Florie</v>
      </c>
      <c r="U402" s="1" t="str">
        <f ca="1">IFERROR(__xludf.DUMMYFUNCTION("""COMPUTED_VALUE"""),"KEBE Badara")</f>
        <v>KEBE Badara</v>
      </c>
      <c r="V402" s="1" t="str">
        <f ca="1">IFERROR(__xludf.DUMMYFUNCTION("""COMPUTED_VALUE"""),"floriemino@yahoo.fr")</f>
        <v>floriemino@yahoo.fr</v>
      </c>
      <c r="W402" s="1" t="str">
        <f ca="1">IFERROR(__xludf.DUMMYFUNCTION("""COMPUTED_VALUE"""),"badara.kebe@yahoo.com")</f>
        <v>badara.kebe@yahoo.com</v>
      </c>
      <c r="X402" s="1" t="str">
        <f ca="1">IFERROR(__xludf.DUMMYFUNCTION("""COMPUTED_VALUE"""),"+221 77 729 56 76")</f>
        <v>+221 77 729 56 76</v>
      </c>
      <c r="Y402" s="1" t="str">
        <f ca="1">IFERROR(__xludf.DUMMYFUNCTION("""COMPUTED_VALUE"""),"+221 75 345 01 49")</f>
        <v>+221 75 345 01 49</v>
      </c>
      <c r="Z402" s="1" t="str">
        <f ca="1">IFERROR(__xludf.DUMMYFUNCTION("""COMPUTED_VALUE"""),"+33 7 81 97 47 47")</f>
        <v>+33 7 81 97 47 47</v>
      </c>
      <c r="AA402" s="1" t="str">
        <f ca="1">IFERROR(__xludf.DUMMYFUNCTION("""COMPUTED_VALUE"""),"+33 7 51 04 92 08")</f>
        <v>+33 7 51 04 92 08</v>
      </c>
      <c r="AB402" s="2">
        <f ca="1">IFERROR(__xludf.DUMMYFUNCTION("""COMPUTED_VALUE"""),29762)</f>
        <v>29762</v>
      </c>
      <c r="AC402" s="2">
        <f ca="1">IFERROR(__xludf.DUMMYFUNCTION("""COMPUTED_VALUE"""),26098)</f>
        <v>26098</v>
      </c>
      <c r="AD402" s="1" t="str">
        <f ca="1">IFERROR(__xludf.DUMMYFUNCTION("""COMPUTED_VALUE"""),"MERE")</f>
        <v>MERE</v>
      </c>
      <c r="AE402" s="1" t="str">
        <f ca="1">IFERROR(__xludf.DUMMYFUNCTION("""COMPUTED_VALUE"""),"PERE")</f>
        <v>PERE</v>
      </c>
      <c r="AF402" s="1" t="str">
        <f ca="1">IFERROR(__xludf.DUMMYFUNCTION("""COMPUTED_VALUE"""),"FRANCE")</f>
        <v>FRANCE</v>
      </c>
      <c r="AG402" s="1" t="str">
        <f ca="1">IFERROR(__xludf.DUMMYFUNCTION("""COMPUTED_VALUE"""),"SENEGAL")</f>
        <v>SENEGAL</v>
      </c>
      <c r="AH402" s="1"/>
      <c r="AI402" s="1"/>
      <c r="AJ402" s="1" t="str">
        <f ca="1">IFERROR(__xludf.DUMMYFUNCTION("""COMPUTED_VALUE"""),"F1456")</f>
        <v>F1456</v>
      </c>
      <c r="AK402" s="1" t="str">
        <f ca="1">IFERROR(__xludf.DUMMYFUNCTION("""COMPUTED_VALUE"""),"Divorcée")</f>
        <v>Divorcée</v>
      </c>
      <c r="AL402" s="1" t="str">
        <f ca="1">IFERROR(__xludf.DUMMYFUNCTION("""COMPUTED_VALUE"""),"Divorcée")</f>
        <v>Divorcée</v>
      </c>
      <c r="AM402" s="1" t="str">
        <f ca="1">IFERROR(__xludf.DUMMYFUNCTION("""COMPUTED_VALUE"""),"F1456")</f>
        <v>F1456</v>
      </c>
    </row>
    <row r="403" spans="1:39" ht="13" x14ac:dyDescent="0.15">
      <c r="A403" s="1" t="str">
        <f ca="1">IFERROR(__xludf.DUMMYFUNCTION("""COMPUTED_VALUE"""),"MISEREZ Marie Eva")</f>
        <v>MISEREZ Marie Eva</v>
      </c>
      <c r="B403" s="1" t="str">
        <f ca="1">IFERROR(__xludf.DUMMYFUNCTION("""COMPUTED_VALUE"""),"MISEREZ")</f>
        <v>MISEREZ</v>
      </c>
      <c r="C403" s="1" t="str">
        <f ca="1">IFERROR(__xludf.DUMMYFUNCTION("""COMPUTED_VALUE"""),"Marie Eva")</f>
        <v>Marie Eva</v>
      </c>
      <c r="D403" s="1" t="str">
        <f ca="1">IFERROR(__xludf.DUMMYFUNCTION("""COMPUTED_VALUE"""),"11724S2376")</f>
        <v>11724S2376</v>
      </c>
      <c r="E403" s="2">
        <f ca="1">IFERROR(__xludf.DUMMYFUNCTION("""COMPUTED_VALUE"""),44479)</f>
        <v>44479</v>
      </c>
      <c r="F403" s="1" t="str">
        <f ca="1">IFERROR(__xludf.DUMMYFUNCTION("""COMPUTED_VALUE"""),"Mat 2")</f>
        <v>Mat 2</v>
      </c>
      <c r="G403" s="1" t="str">
        <f ca="1">IFERROR(__xludf.DUMMYFUNCTION("""COMPUTED_VALUE"""),"MS")</f>
        <v>MS</v>
      </c>
      <c r="H403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403" s="1"/>
      <c r="J403" s="1"/>
      <c r="K403" s="1"/>
      <c r="L403" s="1"/>
      <c r="M403" s="1"/>
      <c r="N403" s="1" t="str">
        <f ca="1">IFERROR(__xludf.DUMMYFUNCTION("""COMPUTED_VALUE"""),"Fille")</f>
        <v>Fille</v>
      </c>
      <c r="O403" s="1"/>
      <c r="P403" s="1" t="str">
        <f ca="1">IFERROR(__xludf.DUMMYFUNCTION("""COMPUTED_VALUE"""),"SENEGAL")</f>
        <v>SENEGAL</v>
      </c>
      <c r="Q403" s="1" t="str">
        <f ca="1">IFERROR(__xludf.DUMMYFUNCTION("""COMPUTED_VALUE"""),"SENEGAL")</f>
        <v>SENEGAL</v>
      </c>
      <c r="R403" s="1"/>
      <c r="S403" s="1" t="str">
        <f ca="1">IFERROR(__xludf.DUMMYFUNCTION("""COMPUTED_VALUE"""),"+221")</f>
        <v>+221</v>
      </c>
      <c r="T403" s="1" t="str">
        <f ca="1">IFERROR(__xludf.DUMMYFUNCTION("""COMPUTED_VALUE"""),"MISEREZ Fabrice")</f>
        <v>MISEREZ Fabrice</v>
      </c>
      <c r="U403" s="1" t="str">
        <f ca="1">IFERROR(__xludf.DUMMYFUNCTION("""COMPUTED_VALUE"""),"SIDIBE Mariama Rina")</f>
        <v>SIDIBE Mariama Rina</v>
      </c>
      <c r="V403" s="1" t="str">
        <f ca="1">IFERROR(__xludf.DUMMYFUNCTION("""COMPUTED_VALUE"""),"fabou71992@gmail.com")</f>
        <v>fabou71992@gmail.com</v>
      </c>
      <c r="W403" s="1" t="str">
        <f ca="1">IFERROR(__xludf.DUMMYFUNCTION("""COMPUTED_VALUE"""),"mariamarinasidibe@gmail.com")</f>
        <v>mariamarinasidibe@gmail.com</v>
      </c>
      <c r="X403" s="1" t="str">
        <f ca="1">IFERROR(__xludf.DUMMYFUNCTION("""COMPUTED_VALUE"""),"+41 78 856 42 18")</f>
        <v>+41 78 856 42 18</v>
      </c>
      <c r="Y403" s="1" t="str">
        <f ca="1">IFERROR(__xludf.DUMMYFUNCTION("""COMPUTED_VALUE"""),"+32 469 25 17 72")</f>
        <v>+32 469 25 17 72</v>
      </c>
      <c r="Z403" s="1" t="str">
        <f ca="1">IFERROR(__xludf.DUMMYFUNCTION("""COMPUTED_VALUE"""),"+41 78 856 42 18")</f>
        <v>+41 78 856 42 18</v>
      </c>
      <c r="AA403" s="1" t="str">
        <f ca="1">IFERROR(__xludf.DUMMYFUNCTION("""COMPUTED_VALUE"""),"+32 469 25 17 72")</f>
        <v>+32 469 25 17 72</v>
      </c>
      <c r="AB403" s="2">
        <f ca="1">IFERROR(__xludf.DUMMYFUNCTION("""COMPUTED_VALUE"""),33734)</f>
        <v>33734</v>
      </c>
      <c r="AC403" s="2">
        <f ca="1">IFERROR(__xludf.DUMMYFUNCTION("""COMPUTED_VALUE"""),45932)</f>
        <v>45932</v>
      </c>
      <c r="AD403" s="1" t="str">
        <f ca="1">IFERROR(__xludf.DUMMYFUNCTION("""COMPUTED_VALUE"""),"PERE")</f>
        <v>PERE</v>
      </c>
      <c r="AE403" s="1" t="str">
        <f ca="1">IFERROR(__xludf.DUMMYFUNCTION("""COMPUTED_VALUE"""),"MERE")</f>
        <v>MERE</v>
      </c>
      <c r="AF403" s="1" t="str">
        <f ca="1">IFERROR(__xludf.DUMMYFUNCTION("""COMPUTED_VALUE"""),"SUISSE")</f>
        <v>SUISSE</v>
      </c>
      <c r="AG403" s="1" t="str">
        <f ca="1">IFERROR(__xludf.DUMMYFUNCTION("""COMPUTED_VALUE"""),"SENEGAL")</f>
        <v>SENEGAL</v>
      </c>
      <c r="AH403" s="1" t="str">
        <f ca="1">IFERROR(__xludf.DUMMYFUNCTION("""COMPUTED_VALUE"""),"SUISSE")</f>
        <v>SUISSE</v>
      </c>
      <c r="AI403" s="1" t="str">
        <f ca="1">IFERROR(__xludf.DUMMYFUNCTION("""COMPUTED_VALUE"""),"SENEGAL")</f>
        <v>SENEGAL</v>
      </c>
      <c r="AJ403" s="1" t="str">
        <f ca="1">IFERROR(__xludf.DUMMYFUNCTION("""COMPUTED_VALUE"""),"U11724")</f>
        <v>U11724</v>
      </c>
      <c r="AK403" s="1" t="str">
        <f ca="1">IFERROR(__xludf.DUMMYFUNCTION("""COMPUTED_VALUE"""),"Divorcée")</f>
        <v>Divorcée</v>
      </c>
      <c r="AL403" s="1" t="str">
        <f ca="1">IFERROR(__xludf.DUMMYFUNCTION("""COMPUTED_VALUE"""),"Célibataire")</f>
        <v>Célibataire</v>
      </c>
      <c r="AM403" s="1" t="str">
        <f ca="1">IFERROR(__xludf.DUMMYFUNCTION("""COMPUTED_VALUE"""),"U11724")</f>
        <v>U11724</v>
      </c>
    </row>
    <row r="404" spans="1:39" ht="13" x14ac:dyDescent="0.15">
      <c r="A404" s="1" t="str">
        <f ca="1">IFERROR(__xludf.DUMMYFUNCTION("""COMPUTED_VALUE"""),"MLIK Aicha")</f>
        <v>MLIK Aicha</v>
      </c>
      <c r="B404" s="1" t="str">
        <f ca="1">IFERROR(__xludf.DUMMYFUNCTION("""COMPUTED_VALUE"""),"MLIK")</f>
        <v>MLIK</v>
      </c>
      <c r="C404" s="1" t="str">
        <f ca="1">IFERROR(__xludf.DUMMYFUNCTION("""COMPUTED_VALUE"""),"Aicha")</f>
        <v>Aicha</v>
      </c>
      <c r="D404" s="1" t="str">
        <f ca="1">IFERROR(__xludf.DUMMYFUNCTION("""COMPUTED_VALUE"""),"1457E1")</f>
        <v>1457E1</v>
      </c>
      <c r="E404" s="2">
        <f ca="1">IFERROR(__xludf.DUMMYFUNCTION("""COMPUTED_VALUE"""),43168)</f>
        <v>43168</v>
      </c>
      <c r="F404" s="1" t="str">
        <f ca="1">IFERROR(__xludf.DUMMYFUNCTION("""COMPUTED_VALUE"""),"CE1A")</f>
        <v>CE1A</v>
      </c>
      <c r="G404" s="1" t="str">
        <f ca="1">IFERROR(__xludf.DUMMYFUNCTION("""COMPUTED_VALUE"""),"CE1")</f>
        <v>CE1</v>
      </c>
      <c r="H404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404" s="1"/>
      <c r="J404" s="1"/>
      <c r="K404" s="1"/>
      <c r="L404" s="1"/>
      <c r="M404" s="1"/>
      <c r="N404" s="1" t="str">
        <f ca="1">IFERROR(__xludf.DUMMYFUNCTION("""COMPUTED_VALUE"""),"Fille")</f>
        <v>Fille</v>
      </c>
      <c r="O404" s="1"/>
      <c r="P404" s="1" t="str">
        <f ca="1">IFERROR(__xludf.DUMMYFUNCTION("""COMPUTED_VALUE"""),"TUNISIE")</f>
        <v>TUNISIE</v>
      </c>
      <c r="Q404" s="1"/>
      <c r="R404" s="1"/>
      <c r="S404" s="1"/>
      <c r="T404" s="1" t="str">
        <f ca="1">IFERROR(__xludf.DUMMYFUNCTION("""COMPUTED_VALUE"""),"MAAMER EP MLIK Abir")</f>
        <v>MAAMER EP MLIK Abir</v>
      </c>
      <c r="U404" s="1" t="str">
        <f ca="1">IFERROR(__xludf.DUMMYFUNCTION("""COMPUTED_VALUE"""),"MLIK Atef")</f>
        <v>MLIK Atef</v>
      </c>
      <c r="V404" s="1" t="str">
        <f ca="1">IFERROR(__xludf.DUMMYFUNCTION("""COMPUTED_VALUE"""),"abir.maamer.mlik@gmail.com")</f>
        <v>abir.maamer.mlik@gmail.com</v>
      </c>
      <c r="W404" s="1" t="str">
        <f ca="1">IFERROR(__xludf.DUMMYFUNCTION("""COMPUTED_VALUE"""),"atef.mlik1980@gmail.com")</f>
        <v>atef.mlik1980@gmail.com</v>
      </c>
      <c r="X404" s="1" t="str">
        <f ca="1">IFERROR(__xludf.DUMMYFUNCTION("""COMPUTED_VALUE"""),"+221 77 597 58 67")</f>
        <v>+221 77 597 58 67</v>
      </c>
      <c r="Y404" s="1" t="str">
        <f ca="1">IFERROR(__xludf.DUMMYFUNCTION("""COMPUTED_VALUE"""),"+221 77 242 56 75")</f>
        <v>+221 77 242 56 75</v>
      </c>
      <c r="Z404" s="1" t="str">
        <f ca="1">IFERROR(__xludf.DUMMYFUNCTION("""COMPUTED_VALUE"""),"+221")</f>
        <v>+221</v>
      </c>
      <c r="AA404" s="1" t="str">
        <f ca="1">IFERROR(__xludf.DUMMYFUNCTION("""COMPUTED_VALUE"""),"+221")</f>
        <v>+221</v>
      </c>
      <c r="AB404" s="2">
        <f ca="1">IFERROR(__xludf.DUMMYFUNCTION("""COMPUTED_VALUE"""),30738)</f>
        <v>30738</v>
      </c>
      <c r="AC404" s="2">
        <f ca="1">IFERROR(__xludf.DUMMYFUNCTION("""COMPUTED_VALUE"""),29311)</f>
        <v>29311</v>
      </c>
      <c r="AD404" s="1" t="str">
        <f ca="1">IFERROR(__xludf.DUMMYFUNCTION("""COMPUTED_VALUE"""),"MERE")</f>
        <v>MERE</v>
      </c>
      <c r="AE404" s="1" t="str">
        <f ca="1">IFERROR(__xludf.DUMMYFUNCTION("""COMPUTED_VALUE"""),"PERE")</f>
        <v>PERE</v>
      </c>
      <c r="AF404" s="1" t="str">
        <f ca="1">IFERROR(__xludf.DUMMYFUNCTION("""COMPUTED_VALUE"""),"TUNISIE")</f>
        <v>TUNISIE</v>
      </c>
      <c r="AG404" s="1" t="str">
        <f ca="1">IFERROR(__xludf.DUMMYFUNCTION("""COMPUTED_VALUE"""),"TUNISIE")</f>
        <v>TUNISIE</v>
      </c>
      <c r="AH404" s="1"/>
      <c r="AI404" s="1"/>
      <c r="AJ404" s="1" t="str">
        <f ca="1">IFERROR(__xludf.DUMMYFUNCTION("""COMPUTED_VALUE"""),"F1457")</f>
        <v>F1457</v>
      </c>
      <c r="AK404" s="1" t="str">
        <f ca="1">IFERROR(__xludf.DUMMYFUNCTION("""COMPUTED_VALUE"""),"Marié(e)")</f>
        <v>Marié(e)</v>
      </c>
      <c r="AL404" s="1" t="str">
        <f ca="1">IFERROR(__xludf.DUMMYFUNCTION("""COMPUTED_VALUE"""),"Marié(e)")</f>
        <v>Marié(e)</v>
      </c>
      <c r="AM404" s="1" t="str">
        <f ca="1">IFERROR(__xludf.DUMMYFUNCTION("""COMPUTED_VALUE"""),"F1457")</f>
        <v>F1457</v>
      </c>
    </row>
    <row r="405" spans="1:39" ht="13" x14ac:dyDescent="0.15">
      <c r="A405" s="1" t="str">
        <f ca="1">IFERROR(__xludf.DUMMYFUNCTION("""COMPUTED_VALUE"""),"MLIK Oday")</f>
        <v>MLIK Oday</v>
      </c>
      <c r="B405" s="1" t="str">
        <f ca="1">IFERROR(__xludf.DUMMYFUNCTION("""COMPUTED_VALUE"""),"MLIK")</f>
        <v>MLIK</v>
      </c>
      <c r="C405" s="1" t="str">
        <f ca="1">IFERROR(__xludf.DUMMYFUNCTION("""COMPUTED_VALUE"""),"Oday")</f>
        <v>Oday</v>
      </c>
      <c r="D405" s="1" t="str">
        <f ca="1">IFERROR(__xludf.DUMMYFUNCTION("""COMPUTED_VALUE"""),"1457E2")</f>
        <v>1457E2</v>
      </c>
      <c r="E405" s="2">
        <f ca="1">IFERROR(__xludf.DUMMYFUNCTION("""COMPUTED_VALUE"""),41909)</f>
        <v>41909</v>
      </c>
      <c r="F405" s="1" t="str">
        <f ca="1">IFERROR(__xludf.DUMMYFUNCTION("""COMPUTED_VALUE"""),"6EME1")</f>
        <v>6EME1</v>
      </c>
      <c r="G405" s="1" t="str">
        <f ca="1">IFERROR(__xludf.DUMMYFUNCTION("""COMPUTED_VALUE"""),"6ème")</f>
        <v>6ème</v>
      </c>
      <c r="H405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405" s="1" t="str">
        <f ca="1">IFERROR(__xludf.DUMMYFUNCTION("""COMPUTED_VALUE"""),"LVA Anglais")</f>
        <v>LVA Anglais</v>
      </c>
      <c r="J405" s="1" t="str">
        <f ca="1">IFERROR(__xludf.DUMMYFUNCTION("""COMPUTED_VALUE"""),"LVB Espagnol")</f>
        <v>LVB Espagnol</v>
      </c>
      <c r="K405" s="1"/>
      <c r="L405" s="1"/>
      <c r="M405" s="1"/>
      <c r="N405" s="1" t="str">
        <f ca="1">IFERROR(__xludf.DUMMYFUNCTION("""COMPUTED_VALUE"""),"Garçon")</f>
        <v>Garçon</v>
      </c>
      <c r="O405" s="1"/>
      <c r="P405" s="1" t="str">
        <f ca="1">IFERROR(__xludf.DUMMYFUNCTION("""COMPUTED_VALUE"""),"TUNISIE")</f>
        <v>TUNISIE</v>
      </c>
      <c r="Q405" s="1"/>
      <c r="R405" s="1" t="str">
        <f ca="1">IFERROR(__xludf.DUMMYFUNCTION("""COMPUTED_VALUE"""),"oday.mlik@lfjpsaly.org")</f>
        <v>oday.mlik@lfjpsaly.org</v>
      </c>
      <c r="S405" s="1"/>
      <c r="T405" s="1" t="str">
        <f ca="1">IFERROR(__xludf.DUMMYFUNCTION("""COMPUTED_VALUE"""),"MAAMER EP MLIK Abir")</f>
        <v>MAAMER EP MLIK Abir</v>
      </c>
      <c r="U405" s="1" t="str">
        <f ca="1">IFERROR(__xludf.DUMMYFUNCTION("""COMPUTED_VALUE"""),"MLIK Atef")</f>
        <v>MLIK Atef</v>
      </c>
      <c r="V405" s="1" t="str">
        <f ca="1">IFERROR(__xludf.DUMMYFUNCTION("""COMPUTED_VALUE"""),"abir.maamer.mlik@gmail.com")</f>
        <v>abir.maamer.mlik@gmail.com</v>
      </c>
      <c r="W405" s="1" t="str">
        <f ca="1">IFERROR(__xludf.DUMMYFUNCTION("""COMPUTED_VALUE"""),"atef.mlik1980@gmail.com")</f>
        <v>atef.mlik1980@gmail.com</v>
      </c>
      <c r="X405" s="1" t="str">
        <f ca="1">IFERROR(__xludf.DUMMYFUNCTION("""COMPUTED_VALUE"""),"+221 77 597 58 67")</f>
        <v>+221 77 597 58 67</v>
      </c>
      <c r="Y405" s="1" t="str">
        <f ca="1">IFERROR(__xludf.DUMMYFUNCTION("""COMPUTED_VALUE"""),"+221 77 242 56 75")</f>
        <v>+221 77 242 56 75</v>
      </c>
      <c r="Z405" s="1" t="str">
        <f ca="1">IFERROR(__xludf.DUMMYFUNCTION("""COMPUTED_VALUE"""),"+221")</f>
        <v>+221</v>
      </c>
      <c r="AA405" s="1" t="str">
        <f ca="1">IFERROR(__xludf.DUMMYFUNCTION("""COMPUTED_VALUE"""),"+221")</f>
        <v>+221</v>
      </c>
      <c r="AB405" s="2">
        <f ca="1">IFERROR(__xludf.DUMMYFUNCTION("""COMPUTED_VALUE"""),30738)</f>
        <v>30738</v>
      </c>
      <c r="AC405" s="2">
        <f ca="1">IFERROR(__xludf.DUMMYFUNCTION("""COMPUTED_VALUE"""),29311)</f>
        <v>29311</v>
      </c>
      <c r="AD405" s="1" t="str">
        <f ca="1">IFERROR(__xludf.DUMMYFUNCTION("""COMPUTED_VALUE"""),"MERE")</f>
        <v>MERE</v>
      </c>
      <c r="AE405" s="1" t="str">
        <f ca="1">IFERROR(__xludf.DUMMYFUNCTION("""COMPUTED_VALUE"""),"PERE")</f>
        <v>PERE</v>
      </c>
      <c r="AF405" s="1" t="str">
        <f ca="1">IFERROR(__xludf.DUMMYFUNCTION("""COMPUTED_VALUE"""),"TUNISIE")</f>
        <v>TUNISIE</v>
      </c>
      <c r="AG405" s="1" t="str">
        <f ca="1">IFERROR(__xludf.DUMMYFUNCTION("""COMPUTED_VALUE"""),"TUNISIE")</f>
        <v>TUNISIE</v>
      </c>
      <c r="AH405" s="1"/>
      <c r="AI405" s="1"/>
      <c r="AJ405" s="1" t="str">
        <f ca="1">IFERROR(__xludf.DUMMYFUNCTION("""COMPUTED_VALUE"""),"F1457")</f>
        <v>F1457</v>
      </c>
      <c r="AK405" s="1" t="str">
        <f ca="1">IFERROR(__xludf.DUMMYFUNCTION("""COMPUTED_VALUE"""),"Marié(e)")</f>
        <v>Marié(e)</v>
      </c>
      <c r="AL405" s="1" t="str">
        <f ca="1">IFERROR(__xludf.DUMMYFUNCTION("""COMPUTED_VALUE"""),"Marié(e)")</f>
        <v>Marié(e)</v>
      </c>
      <c r="AM405" s="1" t="str">
        <f ca="1">IFERROR(__xludf.DUMMYFUNCTION("""COMPUTED_VALUE"""),"F1457")</f>
        <v>F1457</v>
      </c>
    </row>
    <row r="406" spans="1:39" ht="13" x14ac:dyDescent="0.15">
      <c r="A406" s="1" t="str">
        <f ca="1">IFERROR(__xludf.DUMMYFUNCTION("""COMPUTED_VALUE"""),"MLIK Omar")</f>
        <v>MLIK Omar</v>
      </c>
      <c r="B406" s="1" t="str">
        <f ca="1">IFERROR(__xludf.DUMMYFUNCTION("""COMPUTED_VALUE"""),"MLIK")</f>
        <v>MLIK</v>
      </c>
      <c r="C406" s="1" t="str">
        <f ca="1">IFERROR(__xludf.DUMMYFUNCTION("""COMPUTED_VALUE"""),"Omar")</f>
        <v>Omar</v>
      </c>
      <c r="D406" s="1" t="str">
        <f ca="1">IFERROR(__xludf.DUMMYFUNCTION("""COMPUTED_VALUE"""),"1457E3")</f>
        <v>1457E3</v>
      </c>
      <c r="E406" s="2">
        <f ca="1">IFERROR(__xludf.DUMMYFUNCTION("""COMPUTED_VALUE"""),40901)</f>
        <v>40901</v>
      </c>
      <c r="F406" s="1" t="str">
        <f ca="1">IFERROR(__xludf.DUMMYFUNCTION("""COMPUTED_VALUE"""),"3EME1")</f>
        <v>3EME1</v>
      </c>
      <c r="G406" s="1" t="str">
        <f ca="1">IFERROR(__xludf.DUMMYFUNCTION("""COMPUTED_VALUE"""),"3ème")</f>
        <v>3ème</v>
      </c>
      <c r="H406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406" s="1" t="str">
        <f ca="1">IFERROR(__xludf.DUMMYFUNCTION("""COMPUTED_VALUE"""),"LVA Anglais")</f>
        <v>LVA Anglais</v>
      </c>
      <c r="J406" s="1" t="str">
        <f ca="1">IFERROR(__xludf.DUMMYFUNCTION("""COMPUTED_VALUE"""),"LVB Espagnol")</f>
        <v>LVB Espagnol</v>
      </c>
      <c r="K406" s="1"/>
      <c r="L406" s="1"/>
      <c r="M406" s="1"/>
      <c r="N406" s="1" t="str">
        <f ca="1">IFERROR(__xludf.DUMMYFUNCTION("""COMPUTED_VALUE"""),"Garçon")</f>
        <v>Garçon</v>
      </c>
      <c r="O406" s="1"/>
      <c r="P406" s="1" t="str">
        <f ca="1">IFERROR(__xludf.DUMMYFUNCTION("""COMPUTED_VALUE"""),"TUNISIE")</f>
        <v>TUNISIE</v>
      </c>
      <c r="Q406" s="1"/>
      <c r="R406" s="1" t="str">
        <f ca="1">IFERROR(__xludf.DUMMYFUNCTION("""COMPUTED_VALUE"""),"omar.mlik@lfjpsaly.org")</f>
        <v>omar.mlik@lfjpsaly.org</v>
      </c>
      <c r="S406" s="1" t="str">
        <f ca="1">IFERROR(__xludf.DUMMYFUNCTION("""COMPUTED_VALUE"""),"+221 77 597 58 67")</f>
        <v>+221 77 597 58 67</v>
      </c>
      <c r="T406" s="1" t="str">
        <f ca="1">IFERROR(__xludf.DUMMYFUNCTION("""COMPUTED_VALUE"""),"MAAMER EP MLIK Abir")</f>
        <v>MAAMER EP MLIK Abir</v>
      </c>
      <c r="U406" s="1" t="str">
        <f ca="1">IFERROR(__xludf.DUMMYFUNCTION("""COMPUTED_VALUE"""),"MLIK Atef")</f>
        <v>MLIK Atef</v>
      </c>
      <c r="V406" s="1" t="str">
        <f ca="1">IFERROR(__xludf.DUMMYFUNCTION("""COMPUTED_VALUE"""),"abir.maamer.mlik@gmail.com")</f>
        <v>abir.maamer.mlik@gmail.com</v>
      </c>
      <c r="W406" s="1" t="str">
        <f ca="1">IFERROR(__xludf.DUMMYFUNCTION("""COMPUTED_VALUE"""),"atef.mlik1980@gmail.com")</f>
        <v>atef.mlik1980@gmail.com</v>
      </c>
      <c r="X406" s="1" t="str">
        <f ca="1">IFERROR(__xludf.DUMMYFUNCTION("""COMPUTED_VALUE"""),"+221 77 597 58 67")</f>
        <v>+221 77 597 58 67</v>
      </c>
      <c r="Y406" s="1" t="str">
        <f ca="1">IFERROR(__xludf.DUMMYFUNCTION("""COMPUTED_VALUE"""),"+221 77 242 56 75")</f>
        <v>+221 77 242 56 75</v>
      </c>
      <c r="Z406" s="1" t="str">
        <f ca="1">IFERROR(__xludf.DUMMYFUNCTION("""COMPUTED_VALUE"""),"+221")</f>
        <v>+221</v>
      </c>
      <c r="AA406" s="1" t="str">
        <f ca="1">IFERROR(__xludf.DUMMYFUNCTION("""COMPUTED_VALUE"""),"+221")</f>
        <v>+221</v>
      </c>
      <c r="AB406" s="2">
        <f ca="1">IFERROR(__xludf.DUMMYFUNCTION("""COMPUTED_VALUE"""),30738)</f>
        <v>30738</v>
      </c>
      <c r="AC406" s="2">
        <f ca="1">IFERROR(__xludf.DUMMYFUNCTION("""COMPUTED_VALUE"""),29311)</f>
        <v>29311</v>
      </c>
      <c r="AD406" s="1" t="str">
        <f ca="1">IFERROR(__xludf.DUMMYFUNCTION("""COMPUTED_VALUE"""),"MERE")</f>
        <v>MERE</v>
      </c>
      <c r="AE406" s="1" t="str">
        <f ca="1">IFERROR(__xludf.DUMMYFUNCTION("""COMPUTED_VALUE"""),"PERE")</f>
        <v>PERE</v>
      </c>
      <c r="AF406" s="1" t="str">
        <f ca="1">IFERROR(__xludf.DUMMYFUNCTION("""COMPUTED_VALUE"""),"TUNISIE")</f>
        <v>TUNISIE</v>
      </c>
      <c r="AG406" s="1" t="str">
        <f ca="1">IFERROR(__xludf.DUMMYFUNCTION("""COMPUTED_VALUE"""),"TUNISIE")</f>
        <v>TUNISIE</v>
      </c>
      <c r="AH406" s="1"/>
      <c r="AI406" s="1"/>
      <c r="AJ406" s="1" t="str">
        <f ca="1">IFERROR(__xludf.DUMMYFUNCTION("""COMPUTED_VALUE"""),"F1457")</f>
        <v>F1457</v>
      </c>
      <c r="AK406" s="1" t="str">
        <f ca="1">IFERROR(__xludf.DUMMYFUNCTION("""COMPUTED_VALUE"""),"Marié(e)")</f>
        <v>Marié(e)</v>
      </c>
      <c r="AL406" s="1" t="str">
        <f ca="1">IFERROR(__xludf.DUMMYFUNCTION("""COMPUTED_VALUE"""),"Marié(e)")</f>
        <v>Marié(e)</v>
      </c>
      <c r="AM406" s="1" t="str">
        <f ca="1">IFERROR(__xludf.DUMMYFUNCTION("""COMPUTED_VALUE"""),"F1457")</f>
        <v>F1457</v>
      </c>
    </row>
    <row r="407" spans="1:39" ht="13" x14ac:dyDescent="0.15">
      <c r="A407" s="1" t="str">
        <f ca="1">IFERROR(__xludf.DUMMYFUNCTION("""COMPUTED_VALUE"""),"MOATTI Ludovic")</f>
        <v>MOATTI Ludovic</v>
      </c>
      <c r="B407" s="1" t="str">
        <f ca="1">IFERROR(__xludf.DUMMYFUNCTION("""COMPUTED_VALUE"""),"MOATTI")</f>
        <v>MOATTI</v>
      </c>
      <c r="C407" s="1" t="str">
        <f ca="1">IFERROR(__xludf.DUMMYFUNCTION("""COMPUTED_VALUE"""),"Ludovic")</f>
        <v>Ludovic</v>
      </c>
      <c r="D407" s="1" t="str">
        <f ca="1">IFERROR(__xludf.DUMMYFUNCTION("""COMPUTED_VALUE"""),"1458E1")</f>
        <v>1458E1</v>
      </c>
      <c r="E407" s="2">
        <f ca="1">IFERROR(__xludf.DUMMYFUNCTION("""COMPUTED_VALUE"""),41963)</f>
        <v>41963</v>
      </c>
      <c r="F407" s="1" t="str">
        <f ca="1">IFERROR(__xludf.DUMMYFUNCTION("""COMPUTED_VALUE"""),"CM2A")</f>
        <v>CM2A</v>
      </c>
      <c r="G407" s="1" t="str">
        <f ca="1">IFERROR(__xludf.DUMMYFUNCTION("""COMPUTED_VALUE"""),"CM2")</f>
        <v>CM2</v>
      </c>
      <c r="H407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407" s="1"/>
      <c r="J407" s="1"/>
      <c r="K407" s="1"/>
      <c r="L407" s="1"/>
      <c r="M407" s="1"/>
      <c r="N407" s="1" t="str">
        <f ca="1">IFERROR(__xludf.DUMMYFUNCTION("""COMPUTED_VALUE"""),"Garçon")</f>
        <v>Garçon</v>
      </c>
      <c r="O407" s="1"/>
      <c r="P407" s="1" t="str">
        <f ca="1">IFERROR(__xludf.DUMMYFUNCTION("""COMPUTED_VALUE"""),"SENEGAL")</f>
        <v>SENEGAL</v>
      </c>
      <c r="Q407" s="1"/>
      <c r="R407" s="1"/>
      <c r="S407" s="1"/>
      <c r="T407" s="1" t="str">
        <f ca="1">IFERROR(__xludf.DUMMYFUNCTION("""COMPUTED_VALUE"""),"DIOP Elene")</f>
        <v>DIOP Elene</v>
      </c>
      <c r="U407" s="1"/>
      <c r="V407" s="1" t="str">
        <f ca="1">IFERROR(__xludf.DUMMYFUNCTION("""COMPUTED_VALUE"""),"chantalastou@gmail.com")</f>
        <v>chantalastou@gmail.com</v>
      </c>
      <c r="W407" s="1"/>
      <c r="X407" s="1" t="str">
        <f ca="1">IFERROR(__xludf.DUMMYFUNCTION("""COMPUTED_VALUE"""),"+221 77 550 00 71")</f>
        <v>+221 77 550 00 71</v>
      </c>
      <c r="Y407" s="1"/>
      <c r="Z407" s="1" t="str">
        <f ca="1">IFERROR(__xludf.DUMMYFUNCTION("""COMPUTED_VALUE"""),"+221")</f>
        <v>+221</v>
      </c>
      <c r="AA407" s="1"/>
      <c r="AB407" s="2">
        <f ca="1">IFERROR(__xludf.DUMMYFUNCTION("""COMPUTED_VALUE"""),27454)</f>
        <v>27454</v>
      </c>
      <c r="AC407" s="1"/>
      <c r="AD407" s="1" t="str">
        <f ca="1">IFERROR(__xludf.DUMMYFUNCTION("""COMPUTED_VALUE"""),"MERE")</f>
        <v>MERE</v>
      </c>
      <c r="AE407" s="1"/>
      <c r="AF407" s="1" t="str">
        <f ca="1">IFERROR(__xludf.DUMMYFUNCTION("""COMPUTED_VALUE"""),"SENEGAL")</f>
        <v>SENEGAL</v>
      </c>
      <c r="AG407" s="1"/>
      <c r="AH407" s="1"/>
      <c r="AI407" s="1"/>
      <c r="AJ407" s="1" t="str">
        <f ca="1">IFERROR(__xludf.DUMMYFUNCTION("""COMPUTED_VALUE"""),"F1458")</f>
        <v>F1458</v>
      </c>
      <c r="AK407" s="1" t="str">
        <f ca="1">IFERROR(__xludf.DUMMYFUNCTION("""COMPUTED_VALUE"""),"Célibataire")</f>
        <v>Célibataire</v>
      </c>
      <c r="AL407" s="1"/>
      <c r="AM407" s="1" t="str">
        <f ca="1">IFERROR(__xludf.DUMMYFUNCTION("""COMPUTED_VALUE"""),"F1458")</f>
        <v>F1458</v>
      </c>
    </row>
    <row r="408" spans="1:39" ht="13" x14ac:dyDescent="0.15">
      <c r="A408" s="1" t="str">
        <f ca="1">IFERROR(__xludf.DUMMYFUNCTION("""COMPUTED_VALUE"""),"MOCNIK Axelle")</f>
        <v>MOCNIK Axelle</v>
      </c>
      <c r="B408" s="1" t="str">
        <f ca="1">IFERROR(__xludf.DUMMYFUNCTION("""COMPUTED_VALUE"""),"MOCNIK")</f>
        <v>MOCNIK</v>
      </c>
      <c r="C408" s="1" t="str">
        <f ca="1">IFERROR(__xludf.DUMMYFUNCTION("""COMPUTED_VALUE"""),"Axelle")</f>
        <v>Axelle</v>
      </c>
      <c r="D408" s="1" t="str">
        <f ca="1">IFERROR(__xludf.DUMMYFUNCTION("""COMPUTED_VALUE"""),"1459E1")</f>
        <v>1459E1</v>
      </c>
      <c r="E408" s="2">
        <f ca="1">IFERROR(__xludf.DUMMYFUNCTION("""COMPUTED_VALUE"""),42093)</f>
        <v>42093</v>
      </c>
      <c r="F408" s="1" t="str">
        <f ca="1">IFERROR(__xludf.DUMMYFUNCTION("""COMPUTED_VALUE"""),"CM2B")</f>
        <v>CM2B</v>
      </c>
      <c r="G408" s="1" t="str">
        <f ca="1">IFERROR(__xludf.DUMMYFUNCTION("""COMPUTED_VALUE"""),"CM2")</f>
        <v>CM2</v>
      </c>
      <c r="H408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408" s="1"/>
      <c r="J408" s="1"/>
      <c r="K408" s="1"/>
      <c r="L408" s="1"/>
      <c r="M408" s="1"/>
      <c r="N408" s="1" t="str">
        <f ca="1">IFERROR(__xludf.DUMMYFUNCTION("""COMPUTED_VALUE"""),"Fille")</f>
        <v>Fille</v>
      </c>
      <c r="O408" s="1"/>
      <c r="P408" s="1" t="str">
        <f ca="1">IFERROR(__xludf.DUMMYFUNCTION("""COMPUTED_VALUE"""),"FRANCE")</f>
        <v>FRANCE</v>
      </c>
      <c r="Q408" s="1"/>
      <c r="R408" s="1"/>
      <c r="S408" s="1"/>
      <c r="T408" s="1" t="str">
        <f ca="1">IFERROR(__xludf.DUMMYFUNCTION("""COMPUTED_VALUE"""),"NDIAYE Aïda")</f>
        <v>NDIAYE Aïda</v>
      </c>
      <c r="U408" s="1" t="str">
        <f ca="1">IFERROR(__xludf.DUMMYFUNCTION("""COMPUTED_VALUE"""),"MOCNIK Michel")</f>
        <v>MOCNIK Michel</v>
      </c>
      <c r="V408" s="1" t="str">
        <f ca="1">IFERROR(__xludf.DUMMYFUNCTION("""COMPUTED_VALUE"""),"mocnik.michel@gmail.com")</f>
        <v>mocnik.michel@gmail.com</v>
      </c>
      <c r="W408" s="1" t="str">
        <f ca="1">IFERROR(__xludf.DUMMYFUNCTION("""COMPUTED_VALUE"""),"mocnik.michel@gmail.com")</f>
        <v>mocnik.michel@gmail.com</v>
      </c>
      <c r="X408" s="1" t="str">
        <f ca="1">IFERROR(__xludf.DUMMYFUNCTION("""COMPUTED_VALUE"""),"+221 77 575 84 41")</f>
        <v>+221 77 575 84 41</v>
      </c>
      <c r="Y408" s="1" t="str">
        <f ca="1">IFERROR(__xludf.DUMMYFUNCTION("""COMPUTED_VALUE"""),"+221 77 644 29 04")</f>
        <v>+221 77 644 29 04</v>
      </c>
      <c r="Z408" s="1"/>
      <c r="AA408" s="1" t="str">
        <f ca="1">IFERROR(__xludf.DUMMYFUNCTION("""COMPUTED_VALUE"""),"+221 77 644 29 04")</f>
        <v>+221 77 644 29 04</v>
      </c>
      <c r="AB408" s="2">
        <f ca="1">IFERROR(__xludf.DUMMYFUNCTION("""COMPUTED_VALUE"""),27288)</f>
        <v>27288</v>
      </c>
      <c r="AC408" s="2">
        <f ca="1">IFERROR(__xludf.DUMMYFUNCTION("""COMPUTED_VALUE"""),26626)</f>
        <v>26626</v>
      </c>
      <c r="AD408" s="1" t="str">
        <f ca="1">IFERROR(__xludf.DUMMYFUNCTION("""COMPUTED_VALUE"""),"MERE")</f>
        <v>MERE</v>
      </c>
      <c r="AE408" s="1" t="str">
        <f ca="1">IFERROR(__xludf.DUMMYFUNCTION("""COMPUTED_VALUE"""),"PERE")</f>
        <v>PERE</v>
      </c>
      <c r="AF408" s="1" t="str">
        <f ca="1">IFERROR(__xludf.DUMMYFUNCTION("""COMPUTED_VALUE"""),"SENEGAL")</f>
        <v>SENEGAL</v>
      </c>
      <c r="AG408" s="1" t="str">
        <f ca="1">IFERROR(__xludf.DUMMYFUNCTION("""COMPUTED_VALUE"""),"FRANCE")</f>
        <v>FRANCE</v>
      </c>
      <c r="AH408" s="1"/>
      <c r="AI408" s="1"/>
      <c r="AJ408" s="1" t="str">
        <f ca="1">IFERROR(__xludf.DUMMYFUNCTION("""COMPUTED_VALUE"""),"F1459")</f>
        <v>F1459</v>
      </c>
      <c r="AK408" s="1" t="str">
        <f ca="1">IFERROR(__xludf.DUMMYFUNCTION("""COMPUTED_VALUE"""),"Marié(e)")</f>
        <v>Marié(e)</v>
      </c>
      <c r="AL408" s="1" t="str">
        <f ca="1">IFERROR(__xludf.DUMMYFUNCTION("""COMPUTED_VALUE"""),"Marié(e)")</f>
        <v>Marié(e)</v>
      </c>
      <c r="AM408" s="1" t="str">
        <f ca="1">IFERROR(__xludf.DUMMYFUNCTION("""COMPUTED_VALUE"""),"F1459")</f>
        <v>F1459</v>
      </c>
    </row>
    <row r="409" spans="1:39" ht="13" x14ac:dyDescent="0.15">
      <c r="A409" s="1" t="str">
        <f ca="1">IFERROR(__xludf.DUMMYFUNCTION("""COMPUTED_VALUE"""),"MOCNIK Camille")</f>
        <v>MOCNIK Camille</v>
      </c>
      <c r="B409" s="1" t="str">
        <f ca="1">IFERROR(__xludf.DUMMYFUNCTION("""COMPUTED_VALUE"""),"MOCNIK")</f>
        <v>MOCNIK</v>
      </c>
      <c r="C409" s="1" t="str">
        <f ca="1">IFERROR(__xludf.DUMMYFUNCTION("""COMPUTED_VALUE"""),"Camille")</f>
        <v>Camille</v>
      </c>
      <c r="D409" s="1" t="str">
        <f ca="1">IFERROR(__xludf.DUMMYFUNCTION("""COMPUTED_VALUE"""),"1459E2")</f>
        <v>1459E2</v>
      </c>
      <c r="E409" s="2">
        <f ca="1">IFERROR(__xludf.DUMMYFUNCTION("""COMPUTED_VALUE"""),41418)</f>
        <v>41418</v>
      </c>
      <c r="F409" s="1" t="str">
        <f ca="1">IFERROR(__xludf.DUMMYFUNCTION("""COMPUTED_VALUE"""),"5EME1")</f>
        <v>5EME1</v>
      </c>
      <c r="G409" s="1" t="str">
        <f ca="1">IFERROR(__xludf.DUMMYFUNCTION("""COMPUTED_VALUE"""),"5ème")</f>
        <v>5ème</v>
      </c>
      <c r="H409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409" s="1" t="str">
        <f ca="1">IFERROR(__xludf.DUMMYFUNCTION("""COMPUTED_VALUE"""),"LVA Anglais")</f>
        <v>LVA Anglais</v>
      </c>
      <c r="J409" s="1" t="str">
        <f ca="1">IFERROR(__xludf.DUMMYFUNCTION("""COMPUTED_VALUE"""),"LVB Espagnol")</f>
        <v>LVB Espagnol</v>
      </c>
      <c r="K409" s="1"/>
      <c r="L409" s="1"/>
      <c r="M409" s="1"/>
      <c r="N409" s="1" t="str">
        <f ca="1">IFERROR(__xludf.DUMMYFUNCTION("""COMPUTED_VALUE"""),"Fille")</f>
        <v>Fille</v>
      </c>
      <c r="O409" s="1"/>
      <c r="P409" s="1" t="str">
        <f ca="1">IFERROR(__xludf.DUMMYFUNCTION("""COMPUTED_VALUE"""),"FRANCE")</f>
        <v>FRANCE</v>
      </c>
      <c r="Q409" s="1"/>
      <c r="R409" s="1" t="str">
        <f ca="1">IFERROR(__xludf.DUMMYFUNCTION("""COMPUTED_VALUE"""),"camille.mocnik@lfjpsaly.org")</f>
        <v>camille.mocnik@lfjpsaly.org</v>
      </c>
      <c r="S409" s="1"/>
      <c r="T409" s="1" t="str">
        <f ca="1">IFERROR(__xludf.DUMMYFUNCTION("""COMPUTED_VALUE"""),"NDIAYE Aïda")</f>
        <v>NDIAYE Aïda</v>
      </c>
      <c r="U409" s="1" t="str">
        <f ca="1">IFERROR(__xludf.DUMMYFUNCTION("""COMPUTED_VALUE"""),"MOCNIK Michel")</f>
        <v>MOCNIK Michel</v>
      </c>
      <c r="V409" s="1" t="str">
        <f ca="1">IFERROR(__xludf.DUMMYFUNCTION("""COMPUTED_VALUE"""),"mocnik.michel@gmail.com")</f>
        <v>mocnik.michel@gmail.com</v>
      </c>
      <c r="W409" s="1" t="str">
        <f ca="1">IFERROR(__xludf.DUMMYFUNCTION("""COMPUTED_VALUE"""),"mocnik.michel@gmail.com")</f>
        <v>mocnik.michel@gmail.com</v>
      </c>
      <c r="X409" s="1" t="str">
        <f ca="1">IFERROR(__xludf.DUMMYFUNCTION("""COMPUTED_VALUE"""),"+221 77 575 84 41")</f>
        <v>+221 77 575 84 41</v>
      </c>
      <c r="Y409" s="1" t="str">
        <f ca="1">IFERROR(__xludf.DUMMYFUNCTION("""COMPUTED_VALUE"""),"+221 77 644 29 04")</f>
        <v>+221 77 644 29 04</v>
      </c>
      <c r="Z409" s="1"/>
      <c r="AA409" s="1" t="str">
        <f ca="1">IFERROR(__xludf.DUMMYFUNCTION("""COMPUTED_VALUE"""),"+221 77 644 29 04")</f>
        <v>+221 77 644 29 04</v>
      </c>
      <c r="AB409" s="2">
        <f ca="1">IFERROR(__xludf.DUMMYFUNCTION("""COMPUTED_VALUE"""),27288)</f>
        <v>27288</v>
      </c>
      <c r="AC409" s="2">
        <f ca="1">IFERROR(__xludf.DUMMYFUNCTION("""COMPUTED_VALUE"""),26626)</f>
        <v>26626</v>
      </c>
      <c r="AD409" s="1" t="str">
        <f ca="1">IFERROR(__xludf.DUMMYFUNCTION("""COMPUTED_VALUE"""),"MERE")</f>
        <v>MERE</v>
      </c>
      <c r="AE409" s="1" t="str">
        <f ca="1">IFERROR(__xludf.DUMMYFUNCTION("""COMPUTED_VALUE"""),"PERE")</f>
        <v>PERE</v>
      </c>
      <c r="AF409" s="1" t="str">
        <f ca="1">IFERROR(__xludf.DUMMYFUNCTION("""COMPUTED_VALUE"""),"SENEGAL")</f>
        <v>SENEGAL</v>
      </c>
      <c r="AG409" s="1" t="str">
        <f ca="1">IFERROR(__xludf.DUMMYFUNCTION("""COMPUTED_VALUE"""),"FRANCE")</f>
        <v>FRANCE</v>
      </c>
      <c r="AH409" s="1"/>
      <c r="AI409" s="1"/>
      <c r="AJ409" s="1" t="str">
        <f ca="1">IFERROR(__xludf.DUMMYFUNCTION("""COMPUTED_VALUE"""),"F1459")</f>
        <v>F1459</v>
      </c>
      <c r="AK409" s="1" t="str">
        <f ca="1">IFERROR(__xludf.DUMMYFUNCTION("""COMPUTED_VALUE"""),"Marié(e)")</f>
        <v>Marié(e)</v>
      </c>
      <c r="AL409" s="1" t="str">
        <f ca="1">IFERROR(__xludf.DUMMYFUNCTION("""COMPUTED_VALUE"""),"Marié(e)")</f>
        <v>Marié(e)</v>
      </c>
      <c r="AM409" s="1" t="str">
        <f ca="1">IFERROR(__xludf.DUMMYFUNCTION("""COMPUTED_VALUE"""),"F1459")</f>
        <v>F1459</v>
      </c>
    </row>
    <row r="410" spans="1:39" ht="13" x14ac:dyDescent="0.15">
      <c r="A410" s="1" t="str">
        <f ca="1">IFERROR(__xludf.DUMMYFUNCTION("""COMPUTED_VALUE"""),"MOCNIK Léa Absa")</f>
        <v>MOCNIK Léa Absa</v>
      </c>
      <c r="B410" s="1" t="str">
        <f ca="1">IFERROR(__xludf.DUMMYFUNCTION("""COMPUTED_VALUE"""),"MOCNIK")</f>
        <v>MOCNIK</v>
      </c>
      <c r="C410" s="1" t="str">
        <f ca="1">IFERROR(__xludf.DUMMYFUNCTION("""COMPUTED_VALUE"""),"Léa Absa")</f>
        <v>Léa Absa</v>
      </c>
      <c r="D410" s="1" t="str">
        <f ca="1">IFERROR(__xludf.DUMMYFUNCTION("""COMPUTED_VALUE"""),"1459E3")</f>
        <v>1459E3</v>
      </c>
      <c r="E410" s="2">
        <f ca="1">IFERROR(__xludf.DUMMYFUNCTION("""COMPUTED_VALUE"""),40624)</f>
        <v>40624</v>
      </c>
      <c r="F410" s="1" t="str">
        <f ca="1">IFERROR(__xludf.DUMMYFUNCTION("""COMPUTED_VALUE"""),"3EME2")</f>
        <v>3EME2</v>
      </c>
      <c r="G410" s="1" t="str">
        <f ca="1">IFERROR(__xludf.DUMMYFUNCTION("""COMPUTED_VALUE"""),"3ème")</f>
        <v>3ème</v>
      </c>
      <c r="H410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410" s="1" t="str">
        <f ca="1">IFERROR(__xludf.DUMMYFUNCTION("""COMPUTED_VALUE"""),"LVA Anglais")</f>
        <v>LVA Anglais</v>
      </c>
      <c r="J410" s="1" t="str">
        <f ca="1">IFERROR(__xludf.DUMMYFUNCTION("""COMPUTED_VALUE"""),"LVB Espagnol")</f>
        <v>LVB Espagnol</v>
      </c>
      <c r="K410" s="1"/>
      <c r="L410" s="1"/>
      <c r="M410" s="1"/>
      <c r="N410" s="1" t="str">
        <f ca="1">IFERROR(__xludf.DUMMYFUNCTION("""COMPUTED_VALUE"""),"Fille")</f>
        <v>Fille</v>
      </c>
      <c r="O410" s="1"/>
      <c r="P410" s="1" t="str">
        <f ca="1">IFERROR(__xludf.DUMMYFUNCTION("""COMPUTED_VALUE"""),"FRANCE")</f>
        <v>FRANCE</v>
      </c>
      <c r="Q410" s="1"/>
      <c r="R410" s="1" t="str">
        <f ca="1">IFERROR(__xludf.DUMMYFUNCTION("""COMPUTED_VALUE"""),"lea.mocnik@lfjpsaly.org")</f>
        <v>lea.mocnik@lfjpsaly.org</v>
      </c>
      <c r="S410" s="1"/>
      <c r="T410" s="1" t="str">
        <f ca="1">IFERROR(__xludf.DUMMYFUNCTION("""COMPUTED_VALUE"""),"NDIAYE Aïda")</f>
        <v>NDIAYE Aïda</v>
      </c>
      <c r="U410" s="1" t="str">
        <f ca="1">IFERROR(__xludf.DUMMYFUNCTION("""COMPUTED_VALUE"""),"MOCNIK Michel")</f>
        <v>MOCNIK Michel</v>
      </c>
      <c r="V410" s="1" t="str">
        <f ca="1">IFERROR(__xludf.DUMMYFUNCTION("""COMPUTED_VALUE"""),"mocnik.michel@gmail.com")</f>
        <v>mocnik.michel@gmail.com</v>
      </c>
      <c r="W410" s="1" t="str">
        <f ca="1">IFERROR(__xludf.DUMMYFUNCTION("""COMPUTED_VALUE"""),"mocnik.michel@gmail.com")</f>
        <v>mocnik.michel@gmail.com</v>
      </c>
      <c r="X410" s="1" t="str">
        <f ca="1">IFERROR(__xludf.DUMMYFUNCTION("""COMPUTED_VALUE"""),"+221 77 575 84 41")</f>
        <v>+221 77 575 84 41</v>
      </c>
      <c r="Y410" s="1" t="str">
        <f ca="1">IFERROR(__xludf.DUMMYFUNCTION("""COMPUTED_VALUE"""),"+221 77 644 29 04")</f>
        <v>+221 77 644 29 04</v>
      </c>
      <c r="Z410" s="1"/>
      <c r="AA410" s="1" t="str">
        <f ca="1">IFERROR(__xludf.DUMMYFUNCTION("""COMPUTED_VALUE"""),"+221 77 644 29 04")</f>
        <v>+221 77 644 29 04</v>
      </c>
      <c r="AB410" s="2">
        <f ca="1">IFERROR(__xludf.DUMMYFUNCTION("""COMPUTED_VALUE"""),27288)</f>
        <v>27288</v>
      </c>
      <c r="AC410" s="2">
        <f ca="1">IFERROR(__xludf.DUMMYFUNCTION("""COMPUTED_VALUE"""),26626)</f>
        <v>26626</v>
      </c>
      <c r="AD410" s="1" t="str">
        <f ca="1">IFERROR(__xludf.DUMMYFUNCTION("""COMPUTED_VALUE"""),"MERE")</f>
        <v>MERE</v>
      </c>
      <c r="AE410" s="1" t="str">
        <f ca="1">IFERROR(__xludf.DUMMYFUNCTION("""COMPUTED_VALUE"""),"PERE")</f>
        <v>PERE</v>
      </c>
      <c r="AF410" s="1" t="str">
        <f ca="1">IFERROR(__xludf.DUMMYFUNCTION("""COMPUTED_VALUE"""),"SENEGAL")</f>
        <v>SENEGAL</v>
      </c>
      <c r="AG410" s="1" t="str">
        <f ca="1">IFERROR(__xludf.DUMMYFUNCTION("""COMPUTED_VALUE"""),"FRANCE")</f>
        <v>FRANCE</v>
      </c>
      <c r="AH410" s="1"/>
      <c r="AI410" s="1"/>
      <c r="AJ410" s="1" t="str">
        <f ca="1">IFERROR(__xludf.DUMMYFUNCTION("""COMPUTED_VALUE"""),"F1459")</f>
        <v>F1459</v>
      </c>
      <c r="AK410" s="1" t="str">
        <f ca="1">IFERROR(__xludf.DUMMYFUNCTION("""COMPUTED_VALUE"""),"Marié(e)")</f>
        <v>Marié(e)</v>
      </c>
      <c r="AL410" s="1" t="str">
        <f ca="1">IFERROR(__xludf.DUMMYFUNCTION("""COMPUTED_VALUE"""),"Marié(e)")</f>
        <v>Marié(e)</v>
      </c>
      <c r="AM410" s="1" t="str">
        <f ca="1">IFERROR(__xludf.DUMMYFUNCTION("""COMPUTED_VALUE"""),"F1459")</f>
        <v>F1459</v>
      </c>
    </row>
    <row r="411" spans="1:39" ht="13" x14ac:dyDescent="0.15">
      <c r="A411" s="1" t="str">
        <f ca="1">IFERROR(__xludf.DUMMYFUNCTION("""COMPUTED_VALUE"""),"MONTALBANO Clara")</f>
        <v>MONTALBANO Clara</v>
      </c>
      <c r="B411" s="1" t="str">
        <f ca="1">IFERROR(__xludf.DUMMYFUNCTION("""COMPUTED_VALUE"""),"MONTALBANO")</f>
        <v>MONTALBANO</v>
      </c>
      <c r="C411" s="1" t="str">
        <f ca="1">IFERROR(__xludf.DUMMYFUNCTION("""COMPUTED_VALUE"""),"Clara")</f>
        <v>Clara</v>
      </c>
      <c r="D411" s="1" t="str">
        <f ca="1">IFERROR(__xludf.DUMMYFUNCTION("""COMPUTED_VALUE"""),"1462E2")</f>
        <v>1462E2</v>
      </c>
      <c r="E411" s="2">
        <f ca="1">IFERROR(__xludf.DUMMYFUNCTION("""COMPUTED_VALUE"""),42378)</f>
        <v>42378</v>
      </c>
      <c r="F411" s="1" t="str">
        <f ca="1">IFERROR(__xludf.DUMMYFUNCTION("""COMPUTED_VALUE"""),"CM2B")</f>
        <v>CM2B</v>
      </c>
      <c r="G411" s="1" t="str">
        <f ca="1">IFERROR(__xludf.DUMMYFUNCTION("""COMPUTED_VALUE"""),"CM2")</f>
        <v>CM2</v>
      </c>
      <c r="H411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411" s="1"/>
      <c r="J411" s="1"/>
      <c r="K411" s="1"/>
      <c r="L411" s="1"/>
      <c r="M411" s="1"/>
      <c r="N411" s="1" t="str">
        <f ca="1">IFERROR(__xludf.DUMMYFUNCTION("""COMPUTED_VALUE"""),"Fille")</f>
        <v>Fille</v>
      </c>
      <c r="O411" s="1"/>
      <c r="P411" s="1" t="str">
        <f ca="1">IFERROR(__xludf.DUMMYFUNCTION("""COMPUTED_VALUE"""),"FRANCE")</f>
        <v>FRANCE</v>
      </c>
      <c r="Q411" s="1"/>
      <c r="R411" s="1"/>
      <c r="S411" s="1"/>
      <c r="T411" s="1" t="str">
        <f ca="1">IFERROR(__xludf.DUMMYFUNCTION("""COMPUTED_VALUE"""),"MONTALBANO Adèle")</f>
        <v>MONTALBANO Adèle</v>
      </c>
      <c r="U411" s="1"/>
      <c r="V411" s="1" t="str">
        <f ca="1">IFERROR(__xludf.DUMMYFUNCTION("""COMPUTED_VALUE"""),"adelice0922@gmail.com")</f>
        <v>adelice0922@gmail.com</v>
      </c>
      <c r="W411" s="1"/>
      <c r="X411" s="1" t="str">
        <f ca="1">IFERROR(__xludf.DUMMYFUNCTION("""COMPUTED_VALUE"""),"+221 77 847 82 00")</f>
        <v>+221 77 847 82 00</v>
      </c>
      <c r="Y411" s="1"/>
      <c r="Z411" s="1" t="str">
        <f ca="1">IFERROR(__xludf.DUMMYFUNCTION("""COMPUTED_VALUE"""),"+221")</f>
        <v>+221</v>
      </c>
      <c r="AA411" s="1"/>
      <c r="AB411" s="2">
        <f ca="1">IFERROR(__xludf.DUMMYFUNCTION("""COMPUTED_VALUE"""),29838)</f>
        <v>29838</v>
      </c>
      <c r="AC411" s="1"/>
      <c r="AD411" s="1" t="str">
        <f ca="1">IFERROR(__xludf.DUMMYFUNCTION("""COMPUTED_VALUE"""),"MERE")</f>
        <v>MERE</v>
      </c>
      <c r="AE411" s="1"/>
      <c r="AF411" s="1" t="str">
        <f ca="1">IFERROR(__xludf.DUMMYFUNCTION("""COMPUTED_VALUE"""),"SENEGAL")</f>
        <v>SENEGAL</v>
      </c>
      <c r="AG411" s="1"/>
      <c r="AH411" s="1"/>
      <c r="AI411" s="1"/>
      <c r="AJ411" s="1" t="str">
        <f ca="1">IFERROR(__xludf.DUMMYFUNCTION("""COMPUTED_VALUE"""),"F1462")</f>
        <v>F1462</v>
      </c>
      <c r="AK411" s="1" t="str">
        <f ca="1">IFERROR(__xludf.DUMMYFUNCTION("""COMPUTED_VALUE"""),"Veuf(ve)")</f>
        <v>Veuf(ve)</v>
      </c>
      <c r="AL411" s="1"/>
      <c r="AM411" s="1" t="str">
        <f ca="1">IFERROR(__xludf.DUMMYFUNCTION("""COMPUTED_VALUE"""),"F1462")</f>
        <v>F1462</v>
      </c>
    </row>
    <row r="412" spans="1:39" ht="13" x14ac:dyDescent="0.15">
      <c r="A412" s="1" t="str">
        <f ca="1">IFERROR(__xludf.DUMMYFUNCTION("""COMPUTED_VALUE"""),"MONTALBANO Nathalie Marie Olga")</f>
        <v>MONTALBANO Nathalie Marie Olga</v>
      </c>
      <c r="B412" s="1" t="str">
        <f ca="1">IFERROR(__xludf.DUMMYFUNCTION("""COMPUTED_VALUE"""),"MONTALBANO")</f>
        <v>MONTALBANO</v>
      </c>
      <c r="C412" s="1" t="str">
        <f ca="1">IFERROR(__xludf.DUMMYFUNCTION("""COMPUTED_VALUE"""),"Nathalie Marie Olga")</f>
        <v>Nathalie Marie Olga</v>
      </c>
      <c r="D412" s="1" t="str">
        <f ca="1">IFERROR(__xludf.DUMMYFUNCTION("""COMPUTED_VALUE"""),"1462E1")</f>
        <v>1462E1</v>
      </c>
      <c r="E412" s="2">
        <f ca="1">IFERROR(__xludf.DUMMYFUNCTION("""COMPUTED_VALUE"""),40583)</f>
        <v>40583</v>
      </c>
      <c r="F412" s="1" t="str">
        <f ca="1">IFERROR(__xludf.DUMMYFUNCTION("""COMPUTED_VALUE"""),"3EME1")</f>
        <v>3EME1</v>
      </c>
      <c r="G412" s="1" t="str">
        <f ca="1">IFERROR(__xludf.DUMMYFUNCTION("""COMPUTED_VALUE"""),"3ème")</f>
        <v>3ème</v>
      </c>
      <c r="H412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412" s="1" t="str">
        <f ca="1">IFERROR(__xludf.DUMMYFUNCTION("""COMPUTED_VALUE"""),"LVA Anglais")</f>
        <v>LVA Anglais</v>
      </c>
      <c r="J412" s="1" t="str">
        <f ca="1">IFERROR(__xludf.DUMMYFUNCTION("""COMPUTED_VALUE"""),"LVB Espagnol")</f>
        <v>LVB Espagnol</v>
      </c>
      <c r="K412" s="1"/>
      <c r="L412" s="1"/>
      <c r="M412" s="1"/>
      <c r="N412" s="1" t="str">
        <f ca="1">IFERROR(__xludf.DUMMYFUNCTION("""COMPUTED_VALUE"""),"Fille")</f>
        <v>Fille</v>
      </c>
      <c r="O412" s="1"/>
      <c r="P412" s="1" t="str">
        <f ca="1">IFERROR(__xludf.DUMMYFUNCTION("""COMPUTED_VALUE"""),"FRANCE")</f>
        <v>FRANCE</v>
      </c>
      <c r="Q412" s="1"/>
      <c r="R412" s="1" t="str">
        <f ca="1">IFERROR(__xludf.DUMMYFUNCTION("""COMPUTED_VALUE"""),"nathalie.montalbano@lfjpsaly.org")</f>
        <v>nathalie.montalbano@lfjpsaly.org</v>
      </c>
      <c r="S412" s="1"/>
      <c r="T412" s="1" t="str">
        <f ca="1">IFERROR(__xludf.DUMMYFUNCTION("""COMPUTED_VALUE"""),"MONTALBANO Adèle")</f>
        <v>MONTALBANO Adèle</v>
      </c>
      <c r="U412" s="1"/>
      <c r="V412" s="1" t="str">
        <f ca="1">IFERROR(__xludf.DUMMYFUNCTION("""COMPUTED_VALUE"""),"adelice0922@gmail.com")</f>
        <v>adelice0922@gmail.com</v>
      </c>
      <c r="W412" s="1"/>
      <c r="X412" s="1" t="str">
        <f ca="1">IFERROR(__xludf.DUMMYFUNCTION("""COMPUTED_VALUE"""),"+221 77 847 82 00")</f>
        <v>+221 77 847 82 00</v>
      </c>
      <c r="Y412" s="1"/>
      <c r="Z412" s="1" t="str">
        <f ca="1">IFERROR(__xludf.DUMMYFUNCTION("""COMPUTED_VALUE"""),"+221")</f>
        <v>+221</v>
      </c>
      <c r="AA412" s="1"/>
      <c r="AB412" s="2">
        <f ca="1">IFERROR(__xludf.DUMMYFUNCTION("""COMPUTED_VALUE"""),29838)</f>
        <v>29838</v>
      </c>
      <c r="AC412" s="1"/>
      <c r="AD412" s="1" t="str">
        <f ca="1">IFERROR(__xludf.DUMMYFUNCTION("""COMPUTED_VALUE"""),"MERE")</f>
        <v>MERE</v>
      </c>
      <c r="AE412" s="1"/>
      <c r="AF412" s="1" t="str">
        <f ca="1">IFERROR(__xludf.DUMMYFUNCTION("""COMPUTED_VALUE"""),"SENEGAL")</f>
        <v>SENEGAL</v>
      </c>
      <c r="AG412" s="1"/>
      <c r="AH412" s="1"/>
      <c r="AI412" s="1"/>
      <c r="AJ412" s="1" t="str">
        <f ca="1">IFERROR(__xludf.DUMMYFUNCTION("""COMPUTED_VALUE"""),"F1462")</f>
        <v>F1462</v>
      </c>
      <c r="AK412" s="1" t="str">
        <f ca="1">IFERROR(__xludf.DUMMYFUNCTION("""COMPUTED_VALUE"""),"Veuf(ve)")</f>
        <v>Veuf(ve)</v>
      </c>
      <c r="AL412" s="1"/>
      <c r="AM412" s="1" t="str">
        <f ca="1">IFERROR(__xludf.DUMMYFUNCTION("""COMPUTED_VALUE"""),"F1462")</f>
        <v>F1462</v>
      </c>
    </row>
    <row r="413" spans="1:39" ht="13" x14ac:dyDescent="0.15">
      <c r="A413" s="1" t="str">
        <f ca="1">IFERROR(__xludf.DUMMYFUNCTION("""COMPUTED_VALUE"""),"MONTMASSON Héléna Amy")</f>
        <v>MONTMASSON Héléna Amy</v>
      </c>
      <c r="B413" s="1" t="str">
        <f ca="1">IFERROR(__xludf.DUMMYFUNCTION("""COMPUTED_VALUE"""),"MONTMASSON")</f>
        <v>MONTMASSON</v>
      </c>
      <c r="C413" s="1" t="str">
        <f ca="1">IFERROR(__xludf.DUMMYFUNCTION("""COMPUTED_VALUE"""),"Héléna Amy")</f>
        <v>Héléna Amy</v>
      </c>
      <c r="D413" s="1" t="str">
        <f ca="1">IFERROR(__xludf.DUMMYFUNCTION("""COMPUTED_VALUE"""),"1463E1")</f>
        <v>1463E1</v>
      </c>
      <c r="E413" s="2">
        <f ca="1">IFERROR(__xludf.DUMMYFUNCTION("""COMPUTED_VALUE"""),39687)</f>
        <v>39687</v>
      </c>
      <c r="F413" s="1" t="str">
        <f ca="1">IFERROR(__xludf.DUMMYFUNCTION("""COMPUTED_VALUE"""),"TERMINALE2")</f>
        <v>TERMINALE2</v>
      </c>
      <c r="G413" s="1" t="str">
        <f ca="1">IFERROR(__xludf.DUMMYFUNCTION("""COMPUTED_VALUE"""),"Terminale")</f>
        <v>Terminale</v>
      </c>
      <c r="H413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413" s="1" t="str">
        <f ca="1">IFERROR(__xludf.DUMMYFUNCTION("""COMPUTED_VALUE"""),"LVA Anglais")</f>
        <v>LVA Anglais</v>
      </c>
      <c r="J413" s="1" t="str">
        <f ca="1">IFERROR(__xludf.DUMMYFUNCTION("""COMPUTED_VALUE"""),"LVB Espagnol")</f>
        <v>LVB Espagnol</v>
      </c>
      <c r="K413" s="1"/>
      <c r="L413" s="1"/>
      <c r="M413" s="1" t="str">
        <f ca="1">IFERROR(__xludf.DUMMYFUNCTION("""COMPUTED_VALUE"""),"SPE HGGSP, SPE SES")</f>
        <v>SPE HGGSP, SPE SES</v>
      </c>
      <c r="N413" s="1" t="str">
        <f ca="1">IFERROR(__xludf.DUMMYFUNCTION("""COMPUTED_VALUE"""),"Fille")</f>
        <v>Fille</v>
      </c>
      <c r="O413" s="1"/>
      <c r="P413" s="1" t="str">
        <f ca="1">IFERROR(__xludf.DUMMYFUNCTION("""COMPUTED_VALUE"""),"FRANCE")</f>
        <v>FRANCE</v>
      </c>
      <c r="Q413" s="1"/>
      <c r="R413" s="1" t="str">
        <f ca="1">IFERROR(__xludf.DUMMYFUNCTION("""COMPUTED_VALUE"""),"helena.montmasson@lfjpsaly.org")</f>
        <v>helena.montmasson@lfjpsaly.org</v>
      </c>
      <c r="S413" s="1"/>
      <c r="T413" s="1" t="str">
        <f ca="1">IFERROR(__xludf.DUMMYFUNCTION("""COMPUTED_VALUE"""),"SARR Mariama")</f>
        <v>SARR Mariama</v>
      </c>
      <c r="U413" s="1"/>
      <c r="V413" s="1" t="str">
        <f ca="1">IFERROR(__xludf.DUMMYFUNCTION("""COMPUTED_VALUE"""),"mariediorsarr@gmail.com")</f>
        <v>mariediorsarr@gmail.com</v>
      </c>
      <c r="W413" s="1"/>
      <c r="X413" s="1" t="str">
        <f ca="1">IFERROR(__xludf.DUMMYFUNCTION("""COMPUTED_VALUE"""),"+221 77 453 06 92")</f>
        <v>+221 77 453 06 92</v>
      </c>
      <c r="Y413" s="1"/>
      <c r="Z413" s="1"/>
      <c r="AA413" s="1"/>
      <c r="AB413" s="2">
        <f ca="1">IFERROR(__xludf.DUMMYFUNCTION("""COMPUTED_VALUE"""),29812)</f>
        <v>29812</v>
      </c>
      <c r="AC413" s="1"/>
      <c r="AD413" s="1" t="str">
        <f ca="1">IFERROR(__xludf.DUMMYFUNCTION("""COMPUTED_VALUE"""),"MERE")</f>
        <v>MERE</v>
      </c>
      <c r="AE413" s="1"/>
      <c r="AF413" s="1" t="str">
        <f ca="1">IFERROR(__xludf.DUMMYFUNCTION("""COMPUTED_VALUE"""),"SENEGAL")</f>
        <v>SENEGAL</v>
      </c>
      <c r="AG413" s="1"/>
      <c r="AH413" s="1"/>
      <c r="AI413" s="1"/>
      <c r="AJ413" s="1" t="str">
        <f ca="1">IFERROR(__xludf.DUMMYFUNCTION("""COMPUTED_VALUE"""),"F1463")</f>
        <v>F1463</v>
      </c>
      <c r="AK413" s="1" t="str">
        <f ca="1">IFERROR(__xludf.DUMMYFUNCTION("""COMPUTED_VALUE"""),"Célibataire")</f>
        <v>Célibataire</v>
      </c>
      <c r="AL413" s="1"/>
      <c r="AM413" s="1" t="str">
        <f ca="1">IFERROR(__xludf.DUMMYFUNCTION("""COMPUTED_VALUE"""),"F1463")</f>
        <v>F1463</v>
      </c>
    </row>
    <row r="414" spans="1:39" ht="13" x14ac:dyDescent="0.15">
      <c r="A414" s="1" t="str">
        <f ca="1">IFERROR(__xludf.DUMMYFUNCTION("""COMPUTED_VALUE"""),"MOUABE Aaron")</f>
        <v>MOUABE Aaron</v>
      </c>
      <c r="B414" s="1" t="str">
        <f ca="1">IFERROR(__xludf.DUMMYFUNCTION("""COMPUTED_VALUE"""),"MOUABE")</f>
        <v>MOUABE</v>
      </c>
      <c r="C414" s="1" t="str">
        <f ca="1">IFERROR(__xludf.DUMMYFUNCTION("""COMPUTED_VALUE"""),"Aaron")</f>
        <v>Aaron</v>
      </c>
      <c r="D414" s="1" t="str">
        <f ca="1">IFERROR(__xludf.DUMMYFUNCTION("""COMPUTED_VALUE"""),"1464E1")</f>
        <v>1464E1</v>
      </c>
      <c r="E414" s="2">
        <f ca="1">IFERROR(__xludf.DUMMYFUNCTION("""COMPUTED_VALUE"""),39484)</f>
        <v>39484</v>
      </c>
      <c r="F414" s="1" t="str">
        <f ca="1">IFERROR(__xludf.DUMMYFUNCTION("""COMPUTED_VALUE"""),"TERMINALE1")</f>
        <v>TERMINALE1</v>
      </c>
      <c r="G414" s="1" t="str">
        <f ca="1">IFERROR(__xludf.DUMMYFUNCTION("""COMPUTED_VALUE"""),"Terminale")</f>
        <v>Terminale</v>
      </c>
      <c r="H414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414" s="1" t="str">
        <f ca="1">IFERROR(__xludf.DUMMYFUNCTION("""COMPUTED_VALUE"""),"LVA Anglais")</f>
        <v>LVA Anglais</v>
      </c>
      <c r="J414" s="1" t="str">
        <f ca="1">IFERROR(__xludf.DUMMYFUNCTION("""COMPUTED_VALUE"""),"LVB Espagnol")</f>
        <v>LVB Espagnol</v>
      </c>
      <c r="K414" s="1" t="str">
        <f ca="1">IFERROR(__xludf.DUMMYFUNCTION("""COMPUTED_VALUE"""),"MATHS COMPLEMENTAIRE")</f>
        <v>MATHS COMPLEMENTAIRE</v>
      </c>
      <c r="L414" s="1"/>
      <c r="M414" s="1" t="str">
        <f ca="1">IFERROR(__xludf.DUMMYFUNCTION("""COMPUTED_VALUE"""),"SPE SES, SPE SVT")</f>
        <v>SPE SES, SPE SVT</v>
      </c>
      <c r="N414" s="1" t="str">
        <f ca="1">IFERROR(__xludf.DUMMYFUNCTION("""COMPUTED_VALUE"""),"Garçon")</f>
        <v>Garçon</v>
      </c>
      <c r="O414" s="1"/>
      <c r="P414" s="1" t="str">
        <f ca="1">IFERROR(__xludf.DUMMYFUNCTION("""COMPUTED_VALUE"""),"CAMEROUN")</f>
        <v>CAMEROUN</v>
      </c>
      <c r="Q414" s="1"/>
      <c r="R414" s="1" t="str">
        <f ca="1">IFERROR(__xludf.DUMMYFUNCTION("""COMPUTED_VALUE"""),"aaron.mouabe@lfjpsaly.org")</f>
        <v>aaron.mouabe@lfjpsaly.org</v>
      </c>
      <c r="S414" s="1"/>
      <c r="T414" s="1" t="str">
        <f ca="1">IFERROR(__xludf.DUMMYFUNCTION("""COMPUTED_VALUE"""),"MOUABE Celestin")</f>
        <v>MOUABE Celestin</v>
      </c>
      <c r="U414" s="1" t="str">
        <f ca="1">IFERROR(__xludf.DUMMYFUNCTION("""COMPUTED_VALUE"""),"EKAMBI DIKONGUE SAME EPSE MOUABE Jeannine")</f>
        <v>EKAMBI DIKONGUE SAME EPSE MOUABE Jeannine</v>
      </c>
      <c r="V414" s="1" t="str">
        <f ca="1">IFERROR(__xludf.DUMMYFUNCTION("""COMPUTED_VALUE"""),"celestin.mouabe@gmail.com")</f>
        <v>celestin.mouabe@gmail.com</v>
      </c>
      <c r="W414" s="1" t="str">
        <f ca="1">IFERROR(__xludf.DUMMYFUNCTION("""COMPUTED_VALUE"""),"jr.ekambi@gmail.com")</f>
        <v>jr.ekambi@gmail.com</v>
      </c>
      <c r="X414" s="1" t="str">
        <f ca="1">IFERROR(__xludf.DUMMYFUNCTION("""COMPUTED_VALUE"""),"+221 76 623 43 98")</f>
        <v>+221 76 623 43 98</v>
      </c>
      <c r="Y414" s="1" t="str">
        <f ca="1">IFERROR(__xludf.DUMMYFUNCTION("""COMPUTED_VALUE"""),"+221 77 877 09 63")</f>
        <v>+221 77 877 09 63</v>
      </c>
      <c r="Z414" s="1" t="str">
        <f ca="1">IFERROR(__xludf.DUMMYFUNCTION("""COMPUTED_VALUE"""),"+221 76 623 43 98")</f>
        <v>+221 76 623 43 98</v>
      </c>
      <c r="AA414" s="1" t="str">
        <f ca="1">IFERROR(__xludf.DUMMYFUNCTION("""COMPUTED_VALUE"""),"+221 77 877 09 63")</f>
        <v>+221 77 877 09 63</v>
      </c>
      <c r="AB414" s="2">
        <f ca="1">IFERROR(__xludf.DUMMYFUNCTION("""COMPUTED_VALUE"""),29042)</f>
        <v>29042</v>
      </c>
      <c r="AC414" s="2">
        <f ca="1">IFERROR(__xludf.DUMMYFUNCTION("""COMPUTED_VALUE"""),28866)</f>
        <v>28866</v>
      </c>
      <c r="AD414" s="1" t="str">
        <f ca="1">IFERROR(__xludf.DUMMYFUNCTION("""COMPUTED_VALUE"""),"PERE")</f>
        <v>PERE</v>
      </c>
      <c r="AE414" s="1" t="str">
        <f ca="1">IFERROR(__xludf.DUMMYFUNCTION("""COMPUTED_VALUE"""),"MERE")</f>
        <v>MERE</v>
      </c>
      <c r="AF414" s="1" t="str">
        <f ca="1">IFERROR(__xludf.DUMMYFUNCTION("""COMPUTED_VALUE"""),"CAMEROUN")</f>
        <v>CAMEROUN</v>
      </c>
      <c r="AG414" s="1" t="str">
        <f ca="1">IFERROR(__xludf.DUMMYFUNCTION("""COMPUTED_VALUE"""),"CAMEROUN")</f>
        <v>CAMEROUN</v>
      </c>
      <c r="AH414" s="1"/>
      <c r="AI414" s="1"/>
      <c r="AJ414" s="1" t="str">
        <f ca="1">IFERROR(__xludf.DUMMYFUNCTION("""COMPUTED_VALUE"""),"F1464")</f>
        <v>F1464</v>
      </c>
      <c r="AK414" s="1" t="str">
        <f ca="1">IFERROR(__xludf.DUMMYFUNCTION("""COMPUTED_VALUE"""),"Marié(e)")</f>
        <v>Marié(e)</v>
      </c>
      <c r="AL414" s="1" t="str">
        <f ca="1">IFERROR(__xludf.DUMMYFUNCTION("""COMPUTED_VALUE"""),"Marié(e)")</f>
        <v>Marié(e)</v>
      </c>
      <c r="AM414" s="1" t="str">
        <f ca="1">IFERROR(__xludf.DUMMYFUNCTION("""COMPUTED_VALUE"""),"F1464")</f>
        <v>F1464</v>
      </c>
    </row>
    <row r="415" spans="1:39" ht="13" x14ac:dyDescent="0.15">
      <c r="A415" s="1" t="str">
        <f ca="1">IFERROR(__xludf.DUMMYFUNCTION("""COMPUTED_VALUE"""),"MOUABE Jenny")</f>
        <v>MOUABE Jenny</v>
      </c>
      <c r="B415" s="1" t="str">
        <f ca="1">IFERROR(__xludf.DUMMYFUNCTION("""COMPUTED_VALUE"""),"MOUABE")</f>
        <v>MOUABE</v>
      </c>
      <c r="C415" s="1" t="str">
        <f ca="1">IFERROR(__xludf.DUMMYFUNCTION("""COMPUTED_VALUE"""),"Jenny")</f>
        <v>Jenny</v>
      </c>
      <c r="D415" s="1" t="str">
        <f ca="1">IFERROR(__xludf.DUMMYFUNCTION("""COMPUTED_VALUE"""),"1464E2")</f>
        <v>1464E2</v>
      </c>
      <c r="E415" s="2">
        <f ca="1">IFERROR(__xludf.DUMMYFUNCTION("""COMPUTED_VALUE"""),41786)</f>
        <v>41786</v>
      </c>
      <c r="F415" s="1" t="str">
        <f ca="1">IFERROR(__xludf.DUMMYFUNCTION("""COMPUTED_VALUE"""),"6EME1")</f>
        <v>6EME1</v>
      </c>
      <c r="G415" s="1" t="str">
        <f ca="1">IFERROR(__xludf.DUMMYFUNCTION("""COMPUTED_VALUE"""),"6ème")</f>
        <v>6ème</v>
      </c>
      <c r="H415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415" s="1" t="str">
        <f ca="1">IFERROR(__xludf.DUMMYFUNCTION("""COMPUTED_VALUE"""),"LVA Anglais")</f>
        <v>LVA Anglais</v>
      </c>
      <c r="J415" s="1" t="str">
        <f ca="1">IFERROR(__xludf.DUMMYFUNCTION("""COMPUTED_VALUE"""),"LVB Espagnol")</f>
        <v>LVB Espagnol</v>
      </c>
      <c r="K415" s="1"/>
      <c r="L415" s="1"/>
      <c r="M415" s="1"/>
      <c r="N415" s="1" t="str">
        <f ca="1">IFERROR(__xludf.DUMMYFUNCTION("""COMPUTED_VALUE"""),"Fille")</f>
        <v>Fille</v>
      </c>
      <c r="O415" s="1"/>
      <c r="P415" s="1" t="str">
        <f ca="1">IFERROR(__xludf.DUMMYFUNCTION("""COMPUTED_VALUE"""),"CAMEROUN")</f>
        <v>CAMEROUN</v>
      </c>
      <c r="Q415" s="1"/>
      <c r="R415" s="1" t="str">
        <f ca="1">IFERROR(__xludf.DUMMYFUNCTION("""COMPUTED_VALUE"""),"jenny.mouabe@lfjpsaly.org")</f>
        <v>jenny.mouabe@lfjpsaly.org</v>
      </c>
      <c r="S415" s="1"/>
      <c r="T415" s="1" t="str">
        <f ca="1">IFERROR(__xludf.DUMMYFUNCTION("""COMPUTED_VALUE"""),"MOUABE Celestin")</f>
        <v>MOUABE Celestin</v>
      </c>
      <c r="U415" s="1" t="str">
        <f ca="1">IFERROR(__xludf.DUMMYFUNCTION("""COMPUTED_VALUE"""),"EKAMBI DIKONGUE SAME EPSE MOUABE Jeannine")</f>
        <v>EKAMBI DIKONGUE SAME EPSE MOUABE Jeannine</v>
      </c>
      <c r="V415" s="1" t="str">
        <f ca="1">IFERROR(__xludf.DUMMYFUNCTION("""COMPUTED_VALUE"""),"celestin.mouabe@gmail.com")</f>
        <v>celestin.mouabe@gmail.com</v>
      </c>
      <c r="W415" s="1" t="str">
        <f ca="1">IFERROR(__xludf.DUMMYFUNCTION("""COMPUTED_VALUE"""),"jr.ekambi@gmail.com")</f>
        <v>jr.ekambi@gmail.com</v>
      </c>
      <c r="X415" s="1" t="str">
        <f ca="1">IFERROR(__xludf.DUMMYFUNCTION("""COMPUTED_VALUE"""),"+221 76 623 43 98")</f>
        <v>+221 76 623 43 98</v>
      </c>
      <c r="Y415" s="1" t="str">
        <f ca="1">IFERROR(__xludf.DUMMYFUNCTION("""COMPUTED_VALUE"""),"+221 77 877 09 63")</f>
        <v>+221 77 877 09 63</v>
      </c>
      <c r="Z415" s="1" t="str">
        <f ca="1">IFERROR(__xludf.DUMMYFUNCTION("""COMPUTED_VALUE"""),"+221 76 623 43 98")</f>
        <v>+221 76 623 43 98</v>
      </c>
      <c r="AA415" s="1" t="str">
        <f ca="1">IFERROR(__xludf.DUMMYFUNCTION("""COMPUTED_VALUE"""),"+221 77 877 09 63")</f>
        <v>+221 77 877 09 63</v>
      </c>
      <c r="AB415" s="2">
        <f ca="1">IFERROR(__xludf.DUMMYFUNCTION("""COMPUTED_VALUE"""),29042)</f>
        <v>29042</v>
      </c>
      <c r="AC415" s="2">
        <f ca="1">IFERROR(__xludf.DUMMYFUNCTION("""COMPUTED_VALUE"""),28866)</f>
        <v>28866</v>
      </c>
      <c r="AD415" s="1" t="str">
        <f ca="1">IFERROR(__xludf.DUMMYFUNCTION("""COMPUTED_VALUE"""),"PERE")</f>
        <v>PERE</v>
      </c>
      <c r="AE415" s="1" t="str">
        <f ca="1">IFERROR(__xludf.DUMMYFUNCTION("""COMPUTED_VALUE"""),"MERE")</f>
        <v>MERE</v>
      </c>
      <c r="AF415" s="1" t="str">
        <f ca="1">IFERROR(__xludf.DUMMYFUNCTION("""COMPUTED_VALUE"""),"CAMEROUN")</f>
        <v>CAMEROUN</v>
      </c>
      <c r="AG415" s="1" t="str">
        <f ca="1">IFERROR(__xludf.DUMMYFUNCTION("""COMPUTED_VALUE"""),"CAMEROUN")</f>
        <v>CAMEROUN</v>
      </c>
      <c r="AH415" s="1"/>
      <c r="AI415" s="1"/>
      <c r="AJ415" s="1" t="str">
        <f ca="1">IFERROR(__xludf.DUMMYFUNCTION("""COMPUTED_VALUE"""),"F1464")</f>
        <v>F1464</v>
      </c>
      <c r="AK415" s="1" t="str">
        <f ca="1">IFERROR(__xludf.DUMMYFUNCTION("""COMPUTED_VALUE"""),"Marié(e)")</f>
        <v>Marié(e)</v>
      </c>
      <c r="AL415" s="1" t="str">
        <f ca="1">IFERROR(__xludf.DUMMYFUNCTION("""COMPUTED_VALUE"""),"Marié(e)")</f>
        <v>Marié(e)</v>
      </c>
      <c r="AM415" s="1" t="str">
        <f ca="1">IFERROR(__xludf.DUMMYFUNCTION("""COMPUTED_VALUE"""),"F1464")</f>
        <v>F1464</v>
      </c>
    </row>
    <row r="416" spans="1:39" ht="13" x14ac:dyDescent="0.15">
      <c r="A416" s="1" t="str">
        <f ca="1">IFERROR(__xludf.DUMMYFUNCTION("""COMPUTED_VALUE"""),"MOUABE Laurence")</f>
        <v>MOUABE Laurence</v>
      </c>
      <c r="B416" s="1" t="str">
        <f ca="1">IFERROR(__xludf.DUMMYFUNCTION("""COMPUTED_VALUE"""),"MOUABE")</f>
        <v>MOUABE</v>
      </c>
      <c r="C416" s="1" t="str">
        <f ca="1">IFERROR(__xludf.DUMMYFUNCTION("""COMPUTED_VALUE"""),"Laurence")</f>
        <v>Laurence</v>
      </c>
      <c r="D416" s="1" t="str">
        <f ca="1">IFERROR(__xludf.DUMMYFUNCTION("""COMPUTED_VALUE"""),"1464E3")</f>
        <v>1464E3</v>
      </c>
      <c r="E416" s="2">
        <f ca="1">IFERROR(__xludf.DUMMYFUNCTION("""COMPUTED_VALUE"""),40525)</f>
        <v>40525</v>
      </c>
      <c r="F416" s="1" t="str">
        <f ca="1">IFERROR(__xludf.DUMMYFUNCTION("""COMPUTED_VALUE"""),"2NDE2")</f>
        <v>2NDE2</v>
      </c>
      <c r="G416" s="1" t="str">
        <f ca="1">IFERROR(__xludf.DUMMYFUNCTION("""COMPUTED_VALUE"""),"2nde")</f>
        <v>2nde</v>
      </c>
      <c r="H416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416" s="1" t="str">
        <f ca="1">IFERROR(__xludf.DUMMYFUNCTION("""COMPUTED_VALUE"""),"LVA Anglais")</f>
        <v>LVA Anglais</v>
      </c>
      <c r="J416" s="1" t="str">
        <f ca="1">IFERROR(__xludf.DUMMYFUNCTION("""COMPUTED_VALUE"""),"LVB Espagnol")</f>
        <v>LVB Espagnol</v>
      </c>
      <c r="K416" s="1"/>
      <c r="L416" s="1"/>
      <c r="M416" s="1"/>
      <c r="N416" s="1" t="str">
        <f ca="1">IFERROR(__xludf.DUMMYFUNCTION("""COMPUTED_VALUE"""),"Fille")</f>
        <v>Fille</v>
      </c>
      <c r="O416" s="1"/>
      <c r="P416" s="1" t="str">
        <f ca="1">IFERROR(__xludf.DUMMYFUNCTION("""COMPUTED_VALUE"""),"CAMEROUN")</f>
        <v>CAMEROUN</v>
      </c>
      <c r="Q416" s="1"/>
      <c r="R416" s="1" t="str">
        <f ca="1">IFERROR(__xludf.DUMMYFUNCTION("""COMPUTED_VALUE"""),"laurence.mouabe@lfjpsaly.org")</f>
        <v>laurence.mouabe@lfjpsaly.org</v>
      </c>
      <c r="S416" s="1"/>
      <c r="T416" s="1" t="str">
        <f ca="1">IFERROR(__xludf.DUMMYFUNCTION("""COMPUTED_VALUE"""),"MOUABE Celestin")</f>
        <v>MOUABE Celestin</v>
      </c>
      <c r="U416" s="1" t="str">
        <f ca="1">IFERROR(__xludf.DUMMYFUNCTION("""COMPUTED_VALUE"""),"EKAMBI DIKONGUE SAME EPSE MOUABE Jeannine")</f>
        <v>EKAMBI DIKONGUE SAME EPSE MOUABE Jeannine</v>
      </c>
      <c r="V416" s="1" t="str">
        <f ca="1">IFERROR(__xludf.DUMMYFUNCTION("""COMPUTED_VALUE"""),"celestin.mouabe@gmail.com")</f>
        <v>celestin.mouabe@gmail.com</v>
      </c>
      <c r="W416" s="1" t="str">
        <f ca="1">IFERROR(__xludf.DUMMYFUNCTION("""COMPUTED_VALUE"""),"jr.ekambi@gmail.com")</f>
        <v>jr.ekambi@gmail.com</v>
      </c>
      <c r="X416" s="1" t="str">
        <f ca="1">IFERROR(__xludf.DUMMYFUNCTION("""COMPUTED_VALUE"""),"+221 76 623 43 98")</f>
        <v>+221 76 623 43 98</v>
      </c>
      <c r="Y416" s="1" t="str">
        <f ca="1">IFERROR(__xludf.DUMMYFUNCTION("""COMPUTED_VALUE"""),"+221 77 877 09 63")</f>
        <v>+221 77 877 09 63</v>
      </c>
      <c r="Z416" s="1" t="str">
        <f ca="1">IFERROR(__xludf.DUMMYFUNCTION("""COMPUTED_VALUE"""),"+221 76 623 43 98")</f>
        <v>+221 76 623 43 98</v>
      </c>
      <c r="AA416" s="1" t="str">
        <f ca="1">IFERROR(__xludf.DUMMYFUNCTION("""COMPUTED_VALUE"""),"+221 77 877 09 63")</f>
        <v>+221 77 877 09 63</v>
      </c>
      <c r="AB416" s="2">
        <f ca="1">IFERROR(__xludf.DUMMYFUNCTION("""COMPUTED_VALUE"""),29042)</f>
        <v>29042</v>
      </c>
      <c r="AC416" s="2">
        <f ca="1">IFERROR(__xludf.DUMMYFUNCTION("""COMPUTED_VALUE"""),28866)</f>
        <v>28866</v>
      </c>
      <c r="AD416" s="1" t="str">
        <f ca="1">IFERROR(__xludf.DUMMYFUNCTION("""COMPUTED_VALUE"""),"PERE")</f>
        <v>PERE</v>
      </c>
      <c r="AE416" s="1" t="str">
        <f ca="1">IFERROR(__xludf.DUMMYFUNCTION("""COMPUTED_VALUE"""),"MERE")</f>
        <v>MERE</v>
      </c>
      <c r="AF416" s="1" t="str">
        <f ca="1">IFERROR(__xludf.DUMMYFUNCTION("""COMPUTED_VALUE"""),"CAMEROUN")</f>
        <v>CAMEROUN</v>
      </c>
      <c r="AG416" s="1" t="str">
        <f ca="1">IFERROR(__xludf.DUMMYFUNCTION("""COMPUTED_VALUE"""),"CAMEROUN")</f>
        <v>CAMEROUN</v>
      </c>
      <c r="AH416" s="1"/>
      <c r="AI416" s="1"/>
      <c r="AJ416" s="1" t="str">
        <f ca="1">IFERROR(__xludf.DUMMYFUNCTION("""COMPUTED_VALUE"""),"F1464")</f>
        <v>F1464</v>
      </c>
      <c r="AK416" s="1" t="str">
        <f ca="1">IFERROR(__xludf.DUMMYFUNCTION("""COMPUTED_VALUE"""),"Marié(e)")</f>
        <v>Marié(e)</v>
      </c>
      <c r="AL416" s="1" t="str">
        <f ca="1">IFERROR(__xludf.DUMMYFUNCTION("""COMPUTED_VALUE"""),"Marié(e)")</f>
        <v>Marié(e)</v>
      </c>
      <c r="AM416" s="1" t="str">
        <f ca="1">IFERROR(__xludf.DUMMYFUNCTION("""COMPUTED_VALUE"""),"F1464")</f>
        <v>F1464</v>
      </c>
    </row>
    <row r="417" spans="1:39" ht="13" x14ac:dyDescent="0.15">
      <c r="A417" s="1" t="str">
        <f ca="1">IFERROR(__xludf.DUMMYFUNCTION("""COMPUTED_VALUE"""),"MOUAQIT Achraf")</f>
        <v>MOUAQIT Achraf</v>
      </c>
      <c r="B417" s="1" t="str">
        <f ca="1">IFERROR(__xludf.DUMMYFUNCTION("""COMPUTED_VALUE"""),"MOUAQIT")</f>
        <v>MOUAQIT</v>
      </c>
      <c r="C417" s="1" t="str">
        <f ca="1">IFERROR(__xludf.DUMMYFUNCTION("""COMPUTED_VALUE"""),"Achraf")</f>
        <v>Achraf</v>
      </c>
      <c r="D417" s="1" t="str">
        <f ca="1">IFERROR(__xludf.DUMMYFUNCTION("""COMPUTED_VALUE"""),"11895S2770")</f>
        <v>11895S2770</v>
      </c>
      <c r="E417" s="2">
        <f ca="1">IFERROR(__xludf.DUMMYFUNCTION("""COMPUTED_VALUE"""),39044)</f>
        <v>39044</v>
      </c>
      <c r="F417" s="1" t="str">
        <f ca="1">IFERROR(__xludf.DUMMYFUNCTION("""COMPUTED_VALUE"""),"1ERE1")</f>
        <v>1ERE1</v>
      </c>
      <c r="G417" s="1" t="str">
        <f ca="1">IFERROR(__xludf.DUMMYFUNCTION("""COMPUTED_VALUE"""),"1ère")</f>
        <v>1ère</v>
      </c>
      <c r="H417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417" s="1" t="str">
        <f ca="1">IFERROR(__xludf.DUMMYFUNCTION("""COMPUTED_VALUE"""),"LVA Anglais")</f>
        <v>LVA Anglais</v>
      </c>
      <c r="J417" s="1" t="str">
        <f ca="1">IFERROR(__xludf.DUMMYFUNCTION("""COMPUTED_VALUE"""),"LVB Espagnol")</f>
        <v>LVB Espagnol</v>
      </c>
      <c r="K417" s="1"/>
      <c r="L417" s="1"/>
      <c r="M417" s="1" t="str">
        <f ca="1">IFERROR(__xludf.DUMMYFUNCTION("""COMPUTED_VALUE"""),"SPE MATHS, SPE SPC, SPE SVT")</f>
        <v>SPE MATHS, SPE SPC, SPE SVT</v>
      </c>
      <c r="N417" s="1" t="str">
        <f ca="1">IFERROR(__xludf.DUMMYFUNCTION("""COMPUTED_VALUE"""),"Garçon")</f>
        <v>Garçon</v>
      </c>
      <c r="O417" s="1"/>
      <c r="P417" s="1" t="str">
        <f ca="1">IFERROR(__xludf.DUMMYFUNCTION("""COMPUTED_VALUE"""),"MAROC")</f>
        <v>MAROC</v>
      </c>
      <c r="Q417" s="1"/>
      <c r="R417" s="1" t="str">
        <f ca="1">IFERROR(__xludf.DUMMYFUNCTION("""COMPUTED_VALUE"""),"achraf.mouaqit@lfjpsaly.org")</f>
        <v>achraf.mouaqit@lfjpsaly.org</v>
      </c>
      <c r="S417" s="1" t="str">
        <f ca="1">IFERROR(__xludf.DUMMYFUNCTION("""COMPUTED_VALUE"""),"+221")</f>
        <v>+221</v>
      </c>
      <c r="T417" s="1" t="str">
        <f ca="1">IFERROR(__xludf.DUMMYFUNCTION("""COMPUTED_VALUE"""),"MOUAQIT Nadir")</f>
        <v>MOUAQIT Nadir</v>
      </c>
      <c r="U417" s="1" t="str">
        <f ca="1">IFERROR(__xludf.DUMMYFUNCTION("""COMPUTED_VALUE"""),"MAHIR Bouchra")</f>
        <v>MAHIR Bouchra</v>
      </c>
      <c r="V417" s="1" t="str">
        <f ca="1">IFERROR(__xludf.DUMMYFUNCTION("""COMPUTED_VALUE"""),"nadirsenegal@gmail.com")</f>
        <v>nadirsenegal@gmail.com</v>
      </c>
      <c r="W417" s="1" t="str">
        <f ca="1">IFERROR(__xludf.DUMMYFUNCTION("""COMPUTED_VALUE"""),"bouchrasenegal@gmail.com")</f>
        <v>bouchrasenegal@gmail.com</v>
      </c>
      <c r="X417" s="1" t="str">
        <f ca="1">IFERROR(__xludf.DUMMYFUNCTION("""COMPUTED_VALUE"""),"+221 76 184 73 51")</f>
        <v>+221 76 184 73 51</v>
      </c>
      <c r="Y417" s="1" t="str">
        <f ca="1">IFERROR(__xludf.DUMMYFUNCTION("""COMPUTED_VALUE"""),"+221 77 816 05 60")</f>
        <v>+221 77 816 05 60</v>
      </c>
      <c r="Z417" s="1" t="str">
        <f ca="1">IFERROR(__xludf.DUMMYFUNCTION("""COMPUTED_VALUE"""),"+221 76 184 73 51")</f>
        <v>+221 76 184 73 51</v>
      </c>
      <c r="AA417" s="1" t="str">
        <f ca="1">IFERROR(__xludf.DUMMYFUNCTION("""COMPUTED_VALUE"""),"+221")</f>
        <v>+221</v>
      </c>
      <c r="AB417" s="2">
        <f ca="1">IFERROR(__xludf.DUMMYFUNCTION("""COMPUTED_VALUE"""),23870)</f>
        <v>23870</v>
      </c>
      <c r="AC417" s="2">
        <f ca="1">IFERROR(__xludf.DUMMYFUNCTION("""COMPUTED_VALUE"""),46354)</f>
        <v>46354</v>
      </c>
      <c r="AD417" s="1" t="str">
        <f ca="1">IFERROR(__xludf.DUMMYFUNCTION("""COMPUTED_VALUE"""),"PERE")</f>
        <v>PERE</v>
      </c>
      <c r="AE417" s="1" t="str">
        <f ca="1">IFERROR(__xludf.DUMMYFUNCTION("""COMPUTED_VALUE"""),"MERE")</f>
        <v>MERE</v>
      </c>
      <c r="AF417" s="1" t="str">
        <f ca="1">IFERROR(__xludf.DUMMYFUNCTION("""COMPUTED_VALUE"""),"MAROC")</f>
        <v>MAROC</v>
      </c>
      <c r="AG417" s="1" t="str">
        <f ca="1">IFERROR(__xludf.DUMMYFUNCTION("""COMPUTED_VALUE"""),"MAROC")</f>
        <v>MAROC</v>
      </c>
      <c r="AH417" s="1"/>
      <c r="AI417" s="1"/>
      <c r="AJ417" s="1" t="str">
        <f ca="1">IFERROR(__xludf.DUMMYFUNCTION("""COMPUTED_VALUE"""),"U11895")</f>
        <v>U11895</v>
      </c>
      <c r="AK417" s="1" t="str">
        <f ca="1">IFERROR(__xludf.DUMMYFUNCTION("""COMPUTED_VALUE"""),"Marié(e)")</f>
        <v>Marié(e)</v>
      </c>
      <c r="AL417" s="1" t="str">
        <f ca="1">IFERROR(__xludf.DUMMYFUNCTION("""COMPUTED_VALUE"""),"Marié(e)")</f>
        <v>Marié(e)</v>
      </c>
      <c r="AM417" s="1" t="str">
        <f ca="1">IFERROR(__xludf.DUMMYFUNCTION("""COMPUTED_VALUE"""),"U11895")</f>
        <v>U11895</v>
      </c>
    </row>
    <row r="418" spans="1:39" ht="13" x14ac:dyDescent="0.15">
      <c r="A418" s="1" t="str">
        <f ca="1">IFERROR(__xludf.DUMMYFUNCTION("""COMPUTED_VALUE"""),"MOURTADA Karma")</f>
        <v>MOURTADA Karma</v>
      </c>
      <c r="B418" s="1" t="str">
        <f ca="1">IFERROR(__xludf.DUMMYFUNCTION("""COMPUTED_VALUE"""),"MOURTADA")</f>
        <v>MOURTADA</v>
      </c>
      <c r="C418" s="1" t="str">
        <f ca="1">IFERROR(__xludf.DUMMYFUNCTION("""COMPUTED_VALUE"""),"Karma")</f>
        <v>Karma</v>
      </c>
      <c r="D418" s="1" t="str">
        <f ca="1">IFERROR(__xludf.DUMMYFUNCTION("""COMPUTED_VALUE"""),"1466E1")</f>
        <v>1466E1</v>
      </c>
      <c r="E418" s="2">
        <f ca="1">IFERROR(__xludf.DUMMYFUNCTION("""COMPUTED_VALUE"""),40214)</f>
        <v>40214</v>
      </c>
      <c r="F418" s="1" t="str">
        <f ca="1">IFERROR(__xludf.DUMMYFUNCTION("""COMPUTED_VALUE"""),"2NDE1 COOP")</f>
        <v>2NDE1 COOP</v>
      </c>
      <c r="G418" s="1" t="str">
        <f ca="1">IFERROR(__xludf.DUMMYFUNCTION("""COMPUTED_VALUE"""),"2nde")</f>
        <v>2nde</v>
      </c>
      <c r="H418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418" s="1" t="str">
        <f ca="1">IFERROR(__xludf.DUMMYFUNCTION("""COMPUTED_VALUE"""),"LVA Anglais")</f>
        <v>LVA Anglais</v>
      </c>
      <c r="J418" s="1" t="str">
        <f ca="1">IFERROR(__xludf.DUMMYFUNCTION("""COMPUTED_VALUE"""),"LVB Espagnol")</f>
        <v>LVB Espagnol</v>
      </c>
      <c r="K418" s="1"/>
      <c r="L418" s="1"/>
      <c r="M418" s="1"/>
      <c r="N418" s="1" t="str">
        <f ca="1">IFERROR(__xludf.DUMMYFUNCTION("""COMPUTED_VALUE"""),"Fille")</f>
        <v>Fille</v>
      </c>
      <c r="O418" s="1"/>
      <c r="P418" s="1" t="str">
        <f ca="1">IFERROR(__xludf.DUMMYFUNCTION("""COMPUTED_VALUE"""),"LIBAN")</f>
        <v>LIBAN</v>
      </c>
      <c r="Q418" s="1" t="str">
        <f ca="1">IFERROR(__xludf.DUMMYFUNCTION("""COMPUTED_VALUE"""),"SENEGAL")</f>
        <v>SENEGAL</v>
      </c>
      <c r="R418" s="1" t="str">
        <f ca="1">IFERROR(__xludf.DUMMYFUNCTION("""COMPUTED_VALUE"""),"karma.mourtada@lfjpsaly.org")</f>
        <v>karma.mourtada@lfjpsaly.org</v>
      </c>
      <c r="S418" s="1" t="str">
        <f ca="1">IFERROR(__xludf.DUMMYFUNCTION("""COMPUTED_VALUE"""),"+221")</f>
        <v>+221</v>
      </c>
      <c r="T418" s="1" t="str">
        <f ca="1">IFERROR(__xludf.DUMMYFUNCTION("""COMPUTED_VALUE"""),"SAAD Nassrine")</f>
        <v>SAAD Nassrine</v>
      </c>
      <c r="U418" s="1"/>
      <c r="V418" s="1" t="str">
        <f ca="1">IFERROR(__xludf.DUMMYFUNCTION("""COMPUTED_VALUE"""),"habibnassrinesaad@gmail.com")</f>
        <v>habibnassrinesaad@gmail.com</v>
      </c>
      <c r="W418" s="1"/>
      <c r="X418" s="1" t="str">
        <f ca="1">IFERROR(__xludf.DUMMYFUNCTION("""COMPUTED_VALUE"""),"+221 77 547 73 41")</f>
        <v>+221 77 547 73 41</v>
      </c>
      <c r="Y418" s="1"/>
      <c r="Z418" s="1" t="str">
        <f ca="1">IFERROR(__xludf.DUMMYFUNCTION("""COMPUTED_VALUE"""),"+221 77 547 73 41")</f>
        <v>+221 77 547 73 41</v>
      </c>
      <c r="AA418" s="1"/>
      <c r="AB418" s="2">
        <f ca="1">IFERROR(__xludf.DUMMYFUNCTION("""COMPUTED_VALUE"""),31266)</f>
        <v>31266</v>
      </c>
      <c r="AC418" s="1"/>
      <c r="AD418" s="1" t="str">
        <f ca="1">IFERROR(__xludf.DUMMYFUNCTION("""COMPUTED_VALUE"""),"MERE")</f>
        <v>MERE</v>
      </c>
      <c r="AE418" s="1"/>
      <c r="AF418" s="1" t="str">
        <f ca="1">IFERROR(__xludf.DUMMYFUNCTION("""COMPUTED_VALUE"""),"LIBAN")</f>
        <v>LIBAN</v>
      </c>
      <c r="AG418" s="1"/>
      <c r="AH418" s="1" t="str">
        <f ca="1">IFERROR(__xludf.DUMMYFUNCTION("""COMPUTED_VALUE"""),"SENEGAL")</f>
        <v>SENEGAL</v>
      </c>
      <c r="AI418" s="1"/>
      <c r="AJ418" s="1" t="str">
        <f ca="1">IFERROR(__xludf.DUMMYFUNCTION("""COMPUTED_VALUE"""),"F1466")</f>
        <v>F1466</v>
      </c>
      <c r="AK418" s="1" t="str">
        <f ca="1">IFERROR(__xludf.DUMMYFUNCTION("""COMPUTED_VALUE"""),"Divorcée")</f>
        <v>Divorcée</v>
      </c>
      <c r="AL418" s="1"/>
      <c r="AM418" s="1" t="str">
        <f ca="1">IFERROR(__xludf.DUMMYFUNCTION("""COMPUTED_VALUE"""),"F1466")</f>
        <v>F1466</v>
      </c>
    </row>
    <row r="419" spans="1:39" ht="13" x14ac:dyDescent="0.15">
      <c r="A419" s="1" t="str">
        <f ca="1">IFERROR(__xludf.DUMMYFUNCTION("""COMPUTED_VALUE"""),"MOURTADA Mariam")</f>
        <v>MOURTADA Mariam</v>
      </c>
      <c r="B419" s="1" t="str">
        <f ca="1">IFERROR(__xludf.DUMMYFUNCTION("""COMPUTED_VALUE"""),"MOURTADA")</f>
        <v>MOURTADA</v>
      </c>
      <c r="C419" s="1" t="str">
        <f ca="1">IFERROR(__xludf.DUMMYFUNCTION("""COMPUTED_VALUE"""),"Mariam")</f>
        <v>Mariam</v>
      </c>
      <c r="D419" s="1" t="str">
        <f ca="1">IFERROR(__xludf.DUMMYFUNCTION("""COMPUTED_VALUE"""),"1466E2")</f>
        <v>1466E2</v>
      </c>
      <c r="E419" s="2">
        <f ca="1">IFERROR(__xludf.DUMMYFUNCTION("""COMPUTED_VALUE"""),41251)</f>
        <v>41251</v>
      </c>
      <c r="F419" s="1" t="str">
        <f ca="1">IFERROR(__xludf.DUMMYFUNCTION("""COMPUTED_VALUE"""),"4EME2")</f>
        <v>4EME2</v>
      </c>
      <c r="G419" s="1" t="str">
        <f ca="1">IFERROR(__xludf.DUMMYFUNCTION("""COMPUTED_VALUE"""),"4ème")</f>
        <v>4ème</v>
      </c>
      <c r="H419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419" s="1" t="str">
        <f ca="1">IFERROR(__xludf.DUMMYFUNCTION("""COMPUTED_VALUE"""),"LVA Anglais")</f>
        <v>LVA Anglais</v>
      </c>
      <c r="J419" s="1" t="str">
        <f ca="1">IFERROR(__xludf.DUMMYFUNCTION("""COMPUTED_VALUE"""),"LVB Espagnol")</f>
        <v>LVB Espagnol</v>
      </c>
      <c r="K419" s="1"/>
      <c r="L419" s="1"/>
      <c r="M419" s="1"/>
      <c r="N419" s="1" t="str">
        <f ca="1">IFERROR(__xludf.DUMMYFUNCTION("""COMPUTED_VALUE"""),"Fille")</f>
        <v>Fille</v>
      </c>
      <c r="O419" s="1"/>
      <c r="P419" s="1" t="str">
        <f ca="1">IFERROR(__xludf.DUMMYFUNCTION("""COMPUTED_VALUE"""),"LIBAN")</f>
        <v>LIBAN</v>
      </c>
      <c r="Q419" s="1" t="str">
        <f ca="1">IFERROR(__xludf.DUMMYFUNCTION("""COMPUTED_VALUE"""),"SENEGAL")</f>
        <v>SENEGAL</v>
      </c>
      <c r="R419" s="1" t="str">
        <f ca="1">IFERROR(__xludf.DUMMYFUNCTION("""COMPUTED_VALUE"""),"mariam.mourtada@lfjpsaly.org")</f>
        <v>mariam.mourtada@lfjpsaly.org</v>
      </c>
      <c r="S419" s="1" t="str">
        <f ca="1">IFERROR(__xludf.DUMMYFUNCTION("""COMPUTED_VALUE"""),"+221")</f>
        <v>+221</v>
      </c>
      <c r="T419" s="1" t="str">
        <f ca="1">IFERROR(__xludf.DUMMYFUNCTION("""COMPUTED_VALUE"""),"SAAD Nassrine")</f>
        <v>SAAD Nassrine</v>
      </c>
      <c r="U419" s="1"/>
      <c r="V419" s="1" t="str">
        <f ca="1">IFERROR(__xludf.DUMMYFUNCTION("""COMPUTED_VALUE"""),"habibnassrinesaad@gmail.com")</f>
        <v>habibnassrinesaad@gmail.com</v>
      </c>
      <c r="W419" s="1"/>
      <c r="X419" s="1" t="str">
        <f ca="1">IFERROR(__xludf.DUMMYFUNCTION("""COMPUTED_VALUE"""),"+221 77 547 73 41")</f>
        <v>+221 77 547 73 41</v>
      </c>
      <c r="Y419" s="1"/>
      <c r="Z419" s="1" t="str">
        <f ca="1">IFERROR(__xludf.DUMMYFUNCTION("""COMPUTED_VALUE"""),"+221 77 547 73 41")</f>
        <v>+221 77 547 73 41</v>
      </c>
      <c r="AA419" s="1"/>
      <c r="AB419" s="2">
        <f ca="1">IFERROR(__xludf.DUMMYFUNCTION("""COMPUTED_VALUE"""),31266)</f>
        <v>31266</v>
      </c>
      <c r="AC419" s="1"/>
      <c r="AD419" s="1" t="str">
        <f ca="1">IFERROR(__xludf.DUMMYFUNCTION("""COMPUTED_VALUE"""),"MERE")</f>
        <v>MERE</v>
      </c>
      <c r="AE419" s="1"/>
      <c r="AF419" s="1" t="str">
        <f ca="1">IFERROR(__xludf.DUMMYFUNCTION("""COMPUTED_VALUE"""),"LIBAN")</f>
        <v>LIBAN</v>
      </c>
      <c r="AG419" s="1"/>
      <c r="AH419" s="1" t="str">
        <f ca="1">IFERROR(__xludf.DUMMYFUNCTION("""COMPUTED_VALUE"""),"SENEGAL")</f>
        <v>SENEGAL</v>
      </c>
      <c r="AI419" s="1"/>
      <c r="AJ419" s="1" t="str">
        <f ca="1">IFERROR(__xludf.DUMMYFUNCTION("""COMPUTED_VALUE"""),"F1466")</f>
        <v>F1466</v>
      </c>
      <c r="AK419" s="1" t="str">
        <f ca="1">IFERROR(__xludf.DUMMYFUNCTION("""COMPUTED_VALUE"""),"Divorcée")</f>
        <v>Divorcée</v>
      </c>
      <c r="AL419" s="1"/>
      <c r="AM419" s="1" t="str">
        <f ca="1">IFERROR(__xludf.DUMMYFUNCTION("""COMPUTED_VALUE"""),"F1466")</f>
        <v>F1466</v>
      </c>
    </row>
    <row r="420" spans="1:39" ht="13" x14ac:dyDescent="0.15">
      <c r="A420" s="1" t="str">
        <f ca="1">IFERROR(__xludf.DUMMYFUNCTION("""COMPUTED_VALUE"""),"MOURTADA Sarah")</f>
        <v>MOURTADA Sarah</v>
      </c>
      <c r="B420" s="1" t="str">
        <f ca="1">IFERROR(__xludf.DUMMYFUNCTION("""COMPUTED_VALUE"""),"MOURTADA")</f>
        <v>MOURTADA</v>
      </c>
      <c r="C420" s="1" t="str">
        <f ca="1">IFERROR(__xludf.DUMMYFUNCTION("""COMPUTED_VALUE"""),"Sarah")</f>
        <v>Sarah</v>
      </c>
      <c r="D420" s="1" t="str">
        <f ca="1">IFERROR(__xludf.DUMMYFUNCTION("""COMPUTED_VALUE"""),"1466E3")</f>
        <v>1466E3</v>
      </c>
      <c r="E420" s="2">
        <f ca="1">IFERROR(__xludf.DUMMYFUNCTION("""COMPUTED_VALUE"""),42728)</f>
        <v>42728</v>
      </c>
      <c r="F420" s="1" t="str">
        <f ca="1">IFERROR(__xludf.DUMMYFUNCTION("""COMPUTED_VALUE"""),"CM1B")</f>
        <v>CM1B</v>
      </c>
      <c r="G420" s="1" t="str">
        <f ca="1">IFERROR(__xludf.DUMMYFUNCTION("""COMPUTED_VALUE"""),"CM1")</f>
        <v>CM1</v>
      </c>
      <c r="H420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420" s="1"/>
      <c r="J420" s="1"/>
      <c r="K420" s="1"/>
      <c r="L420" s="1"/>
      <c r="M420" s="1"/>
      <c r="N420" s="1" t="str">
        <f ca="1">IFERROR(__xludf.DUMMYFUNCTION("""COMPUTED_VALUE"""),"Fille")</f>
        <v>Fille</v>
      </c>
      <c r="O420" s="1"/>
      <c r="P420" s="1" t="str">
        <f ca="1">IFERROR(__xludf.DUMMYFUNCTION("""COMPUTED_VALUE"""),"LIBAN")</f>
        <v>LIBAN</v>
      </c>
      <c r="Q420" s="1" t="str">
        <f ca="1">IFERROR(__xludf.DUMMYFUNCTION("""COMPUTED_VALUE"""),"SENEGAL")</f>
        <v>SENEGAL</v>
      </c>
      <c r="R420" s="1"/>
      <c r="S420" s="1"/>
      <c r="T420" s="1" t="str">
        <f ca="1">IFERROR(__xludf.DUMMYFUNCTION("""COMPUTED_VALUE"""),"SAAD Nassrine")</f>
        <v>SAAD Nassrine</v>
      </c>
      <c r="U420" s="1"/>
      <c r="V420" s="1" t="str">
        <f ca="1">IFERROR(__xludf.DUMMYFUNCTION("""COMPUTED_VALUE"""),"habibnassrinesaad@gmail.com")</f>
        <v>habibnassrinesaad@gmail.com</v>
      </c>
      <c r="W420" s="1"/>
      <c r="X420" s="1" t="str">
        <f ca="1">IFERROR(__xludf.DUMMYFUNCTION("""COMPUTED_VALUE"""),"+221 77 547 73 41")</f>
        <v>+221 77 547 73 41</v>
      </c>
      <c r="Y420" s="1"/>
      <c r="Z420" s="1" t="str">
        <f ca="1">IFERROR(__xludf.DUMMYFUNCTION("""COMPUTED_VALUE"""),"+221 77 547 73 41")</f>
        <v>+221 77 547 73 41</v>
      </c>
      <c r="AA420" s="1"/>
      <c r="AB420" s="2">
        <f ca="1">IFERROR(__xludf.DUMMYFUNCTION("""COMPUTED_VALUE"""),31266)</f>
        <v>31266</v>
      </c>
      <c r="AC420" s="1"/>
      <c r="AD420" s="1" t="str">
        <f ca="1">IFERROR(__xludf.DUMMYFUNCTION("""COMPUTED_VALUE"""),"MERE")</f>
        <v>MERE</v>
      </c>
      <c r="AE420" s="1"/>
      <c r="AF420" s="1" t="str">
        <f ca="1">IFERROR(__xludf.DUMMYFUNCTION("""COMPUTED_VALUE"""),"LIBAN")</f>
        <v>LIBAN</v>
      </c>
      <c r="AG420" s="1"/>
      <c r="AH420" s="1" t="str">
        <f ca="1">IFERROR(__xludf.DUMMYFUNCTION("""COMPUTED_VALUE"""),"SENEGAL")</f>
        <v>SENEGAL</v>
      </c>
      <c r="AI420" s="1"/>
      <c r="AJ420" s="1" t="str">
        <f ca="1">IFERROR(__xludf.DUMMYFUNCTION("""COMPUTED_VALUE"""),"F1466")</f>
        <v>F1466</v>
      </c>
      <c r="AK420" s="1" t="str">
        <f ca="1">IFERROR(__xludf.DUMMYFUNCTION("""COMPUTED_VALUE"""),"Divorcée")</f>
        <v>Divorcée</v>
      </c>
      <c r="AL420" s="1"/>
      <c r="AM420" s="1" t="str">
        <f ca="1">IFERROR(__xludf.DUMMYFUNCTION("""COMPUTED_VALUE"""),"F1466")</f>
        <v>F1466</v>
      </c>
    </row>
    <row r="421" spans="1:39" ht="13" x14ac:dyDescent="0.15">
      <c r="A421" s="1" t="str">
        <f ca="1">IFERROR(__xludf.DUMMYFUNCTION("""COMPUTED_VALUE"""),"MOZZI Amaya Ngilane")</f>
        <v>MOZZI Amaya Ngilane</v>
      </c>
      <c r="B421" s="1" t="str">
        <f ca="1">IFERROR(__xludf.DUMMYFUNCTION("""COMPUTED_VALUE"""),"MOZZI")</f>
        <v>MOZZI</v>
      </c>
      <c r="C421" s="1" t="str">
        <f ca="1">IFERROR(__xludf.DUMMYFUNCTION("""COMPUTED_VALUE"""),"Amaya Ngilane")</f>
        <v>Amaya Ngilane</v>
      </c>
      <c r="D421" s="1" t="str">
        <f ca="1">IFERROR(__xludf.DUMMYFUNCTION("""COMPUTED_VALUE"""),"11665S2238")</f>
        <v>11665S2238</v>
      </c>
      <c r="E421" s="2">
        <f ca="1">IFERROR(__xludf.DUMMYFUNCTION("""COMPUTED_VALUE"""),44487)</f>
        <v>44487</v>
      </c>
      <c r="F421" s="1" t="str">
        <f ca="1">IFERROR(__xludf.DUMMYFUNCTION("""COMPUTED_VALUE"""),"Mat 2")</f>
        <v>Mat 2</v>
      </c>
      <c r="G421" s="1" t="str">
        <f ca="1">IFERROR(__xludf.DUMMYFUNCTION("""COMPUTED_VALUE"""),"MS")</f>
        <v>MS</v>
      </c>
      <c r="H421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421" s="1"/>
      <c r="J421" s="1"/>
      <c r="K421" s="1"/>
      <c r="L421" s="1"/>
      <c r="M421" s="1"/>
      <c r="N421" s="1" t="str">
        <f ca="1">IFERROR(__xludf.DUMMYFUNCTION("""COMPUTED_VALUE"""),"Fille")</f>
        <v>Fille</v>
      </c>
      <c r="O421" s="1"/>
      <c r="P421" s="1" t="str">
        <f ca="1">IFERROR(__xludf.DUMMYFUNCTION("""COMPUTED_VALUE"""),"ITALIE")</f>
        <v>ITALIE</v>
      </c>
      <c r="Q421" s="1"/>
      <c r="R421" s="1"/>
      <c r="S421" s="1" t="str">
        <f ca="1">IFERROR(__xludf.DUMMYFUNCTION("""COMPUTED_VALUE"""),"+221")</f>
        <v>+221</v>
      </c>
      <c r="T421" s="1" t="str">
        <f ca="1">IFERROR(__xludf.DUMMYFUNCTION("""COMPUTED_VALUE"""),"SENE Aminata")</f>
        <v>SENE Aminata</v>
      </c>
      <c r="U421" s="1" t="str">
        <f ca="1">IFERROR(__xludf.DUMMYFUNCTION("""COMPUTED_VALUE"""),"MOZZI Enrico")</f>
        <v>MOZZI Enrico</v>
      </c>
      <c r="V421" s="1" t="str">
        <f ca="1">IFERROR(__xludf.DUMMYFUNCTION("""COMPUTED_VALUE"""),"ami.s.sene@gmail.com")</f>
        <v>ami.s.sene@gmail.com</v>
      </c>
      <c r="W421" s="1" t="str">
        <f ca="1">IFERROR(__xludf.DUMMYFUNCTION("""COMPUTED_VALUE"""),"enricomozzi81@gmail.com")</f>
        <v>enricomozzi81@gmail.com</v>
      </c>
      <c r="X421" s="1" t="str">
        <f ca="1">IFERROR(__xludf.DUMMYFUNCTION("""COMPUTED_VALUE"""),"+39 366 353 1059")</f>
        <v>+39 366 353 1059</v>
      </c>
      <c r="Y421" s="1" t="str">
        <f ca="1">IFERROR(__xludf.DUMMYFUNCTION("""COMPUTED_VALUE"""),"+39 345 680 1844")</f>
        <v>+39 345 680 1844</v>
      </c>
      <c r="Z421" s="1" t="str">
        <f ca="1">IFERROR(__xludf.DUMMYFUNCTION("""COMPUTED_VALUE"""),"+221 78 630 59 00")</f>
        <v>+221 78 630 59 00</v>
      </c>
      <c r="AA421" s="1" t="str">
        <f ca="1">IFERROR(__xludf.DUMMYFUNCTION("""COMPUTED_VALUE"""),"+39 345 680 1844")</f>
        <v>+39 345 680 1844</v>
      </c>
      <c r="AB421" s="2">
        <f ca="1">IFERROR(__xludf.DUMMYFUNCTION("""COMPUTED_VALUE"""),31180)</f>
        <v>31180</v>
      </c>
      <c r="AC421" s="2">
        <f ca="1">IFERROR(__xludf.DUMMYFUNCTION("""COMPUTED_VALUE"""),29848)</f>
        <v>29848</v>
      </c>
      <c r="AD421" s="1" t="str">
        <f ca="1">IFERROR(__xludf.DUMMYFUNCTION("""COMPUTED_VALUE"""),"MERE")</f>
        <v>MERE</v>
      </c>
      <c r="AE421" s="1" t="str">
        <f ca="1">IFERROR(__xludf.DUMMYFUNCTION("""COMPUTED_VALUE"""),"PERE")</f>
        <v>PERE</v>
      </c>
      <c r="AF421" s="1" t="str">
        <f ca="1">IFERROR(__xludf.DUMMYFUNCTION("""COMPUTED_VALUE"""),"ALLEMAGNE")</f>
        <v>ALLEMAGNE</v>
      </c>
      <c r="AG421" s="1" t="str">
        <f ca="1">IFERROR(__xludf.DUMMYFUNCTION("""COMPUTED_VALUE"""),"ITALIE")</f>
        <v>ITALIE</v>
      </c>
      <c r="AH421" s="1" t="str">
        <f ca="1">IFERROR(__xludf.DUMMYFUNCTION("""COMPUTED_VALUE"""),"ETATS-UNIS")</f>
        <v>ETATS-UNIS</v>
      </c>
      <c r="AI421" s="1"/>
      <c r="AJ421" s="1" t="str">
        <f ca="1">IFERROR(__xludf.DUMMYFUNCTION("""COMPUTED_VALUE"""),"U11665")</f>
        <v>U11665</v>
      </c>
      <c r="AK421" s="1" t="str">
        <f ca="1">IFERROR(__xludf.DUMMYFUNCTION("""COMPUTED_VALUE"""),"Marié(e)")</f>
        <v>Marié(e)</v>
      </c>
      <c r="AL421" s="1" t="str">
        <f ca="1">IFERROR(__xludf.DUMMYFUNCTION("""COMPUTED_VALUE"""),"Marié(e)")</f>
        <v>Marié(e)</v>
      </c>
      <c r="AM421" s="1" t="str">
        <f ca="1">IFERROR(__xludf.DUMMYFUNCTION("""COMPUTED_VALUE"""),"U11665")</f>
        <v>U11665</v>
      </c>
    </row>
    <row r="422" spans="1:39" ht="13" x14ac:dyDescent="0.15">
      <c r="A422" s="1" t="str">
        <f ca="1">IFERROR(__xludf.DUMMYFUNCTION("""COMPUTED_VALUE"""),"MOZZI Lia Aissa")</f>
        <v>MOZZI Lia Aissa</v>
      </c>
      <c r="B422" s="1" t="str">
        <f ca="1">IFERROR(__xludf.DUMMYFUNCTION("""COMPUTED_VALUE"""),"MOZZI")</f>
        <v>MOZZI</v>
      </c>
      <c r="C422" s="1" t="str">
        <f ca="1">IFERROR(__xludf.DUMMYFUNCTION("""COMPUTED_VALUE"""),"Lia Aissa")</f>
        <v>Lia Aissa</v>
      </c>
      <c r="D422" s="1" t="str">
        <f ca="1">IFERROR(__xludf.DUMMYFUNCTION("""COMPUTED_VALUE"""),"11665S2239")</f>
        <v>11665S2239</v>
      </c>
      <c r="E422" s="2">
        <f ca="1">IFERROR(__xludf.DUMMYFUNCTION("""COMPUTED_VALUE"""),42623)</f>
        <v>42623</v>
      </c>
      <c r="F422" s="1" t="str">
        <f ca="1">IFERROR(__xludf.DUMMYFUNCTION("""COMPUTED_VALUE"""),"CM1B")</f>
        <v>CM1B</v>
      </c>
      <c r="G422" s="1" t="str">
        <f ca="1">IFERROR(__xludf.DUMMYFUNCTION("""COMPUTED_VALUE"""),"CM1")</f>
        <v>CM1</v>
      </c>
      <c r="H422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422" s="1"/>
      <c r="J422" s="1"/>
      <c r="K422" s="1"/>
      <c r="L422" s="1"/>
      <c r="M422" s="1"/>
      <c r="N422" s="1" t="str">
        <f ca="1">IFERROR(__xludf.DUMMYFUNCTION("""COMPUTED_VALUE"""),"Fille")</f>
        <v>Fille</v>
      </c>
      <c r="O422" s="1"/>
      <c r="P422" s="1" t="str">
        <f ca="1">IFERROR(__xludf.DUMMYFUNCTION("""COMPUTED_VALUE"""),"ITALIE")</f>
        <v>ITALIE</v>
      </c>
      <c r="Q422" s="1"/>
      <c r="R422" s="1"/>
      <c r="S422" s="1" t="str">
        <f ca="1">IFERROR(__xludf.DUMMYFUNCTION("""COMPUTED_VALUE"""),"+221")</f>
        <v>+221</v>
      </c>
      <c r="T422" s="1" t="str">
        <f ca="1">IFERROR(__xludf.DUMMYFUNCTION("""COMPUTED_VALUE"""),"SENE Aminata")</f>
        <v>SENE Aminata</v>
      </c>
      <c r="U422" s="1" t="str">
        <f ca="1">IFERROR(__xludf.DUMMYFUNCTION("""COMPUTED_VALUE"""),"MOZZI Enrico")</f>
        <v>MOZZI Enrico</v>
      </c>
      <c r="V422" s="1" t="str">
        <f ca="1">IFERROR(__xludf.DUMMYFUNCTION("""COMPUTED_VALUE"""),"ami.s.sene@gmail.com")</f>
        <v>ami.s.sene@gmail.com</v>
      </c>
      <c r="W422" s="1" t="str">
        <f ca="1">IFERROR(__xludf.DUMMYFUNCTION("""COMPUTED_VALUE"""),"enricomozzi81@gmail.com")</f>
        <v>enricomozzi81@gmail.com</v>
      </c>
      <c r="X422" s="1" t="str">
        <f ca="1">IFERROR(__xludf.DUMMYFUNCTION("""COMPUTED_VALUE"""),"+39 366 353 1059")</f>
        <v>+39 366 353 1059</v>
      </c>
      <c r="Y422" s="1" t="str">
        <f ca="1">IFERROR(__xludf.DUMMYFUNCTION("""COMPUTED_VALUE"""),"+39 345 680 1844")</f>
        <v>+39 345 680 1844</v>
      </c>
      <c r="Z422" s="1" t="str">
        <f ca="1">IFERROR(__xludf.DUMMYFUNCTION("""COMPUTED_VALUE"""),"+221 78 630 59 00")</f>
        <v>+221 78 630 59 00</v>
      </c>
      <c r="AA422" s="1" t="str">
        <f ca="1">IFERROR(__xludf.DUMMYFUNCTION("""COMPUTED_VALUE"""),"+39 345 680 1844")</f>
        <v>+39 345 680 1844</v>
      </c>
      <c r="AB422" s="2">
        <f ca="1">IFERROR(__xludf.DUMMYFUNCTION("""COMPUTED_VALUE"""),31180)</f>
        <v>31180</v>
      </c>
      <c r="AC422" s="2">
        <f ca="1">IFERROR(__xludf.DUMMYFUNCTION("""COMPUTED_VALUE"""),29848)</f>
        <v>29848</v>
      </c>
      <c r="AD422" s="1" t="str">
        <f ca="1">IFERROR(__xludf.DUMMYFUNCTION("""COMPUTED_VALUE"""),"MERE")</f>
        <v>MERE</v>
      </c>
      <c r="AE422" s="1" t="str">
        <f ca="1">IFERROR(__xludf.DUMMYFUNCTION("""COMPUTED_VALUE"""),"PERE")</f>
        <v>PERE</v>
      </c>
      <c r="AF422" s="1" t="str">
        <f ca="1">IFERROR(__xludf.DUMMYFUNCTION("""COMPUTED_VALUE"""),"ALLEMAGNE")</f>
        <v>ALLEMAGNE</v>
      </c>
      <c r="AG422" s="1" t="str">
        <f ca="1">IFERROR(__xludf.DUMMYFUNCTION("""COMPUTED_VALUE"""),"ITALIE")</f>
        <v>ITALIE</v>
      </c>
      <c r="AH422" s="1" t="str">
        <f ca="1">IFERROR(__xludf.DUMMYFUNCTION("""COMPUTED_VALUE"""),"ETATS-UNIS")</f>
        <v>ETATS-UNIS</v>
      </c>
      <c r="AI422" s="1"/>
      <c r="AJ422" s="1" t="str">
        <f ca="1">IFERROR(__xludf.DUMMYFUNCTION("""COMPUTED_VALUE"""),"U11665")</f>
        <v>U11665</v>
      </c>
      <c r="AK422" s="1" t="str">
        <f ca="1">IFERROR(__xludf.DUMMYFUNCTION("""COMPUTED_VALUE"""),"Marié(e)")</f>
        <v>Marié(e)</v>
      </c>
      <c r="AL422" s="1" t="str">
        <f ca="1">IFERROR(__xludf.DUMMYFUNCTION("""COMPUTED_VALUE"""),"Marié(e)")</f>
        <v>Marié(e)</v>
      </c>
      <c r="AM422" s="1" t="str">
        <f ca="1">IFERROR(__xludf.DUMMYFUNCTION("""COMPUTED_VALUE"""),"U11665")</f>
        <v>U11665</v>
      </c>
    </row>
    <row r="423" spans="1:39" ht="13" x14ac:dyDescent="0.15">
      <c r="A423" s="1" t="str">
        <f ca="1">IFERROR(__xludf.DUMMYFUNCTION("""COMPUTED_VALUE"""),"MUKANKWAYA DIAM Sahara")</f>
        <v>MUKANKWAYA DIAM Sahara</v>
      </c>
      <c r="B423" s="1" t="str">
        <f ca="1">IFERROR(__xludf.DUMMYFUNCTION("""COMPUTED_VALUE"""),"MUKANKWAYA DIAM")</f>
        <v>MUKANKWAYA DIAM</v>
      </c>
      <c r="C423" s="1" t="str">
        <f ca="1">IFERROR(__xludf.DUMMYFUNCTION("""COMPUTED_VALUE"""),"Sahara")</f>
        <v>Sahara</v>
      </c>
      <c r="D423" s="1" t="str">
        <f ca="1">IFERROR(__xludf.DUMMYFUNCTION("""COMPUTED_VALUE"""),"1467E1")</f>
        <v>1467E1</v>
      </c>
      <c r="E423" s="2">
        <f ca="1">IFERROR(__xludf.DUMMYFUNCTION("""COMPUTED_VALUE"""),42186)</f>
        <v>42186</v>
      </c>
      <c r="F423" s="1" t="str">
        <f ca="1">IFERROR(__xludf.DUMMYFUNCTION("""COMPUTED_VALUE"""),"CM2B")</f>
        <v>CM2B</v>
      </c>
      <c r="G423" s="1" t="str">
        <f ca="1">IFERROR(__xludf.DUMMYFUNCTION("""COMPUTED_VALUE"""),"CM2")</f>
        <v>CM2</v>
      </c>
      <c r="H423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423" s="1"/>
      <c r="J423" s="1"/>
      <c r="K423" s="1"/>
      <c r="L423" s="1"/>
      <c r="M423" s="1"/>
      <c r="N423" s="1" t="str">
        <f ca="1">IFERROR(__xludf.DUMMYFUNCTION("""COMPUTED_VALUE"""),"Fille")</f>
        <v>Fille</v>
      </c>
      <c r="O423" s="1"/>
      <c r="P423" s="1" t="str">
        <f ca="1">IFERROR(__xludf.DUMMYFUNCTION("""COMPUTED_VALUE"""),"FRANCE")</f>
        <v>FRANCE</v>
      </c>
      <c r="Q423" s="1" t="str">
        <f ca="1">IFERROR(__xludf.DUMMYFUNCTION("""COMPUTED_VALUE"""),"SENEGAL")</f>
        <v>SENEGAL</v>
      </c>
      <c r="R423" s="1"/>
      <c r="S423" s="1"/>
      <c r="T423" s="1" t="str">
        <f ca="1">IFERROR(__xludf.DUMMYFUNCTION("""COMPUTED_VALUE"""),"MUKANKWAYA DIAM Faïda")</f>
        <v>MUKANKWAYA DIAM Faïda</v>
      </c>
      <c r="U423" s="1" t="str">
        <f ca="1">IFERROR(__xludf.DUMMYFUNCTION("""COMPUTED_VALUE"""),"DIAM Gabriel")</f>
        <v>DIAM Gabriel</v>
      </c>
      <c r="V423" s="1" t="str">
        <f ca="1">IFERROR(__xludf.DUMMYFUNCTION("""COMPUTED_VALUE"""),"mukankwayafaida@gmail.com")</f>
        <v>mukankwayafaida@gmail.com</v>
      </c>
      <c r="W423" s="1" t="str">
        <f ca="1">IFERROR(__xludf.DUMMYFUNCTION("""COMPUTED_VALUE"""),"gabrieldiam@gmail.com")</f>
        <v>gabrieldiam@gmail.com</v>
      </c>
      <c r="X423" s="1" t="str">
        <f ca="1">IFERROR(__xludf.DUMMYFUNCTION("""COMPUTED_VALUE"""),"+221 76 581 24 85")</f>
        <v>+221 76 581 24 85</v>
      </c>
      <c r="Y423" s="1" t="str">
        <f ca="1">IFERROR(__xludf.DUMMYFUNCTION("""COMPUTED_VALUE"""),"+221 76 581 24 92")</f>
        <v>+221 76 581 24 92</v>
      </c>
      <c r="Z423" s="1" t="str">
        <f ca="1">IFERROR(__xludf.DUMMYFUNCTION("""COMPUTED_VALUE"""),"+221")</f>
        <v>+221</v>
      </c>
      <c r="AA423" s="1" t="str">
        <f ca="1">IFERROR(__xludf.DUMMYFUNCTION("""COMPUTED_VALUE"""),"+221")</f>
        <v>+221</v>
      </c>
      <c r="AB423" s="2">
        <f ca="1">IFERROR(__xludf.DUMMYFUNCTION("""COMPUTED_VALUE"""),27367)</f>
        <v>27367</v>
      </c>
      <c r="AC423" s="2">
        <f ca="1">IFERROR(__xludf.DUMMYFUNCTION("""COMPUTED_VALUE"""),28989)</f>
        <v>28989</v>
      </c>
      <c r="AD423" s="1" t="str">
        <f ca="1">IFERROR(__xludf.DUMMYFUNCTION("""COMPUTED_VALUE"""),"MERE")</f>
        <v>MERE</v>
      </c>
      <c r="AE423" s="1" t="str">
        <f ca="1">IFERROR(__xludf.DUMMYFUNCTION("""COMPUTED_VALUE"""),"PERE")</f>
        <v>PERE</v>
      </c>
      <c r="AF423" s="1" t="str">
        <f ca="1">IFERROR(__xludf.DUMMYFUNCTION("""COMPUTED_VALUE"""),"FRANCE")</f>
        <v>FRANCE</v>
      </c>
      <c r="AG423" s="1" t="str">
        <f ca="1">IFERROR(__xludf.DUMMYFUNCTION("""COMPUTED_VALUE"""),"SENEGAL")</f>
        <v>SENEGAL</v>
      </c>
      <c r="AH423" s="1"/>
      <c r="AI423" s="1"/>
      <c r="AJ423" s="1" t="str">
        <f ca="1">IFERROR(__xludf.DUMMYFUNCTION("""COMPUTED_VALUE"""),"F1467")</f>
        <v>F1467</v>
      </c>
      <c r="AK423" s="1" t="str">
        <f ca="1">IFERROR(__xludf.DUMMYFUNCTION("""COMPUTED_VALUE"""),"Marié(e)")</f>
        <v>Marié(e)</v>
      </c>
      <c r="AL423" s="1" t="str">
        <f ca="1">IFERROR(__xludf.DUMMYFUNCTION("""COMPUTED_VALUE"""),"Marié(e)")</f>
        <v>Marié(e)</v>
      </c>
      <c r="AM423" s="1" t="str">
        <f ca="1">IFERROR(__xludf.DUMMYFUNCTION("""COMPUTED_VALUE"""),"F1467")</f>
        <v>F1467</v>
      </c>
    </row>
    <row r="424" spans="1:39" ht="13" x14ac:dyDescent="0.15">
      <c r="A424" s="1" t="str">
        <f ca="1">IFERROR(__xludf.DUMMYFUNCTION("""COMPUTED_VALUE"""),"N'JAMBONG Kaïmani-Gabriel")</f>
        <v>N'JAMBONG Kaïmani-Gabriel</v>
      </c>
      <c r="B424" s="1" t="str">
        <f ca="1">IFERROR(__xludf.DUMMYFUNCTION("""COMPUTED_VALUE"""),"N'JAMBONG")</f>
        <v>N'JAMBONG</v>
      </c>
      <c r="C424" s="1" t="str">
        <f ca="1">IFERROR(__xludf.DUMMYFUNCTION("""COMPUTED_VALUE"""),"Kaïmani-Gabriel")</f>
        <v>Kaïmani-Gabriel</v>
      </c>
      <c r="D424" s="1" t="str">
        <f ca="1">IFERROR(__xludf.DUMMYFUNCTION("""COMPUTED_VALUE"""),"1468E2")</f>
        <v>1468E2</v>
      </c>
      <c r="E424" s="2">
        <f ca="1">IFERROR(__xludf.DUMMYFUNCTION("""COMPUTED_VALUE"""),40332)</f>
        <v>40332</v>
      </c>
      <c r="F424" s="1" t="str">
        <f ca="1">IFERROR(__xludf.DUMMYFUNCTION("""COMPUTED_VALUE"""),"2NDE2")</f>
        <v>2NDE2</v>
      </c>
      <c r="G424" s="1" t="str">
        <f ca="1">IFERROR(__xludf.DUMMYFUNCTION("""COMPUTED_VALUE"""),"2nde")</f>
        <v>2nde</v>
      </c>
      <c r="H424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424" s="1" t="str">
        <f ca="1">IFERROR(__xludf.DUMMYFUNCTION("""COMPUTED_VALUE"""),"LVA Anglais")</f>
        <v>LVA Anglais</v>
      </c>
      <c r="J424" s="1" t="str">
        <f ca="1">IFERROR(__xludf.DUMMYFUNCTION("""COMPUTED_VALUE"""),"LVB Espagnol")</f>
        <v>LVB Espagnol</v>
      </c>
      <c r="K424" s="1"/>
      <c r="L424" s="1"/>
      <c r="M424" s="1"/>
      <c r="N424" s="1" t="str">
        <f ca="1">IFERROR(__xludf.DUMMYFUNCTION("""COMPUTED_VALUE"""),"Garçon")</f>
        <v>Garçon</v>
      </c>
      <c r="O424" s="1"/>
      <c r="P424" s="1" t="str">
        <f ca="1">IFERROR(__xludf.DUMMYFUNCTION("""COMPUTED_VALUE"""),"FRANCE")</f>
        <v>FRANCE</v>
      </c>
      <c r="Q424" s="1"/>
      <c r="R424" s="1" t="str">
        <f ca="1">IFERROR(__xludf.DUMMYFUNCTION("""COMPUTED_VALUE"""),"kaimani.njambong@lfjpsaly.org")</f>
        <v>kaimani.njambong@lfjpsaly.org</v>
      </c>
      <c r="S424" s="1" t="str">
        <f ca="1">IFERROR(__xludf.DUMMYFUNCTION("""COMPUTED_VALUE"""),"+221 76 182 86 76")</f>
        <v>+221 76 182 86 76</v>
      </c>
      <c r="T424" s="1" t="str">
        <f ca="1">IFERROR(__xludf.DUMMYFUNCTION("""COMPUTED_VALUE"""),"N'JAMBONG Guy")</f>
        <v>N'JAMBONG Guy</v>
      </c>
      <c r="U424" s="1" t="str">
        <f ca="1">IFERROR(__xludf.DUMMYFUNCTION("""COMPUTED_VALUE"""),"BINZE SAMBA Nadége")</f>
        <v>BINZE SAMBA Nadége</v>
      </c>
      <c r="V424" s="1" t="str">
        <f ca="1">IFERROR(__xludf.DUMMYFUNCTION("""COMPUTED_VALUE"""),"guy@njambong.com")</f>
        <v>guy@njambong.com</v>
      </c>
      <c r="W424" s="1" t="str">
        <f ca="1">IFERROR(__xludf.DUMMYFUNCTION("""COMPUTED_VALUE"""),"sambamiranda@yahoo.fr")</f>
        <v>sambamiranda@yahoo.fr</v>
      </c>
      <c r="X424" s="1" t="str">
        <f ca="1">IFERROR(__xludf.DUMMYFUNCTION("""COMPUTED_VALUE"""),"+22177728 82")</f>
        <v>+22177728 82</v>
      </c>
      <c r="Y424" s="1" t="str">
        <f ca="1">IFERROR(__xludf.DUMMYFUNCTION("""COMPUTED_VALUE"""),"+221 76 195 15 30")</f>
        <v>+221 76 195 15 30</v>
      </c>
      <c r="Z424" s="1" t="str">
        <f ca="1">IFERROR(__xludf.DUMMYFUNCTION("""COMPUTED_VALUE"""),"+33 7 67 88 77 20")</f>
        <v>+33 7 67 88 77 20</v>
      </c>
      <c r="AA424" s="1" t="str">
        <f ca="1">IFERROR(__xludf.DUMMYFUNCTION("""COMPUTED_VALUE"""),"+33 6 60 18 40 80")</f>
        <v>+33 6 60 18 40 80</v>
      </c>
      <c r="AB424" s="2">
        <f ca="1">IFERROR(__xludf.DUMMYFUNCTION("""COMPUTED_VALUE"""),25133)</f>
        <v>25133</v>
      </c>
      <c r="AC424" s="2">
        <f ca="1">IFERROR(__xludf.DUMMYFUNCTION("""COMPUTED_VALUE"""),29454)</f>
        <v>29454</v>
      </c>
      <c r="AD424" s="1" t="str">
        <f ca="1">IFERROR(__xludf.DUMMYFUNCTION("""COMPUTED_VALUE"""),"PERE")</f>
        <v>PERE</v>
      </c>
      <c r="AE424" s="1" t="str">
        <f ca="1">IFERROR(__xludf.DUMMYFUNCTION("""COMPUTED_VALUE"""),"MERE")</f>
        <v>MERE</v>
      </c>
      <c r="AF424" s="1" t="str">
        <f ca="1">IFERROR(__xludf.DUMMYFUNCTION("""COMPUTED_VALUE"""),"FRANCE")</f>
        <v>FRANCE</v>
      </c>
      <c r="AG424" s="1" t="str">
        <f ca="1">IFERROR(__xludf.DUMMYFUNCTION("""COMPUTED_VALUE"""),"FRANCE")</f>
        <v>FRANCE</v>
      </c>
      <c r="AH424" s="1"/>
      <c r="AI424" s="1" t="str">
        <f ca="1">IFERROR(__xludf.DUMMYFUNCTION("""COMPUTED_VALUE"""),"CAMEROUN")</f>
        <v>CAMEROUN</v>
      </c>
      <c r="AJ424" s="1" t="str">
        <f ca="1">IFERROR(__xludf.DUMMYFUNCTION("""COMPUTED_VALUE"""),"F1468")</f>
        <v>F1468</v>
      </c>
      <c r="AK424" s="1" t="str">
        <f ca="1">IFERROR(__xludf.DUMMYFUNCTION("""COMPUTED_VALUE"""),"CONCUBINAGE")</f>
        <v>CONCUBINAGE</v>
      </c>
      <c r="AL424" s="1" t="str">
        <f ca="1">IFERROR(__xludf.DUMMYFUNCTION("""COMPUTED_VALUE"""),"CONCUBINAGE")</f>
        <v>CONCUBINAGE</v>
      </c>
      <c r="AM424" s="1" t="str">
        <f ca="1">IFERROR(__xludf.DUMMYFUNCTION("""COMPUTED_VALUE"""),"F1468")</f>
        <v>F1468</v>
      </c>
    </row>
    <row r="425" spans="1:39" ht="13" x14ac:dyDescent="0.15">
      <c r="A425" s="1" t="str">
        <f ca="1">IFERROR(__xludf.DUMMYFUNCTION("""COMPUTED_VALUE"""),"N'JAMBONG Shérazade-Rose")</f>
        <v>N'JAMBONG Shérazade-Rose</v>
      </c>
      <c r="B425" s="1" t="str">
        <f ca="1">IFERROR(__xludf.DUMMYFUNCTION("""COMPUTED_VALUE"""),"N'JAMBONG")</f>
        <v>N'JAMBONG</v>
      </c>
      <c r="C425" s="1" t="str">
        <f ca="1">IFERROR(__xludf.DUMMYFUNCTION("""COMPUTED_VALUE"""),"Shérazade-Rose")</f>
        <v>Shérazade-Rose</v>
      </c>
      <c r="D425" s="1" t="str">
        <f ca="1">IFERROR(__xludf.DUMMYFUNCTION("""COMPUTED_VALUE"""),"1468E3")</f>
        <v>1468E3</v>
      </c>
      <c r="E425" s="2">
        <f ca="1">IFERROR(__xludf.DUMMYFUNCTION("""COMPUTED_VALUE"""),43353)</f>
        <v>43353</v>
      </c>
      <c r="F425" s="1" t="str">
        <f ca="1">IFERROR(__xludf.DUMMYFUNCTION("""COMPUTED_VALUE"""),"CE1B")</f>
        <v>CE1B</v>
      </c>
      <c r="G425" s="1" t="str">
        <f ca="1">IFERROR(__xludf.DUMMYFUNCTION("""COMPUTED_VALUE"""),"CE1")</f>
        <v>CE1</v>
      </c>
      <c r="H425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425" s="1"/>
      <c r="J425" s="1"/>
      <c r="K425" s="1"/>
      <c r="L425" s="1"/>
      <c r="M425" s="1"/>
      <c r="N425" s="1" t="str">
        <f ca="1">IFERROR(__xludf.DUMMYFUNCTION("""COMPUTED_VALUE"""),"Fille")</f>
        <v>Fille</v>
      </c>
      <c r="O425" s="1"/>
      <c r="P425" s="1" t="str">
        <f ca="1">IFERROR(__xludf.DUMMYFUNCTION("""COMPUTED_VALUE"""),"FRANCE")</f>
        <v>FRANCE</v>
      </c>
      <c r="Q425" s="1"/>
      <c r="R425" s="1"/>
      <c r="S425" s="1"/>
      <c r="T425" s="1" t="str">
        <f ca="1">IFERROR(__xludf.DUMMYFUNCTION("""COMPUTED_VALUE"""),"N'JAMBONG Guy")</f>
        <v>N'JAMBONG Guy</v>
      </c>
      <c r="U425" s="1" t="str">
        <f ca="1">IFERROR(__xludf.DUMMYFUNCTION("""COMPUTED_VALUE"""),"BINZE SAMBA Nadége")</f>
        <v>BINZE SAMBA Nadége</v>
      </c>
      <c r="V425" s="1" t="str">
        <f ca="1">IFERROR(__xludf.DUMMYFUNCTION("""COMPUTED_VALUE"""),"guy@njambong.com")</f>
        <v>guy@njambong.com</v>
      </c>
      <c r="W425" s="1" t="str">
        <f ca="1">IFERROR(__xludf.DUMMYFUNCTION("""COMPUTED_VALUE"""),"sambamiranda@yahoo.fr")</f>
        <v>sambamiranda@yahoo.fr</v>
      </c>
      <c r="X425" s="1" t="str">
        <f ca="1">IFERROR(__xludf.DUMMYFUNCTION("""COMPUTED_VALUE"""),"+22177728 82")</f>
        <v>+22177728 82</v>
      </c>
      <c r="Y425" s="1" t="str">
        <f ca="1">IFERROR(__xludf.DUMMYFUNCTION("""COMPUTED_VALUE"""),"+221 76 195 15 30")</f>
        <v>+221 76 195 15 30</v>
      </c>
      <c r="Z425" s="1" t="str">
        <f ca="1">IFERROR(__xludf.DUMMYFUNCTION("""COMPUTED_VALUE"""),"+33 7 67 88 77 20")</f>
        <v>+33 7 67 88 77 20</v>
      </c>
      <c r="AA425" s="1" t="str">
        <f ca="1">IFERROR(__xludf.DUMMYFUNCTION("""COMPUTED_VALUE"""),"+33 6 60 18 40 80")</f>
        <v>+33 6 60 18 40 80</v>
      </c>
      <c r="AB425" s="2">
        <f ca="1">IFERROR(__xludf.DUMMYFUNCTION("""COMPUTED_VALUE"""),25133)</f>
        <v>25133</v>
      </c>
      <c r="AC425" s="2">
        <f ca="1">IFERROR(__xludf.DUMMYFUNCTION("""COMPUTED_VALUE"""),29454)</f>
        <v>29454</v>
      </c>
      <c r="AD425" s="1" t="str">
        <f ca="1">IFERROR(__xludf.DUMMYFUNCTION("""COMPUTED_VALUE"""),"PERE")</f>
        <v>PERE</v>
      </c>
      <c r="AE425" s="1" t="str">
        <f ca="1">IFERROR(__xludf.DUMMYFUNCTION("""COMPUTED_VALUE"""),"MERE")</f>
        <v>MERE</v>
      </c>
      <c r="AF425" s="1" t="str">
        <f ca="1">IFERROR(__xludf.DUMMYFUNCTION("""COMPUTED_VALUE"""),"FRANCE")</f>
        <v>FRANCE</v>
      </c>
      <c r="AG425" s="1" t="str">
        <f ca="1">IFERROR(__xludf.DUMMYFUNCTION("""COMPUTED_VALUE"""),"FRANCE")</f>
        <v>FRANCE</v>
      </c>
      <c r="AH425" s="1"/>
      <c r="AI425" s="1" t="str">
        <f ca="1">IFERROR(__xludf.DUMMYFUNCTION("""COMPUTED_VALUE"""),"CAMEROUN")</f>
        <v>CAMEROUN</v>
      </c>
      <c r="AJ425" s="1" t="str">
        <f ca="1">IFERROR(__xludf.DUMMYFUNCTION("""COMPUTED_VALUE"""),"F1468")</f>
        <v>F1468</v>
      </c>
      <c r="AK425" s="1" t="str">
        <f ca="1">IFERROR(__xludf.DUMMYFUNCTION("""COMPUTED_VALUE"""),"CONCUBINAGE")</f>
        <v>CONCUBINAGE</v>
      </c>
      <c r="AL425" s="1" t="str">
        <f ca="1">IFERROR(__xludf.DUMMYFUNCTION("""COMPUTED_VALUE"""),"CONCUBINAGE")</f>
        <v>CONCUBINAGE</v>
      </c>
      <c r="AM425" s="1" t="str">
        <f ca="1">IFERROR(__xludf.DUMMYFUNCTION("""COMPUTED_VALUE"""),"F1468")</f>
        <v>F1468</v>
      </c>
    </row>
    <row r="426" spans="1:39" ht="13" x14ac:dyDescent="0.15">
      <c r="A426" s="1" t="str">
        <f ca="1">IFERROR(__xludf.DUMMYFUNCTION("""COMPUTED_VALUE"""),"NDAW Mary Louise")</f>
        <v>NDAW Mary Louise</v>
      </c>
      <c r="B426" s="1" t="str">
        <f ca="1">IFERROR(__xludf.DUMMYFUNCTION("""COMPUTED_VALUE"""),"NDAW")</f>
        <v>NDAW</v>
      </c>
      <c r="C426" s="1" t="str">
        <f ca="1">IFERROR(__xludf.DUMMYFUNCTION("""COMPUTED_VALUE"""),"Mary Louise")</f>
        <v>Mary Louise</v>
      </c>
      <c r="D426" s="1" t="str">
        <f ca="1">IFERROR(__xludf.DUMMYFUNCTION("""COMPUTED_VALUE"""),"1470E1")</f>
        <v>1470E1</v>
      </c>
      <c r="E426" s="2">
        <f ca="1">IFERROR(__xludf.DUMMYFUNCTION("""COMPUTED_VALUE"""),39849)</f>
        <v>39849</v>
      </c>
      <c r="F426" s="1" t="str">
        <f ca="1">IFERROR(__xludf.DUMMYFUNCTION("""COMPUTED_VALUE"""),"TERMINALE2")</f>
        <v>TERMINALE2</v>
      </c>
      <c r="G426" s="1" t="str">
        <f ca="1">IFERROR(__xludf.DUMMYFUNCTION("""COMPUTED_VALUE"""),"Terminale")</f>
        <v>Terminale</v>
      </c>
      <c r="H426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426" s="1" t="str">
        <f ca="1">IFERROR(__xludf.DUMMYFUNCTION("""COMPUTED_VALUE"""),"LVA Anglais")</f>
        <v>LVA Anglais</v>
      </c>
      <c r="J426" s="1" t="str">
        <f ca="1">IFERROR(__xludf.DUMMYFUNCTION("""COMPUTED_VALUE"""),"LVB Espagnol")</f>
        <v>LVB Espagnol</v>
      </c>
      <c r="K426" s="1"/>
      <c r="L426" s="1"/>
      <c r="M426" s="1" t="str">
        <f ca="1">IFERROR(__xludf.DUMMYFUNCTION("""COMPUTED_VALUE"""),"SPE LLCE AMC, SPE SES")</f>
        <v>SPE LLCE AMC, SPE SES</v>
      </c>
      <c r="N426" s="1" t="str">
        <f ca="1">IFERROR(__xludf.DUMMYFUNCTION("""COMPUTED_VALUE"""),"Fille")</f>
        <v>Fille</v>
      </c>
      <c r="O426" s="1"/>
      <c r="P426" s="1" t="str">
        <f ca="1">IFERROR(__xludf.DUMMYFUNCTION("""COMPUTED_VALUE"""),"FRANCE")</f>
        <v>FRANCE</v>
      </c>
      <c r="Q426" s="1" t="str">
        <f ca="1">IFERROR(__xludf.DUMMYFUNCTION("""COMPUTED_VALUE"""),"CANADA")</f>
        <v>CANADA</v>
      </c>
      <c r="R426" s="1" t="str">
        <f ca="1">IFERROR(__xludf.DUMMYFUNCTION("""COMPUTED_VALUE"""),"mary.ndaw@lfjpsaly.org")</f>
        <v>mary.ndaw@lfjpsaly.org</v>
      </c>
      <c r="S426" s="1"/>
      <c r="T426" s="1" t="str">
        <f ca="1">IFERROR(__xludf.DUMMYFUNCTION("""COMPUTED_VALUE"""),"MBOUP Maréme")</f>
        <v>MBOUP Maréme</v>
      </c>
      <c r="U426" s="1" t="str">
        <f ca="1">IFERROR(__xludf.DUMMYFUNCTION("""COMPUTED_VALUE"""),"NDAW El Hadji")</f>
        <v>NDAW El Hadji</v>
      </c>
      <c r="V426" s="1" t="str">
        <f ca="1">IFERROR(__xludf.DUMMYFUNCTION("""COMPUTED_VALUE"""),"mboup.mareme@gmail.com")</f>
        <v>mboup.mareme@gmail.com</v>
      </c>
      <c r="W426" s="1" t="str">
        <f ca="1">IFERROR(__xludf.DUMMYFUNCTION("""COMPUTED_VALUE"""),"ciscocan@gmail.com")</f>
        <v>ciscocan@gmail.com</v>
      </c>
      <c r="X426" s="1" t="str">
        <f ca="1">IFERROR(__xludf.DUMMYFUNCTION("""COMPUTED_VALUE"""),"+221 78 526 04 04")</f>
        <v>+221 78 526 04 04</v>
      </c>
      <c r="Y426" s="1" t="str">
        <f ca="1">IFERROR(__xludf.DUMMYFUNCTION("""COMPUTED_VALUE"""),"+221 78 127 14 70")</f>
        <v>+221 78 127 14 70</v>
      </c>
      <c r="Z426" s="1" t="str">
        <f ca="1">IFERROR(__xludf.DUMMYFUNCTION("""COMPUTED_VALUE"""),"+221")</f>
        <v>+221</v>
      </c>
      <c r="AA426" s="1"/>
      <c r="AB426" s="2">
        <f ca="1">IFERROR(__xludf.DUMMYFUNCTION("""COMPUTED_VALUE"""),29323)</f>
        <v>29323</v>
      </c>
      <c r="AC426" s="2">
        <f ca="1">IFERROR(__xludf.DUMMYFUNCTION("""COMPUTED_VALUE"""),28625)</f>
        <v>28625</v>
      </c>
      <c r="AD426" s="1" t="str">
        <f ca="1">IFERROR(__xludf.DUMMYFUNCTION("""COMPUTED_VALUE"""),"MERE")</f>
        <v>MERE</v>
      </c>
      <c r="AE426" s="1" t="str">
        <f ca="1">IFERROR(__xludf.DUMMYFUNCTION("""COMPUTED_VALUE"""),"PERE")</f>
        <v>PERE</v>
      </c>
      <c r="AF426" s="1" t="str">
        <f ca="1">IFERROR(__xludf.DUMMYFUNCTION("""COMPUTED_VALUE"""),"FRANCE")</f>
        <v>FRANCE</v>
      </c>
      <c r="AG426" s="1" t="str">
        <f ca="1">IFERROR(__xludf.DUMMYFUNCTION("""COMPUTED_VALUE"""),"FRANCE")</f>
        <v>FRANCE</v>
      </c>
      <c r="AH426" s="1" t="str">
        <f ca="1">IFERROR(__xludf.DUMMYFUNCTION("""COMPUTED_VALUE"""),"CANADA")</f>
        <v>CANADA</v>
      </c>
      <c r="AI426" s="1" t="str">
        <f ca="1">IFERROR(__xludf.DUMMYFUNCTION("""COMPUTED_VALUE"""),"CANADA")</f>
        <v>CANADA</v>
      </c>
      <c r="AJ426" s="1" t="str">
        <f ca="1">IFERROR(__xludf.DUMMYFUNCTION("""COMPUTED_VALUE"""),"F1470")</f>
        <v>F1470</v>
      </c>
      <c r="AK426" s="1" t="str">
        <f ca="1">IFERROR(__xludf.DUMMYFUNCTION("""COMPUTED_VALUE"""),"Marié(e)")</f>
        <v>Marié(e)</v>
      </c>
      <c r="AL426" s="1" t="str">
        <f ca="1">IFERROR(__xludf.DUMMYFUNCTION("""COMPUTED_VALUE"""),"Marié(e)")</f>
        <v>Marié(e)</v>
      </c>
      <c r="AM426" s="1" t="str">
        <f ca="1">IFERROR(__xludf.DUMMYFUNCTION("""COMPUTED_VALUE"""),"F1470")</f>
        <v>F1470</v>
      </c>
    </row>
    <row r="427" spans="1:39" ht="13" x14ac:dyDescent="0.15">
      <c r="A427" s="1" t="str">
        <f ca="1">IFERROR(__xludf.DUMMYFUNCTION("""COMPUTED_VALUE"""),"NDAW Suleiman")</f>
        <v>NDAW Suleiman</v>
      </c>
      <c r="B427" s="1" t="str">
        <f ca="1">IFERROR(__xludf.DUMMYFUNCTION("""COMPUTED_VALUE"""),"NDAW")</f>
        <v>NDAW</v>
      </c>
      <c r="C427" s="1" t="str">
        <f ca="1">IFERROR(__xludf.DUMMYFUNCTION("""COMPUTED_VALUE"""),"Suleiman")</f>
        <v>Suleiman</v>
      </c>
      <c r="D427" s="1" t="str">
        <f ca="1">IFERROR(__xludf.DUMMYFUNCTION("""COMPUTED_VALUE"""),"1470E2")</f>
        <v>1470E2</v>
      </c>
      <c r="E427" s="2">
        <f ca="1">IFERROR(__xludf.DUMMYFUNCTION("""COMPUTED_VALUE"""),41466)</f>
        <v>41466</v>
      </c>
      <c r="F427" s="1" t="str">
        <f ca="1">IFERROR(__xludf.DUMMYFUNCTION("""COMPUTED_VALUE"""),"5EME2")</f>
        <v>5EME2</v>
      </c>
      <c r="G427" s="1" t="str">
        <f ca="1">IFERROR(__xludf.DUMMYFUNCTION("""COMPUTED_VALUE"""),"5ème")</f>
        <v>5ème</v>
      </c>
      <c r="H427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427" s="1" t="str">
        <f ca="1">IFERROR(__xludf.DUMMYFUNCTION("""COMPUTED_VALUE"""),"LVA Anglais")</f>
        <v>LVA Anglais</v>
      </c>
      <c r="J427" s="1" t="str">
        <f ca="1">IFERROR(__xludf.DUMMYFUNCTION("""COMPUTED_VALUE"""),"LVB Espagnol")</f>
        <v>LVB Espagnol</v>
      </c>
      <c r="K427" s="1"/>
      <c r="L427" s="1"/>
      <c r="M427" s="1"/>
      <c r="N427" s="1" t="str">
        <f ca="1">IFERROR(__xludf.DUMMYFUNCTION("""COMPUTED_VALUE"""),"Garçon")</f>
        <v>Garçon</v>
      </c>
      <c r="O427" s="1"/>
      <c r="P427" s="1" t="str">
        <f ca="1">IFERROR(__xludf.DUMMYFUNCTION("""COMPUTED_VALUE"""),"FRANCE")</f>
        <v>FRANCE</v>
      </c>
      <c r="Q427" s="1" t="str">
        <f ca="1">IFERROR(__xludf.DUMMYFUNCTION("""COMPUTED_VALUE"""),"CANADA")</f>
        <v>CANADA</v>
      </c>
      <c r="R427" s="1" t="str">
        <f ca="1">IFERROR(__xludf.DUMMYFUNCTION("""COMPUTED_VALUE"""),"suleiman.ndaw@lfjpsaly.org")</f>
        <v>suleiman.ndaw@lfjpsaly.org</v>
      </c>
      <c r="S427" s="1"/>
      <c r="T427" s="1" t="str">
        <f ca="1">IFERROR(__xludf.DUMMYFUNCTION("""COMPUTED_VALUE"""),"MBOUP Maréme")</f>
        <v>MBOUP Maréme</v>
      </c>
      <c r="U427" s="1" t="str">
        <f ca="1">IFERROR(__xludf.DUMMYFUNCTION("""COMPUTED_VALUE"""),"NDAW El Hadji")</f>
        <v>NDAW El Hadji</v>
      </c>
      <c r="V427" s="1" t="str">
        <f ca="1">IFERROR(__xludf.DUMMYFUNCTION("""COMPUTED_VALUE"""),"mboup.mareme@gmail.com")</f>
        <v>mboup.mareme@gmail.com</v>
      </c>
      <c r="W427" s="1" t="str">
        <f ca="1">IFERROR(__xludf.DUMMYFUNCTION("""COMPUTED_VALUE"""),"ciscocan@gmail.com")</f>
        <v>ciscocan@gmail.com</v>
      </c>
      <c r="X427" s="1" t="str">
        <f ca="1">IFERROR(__xludf.DUMMYFUNCTION("""COMPUTED_VALUE"""),"+221 78 526 04 04")</f>
        <v>+221 78 526 04 04</v>
      </c>
      <c r="Y427" s="1" t="str">
        <f ca="1">IFERROR(__xludf.DUMMYFUNCTION("""COMPUTED_VALUE"""),"+221 78 127 14 70")</f>
        <v>+221 78 127 14 70</v>
      </c>
      <c r="Z427" s="1" t="str">
        <f ca="1">IFERROR(__xludf.DUMMYFUNCTION("""COMPUTED_VALUE"""),"+221")</f>
        <v>+221</v>
      </c>
      <c r="AA427" s="1"/>
      <c r="AB427" s="2">
        <f ca="1">IFERROR(__xludf.DUMMYFUNCTION("""COMPUTED_VALUE"""),29323)</f>
        <v>29323</v>
      </c>
      <c r="AC427" s="2">
        <f ca="1">IFERROR(__xludf.DUMMYFUNCTION("""COMPUTED_VALUE"""),28625)</f>
        <v>28625</v>
      </c>
      <c r="AD427" s="1" t="str">
        <f ca="1">IFERROR(__xludf.DUMMYFUNCTION("""COMPUTED_VALUE"""),"MERE")</f>
        <v>MERE</v>
      </c>
      <c r="AE427" s="1" t="str">
        <f ca="1">IFERROR(__xludf.DUMMYFUNCTION("""COMPUTED_VALUE"""),"PERE")</f>
        <v>PERE</v>
      </c>
      <c r="AF427" s="1" t="str">
        <f ca="1">IFERROR(__xludf.DUMMYFUNCTION("""COMPUTED_VALUE"""),"FRANCE")</f>
        <v>FRANCE</v>
      </c>
      <c r="AG427" s="1" t="str">
        <f ca="1">IFERROR(__xludf.DUMMYFUNCTION("""COMPUTED_VALUE"""),"FRANCE")</f>
        <v>FRANCE</v>
      </c>
      <c r="AH427" s="1" t="str">
        <f ca="1">IFERROR(__xludf.DUMMYFUNCTION("""COMPUTED_VALUE"""),"CANADA")</f>
        <v>CANADA</v>
      </c>
      <c r="AI427" s="1" t="str">
        <f ca="1">IFERROR(__xludf.DUMMYFUNCTION("""COMPUTED_VALUE"""),"CANADA")</f>
        <v>CANADA</v>
      </c>
      <c r="AJ427" s="1" t="str">
        <f ca="1">IFERROR(__xludf.DUMMYFUNCTION("""COMPUTED_VALUE"""),"F1470")</f>
        <v>F1470</v>
      </c>
      <c r="AK427" s="1" t="str">
        <f ca="1">IFERROR(__xludf.DUMMYFUNCTION("""COMPUTED_VALUE"""),"Marié(e)")</f>
        <v>Marié(e)</v>
      </c>
      <c r="AL427" s="1" t="str">
        <f ca="1">IFERROR(__xludf.DUMMYFUNCTION("""COMPUTED_VALUE"""),"Marié(e)")</f>
        <v>Marié(e)</v>
      </c>
      <c r="AM427" s="1" t="str">
        <f ca="1">IFERROR(__xludf.DUMMYFUNCTION("""COMPUTED_VALUE"""),"F1470")</f>
        <v>F1470</v>
      </c>
    </row>
    <row r="428" spans="1:39" ht="13" x14ac:dyDescent="0.15">
      <c r="A428" s="1" t="str">
        <f ca="1">IFERROR(__xludf.DUMMYFUNCTION("""COMPUTED_VALUE"""),"NDIAYE Adama Soce")</f>
        <v>NDIAYE Adama Soce</v>
      </c>
      <c r="B428" s="1" t="str">
        <f ca="1">IFERROR(__xludf.DUMMYFUNCTION("""COMPUTED_VALUE"""),"NDIAYE")</f>
        <v>NDIAYE</v>
      </c>
      <c r="C428" s="1" t="str">
        <f ca="1">IFERROR(__xludf.DUMMYFUNCTION("""COMPUTED_VALUE"""),"Adama Soce")</f>
        <v>Adama Soce</v>
      </c>
      <c r="D428" s="1" t="str">
        <f ca="1">IFERROR(__xludf.DUMMYFUNCTION("""COMPUTED_VALUE"""),"1474E1")</f>
        <v>1474E1</v>
      </c>
      <c r="E428" s="2">
        <f ca="1">IFERROR(__xludf.DUMMYFUNCTION("""COMPUTED_VALUE"""),43043)</f>
        <v>43043</v>
      </c>
      <c r="F428" s="1" t="str">
        <f ca="1">IFERROR(__xludf.DUMMYFUNCTION("""COMPUTED_VALUE"""),"CE2")</f>
        <v>CE2</v>
      </c>
      <c r="G428" s="1" t="str">
        <f ca="1">IFERROR(__xludf.DUMMYFUNCTION("""COMPUTED_VALUE"""),"CE2")</f>
        <v>CE2</v>
      </c>
      <c r="H428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428" s="1"/>
      <c r="J428" s="1"/>
      <c r="K428" s="1"/>
      <c r="L428" s="1"/>
      <c r="M428" s="1"/>
      <c r="N428" s="1" t="str">
        <f ca="1">IFERROR(__xludf.DUMMYFUNCTION("""COMPUTED_VALUE"""),"Fille")</f>
        <v>Fille</v>
      </c>
      <c r="O428" s="1"/>
      <c r="P428" s="1" t="str">
        <f ca="1">IFERROR(__xludf.DUMMYFUNCTION("""COMPUTED_VALUE"""),"SENEGAL")</f>
        <v>SENEGAL</v>
      </c>
      <c r="Q428" s="1"/>
      <c r="R428" s="1"/>
      <c r="S428" s="1" t="str">
        <f ca="1">IFERROR(__xludf.DUMMYFUNCTION("""COMPUTED_VALUE"""),"+221")</f>
        <v>+221</v>
      </c>
      <c r="T428" s="1" t="str">
        <f ca="1">IFERROR(__xludf.DUMMYFUNCTION("""COMPUTED_VALUE"""),"NDIAYE Aminata")</f>
        <v>NDIAYE Aminata</v>
      </c>
      <c r="U428" s="1" t="str">
        <f ca="1">IFERROR(__xludf.DUMMYFUNCTION("""COMPUTED_VALUE"""),"NDIAYE Amadou Lamine Soce")</f>
        <v>NDIAYE Amadou Lamine Soce</v>
      </c>
      <c r="V428" s="1" t="str">
        <f ca="1">IFERROR(__xludf.DUMMYFUNCTION("""COMPUTED_VALUE"""),"cissendiaye24@gmail.com")</f>
        <v>cissendiaye24@gmail.com</v>
      </c>
      <c r="W428" s="1" t="str">
        <f ca="1">IFERROR(__xludf.DUMMYFUNCTION("""COMPUTED_VALUE"""),"laminedr@yahoo.fr")</f>
        <v>laminedr@yahoo.fr</v>
      </c>
      <c r="X428" s="1" t="str">
        <f ca="1">IFERROR(__xludf.DUMMYFUNCTION("""COMPUTED_VALUE"""),"+221 77 552 98 68")</f>
        <v>+221 77 552 98 68</v>
      </c>
      <c r="Y428" s="1" t="str">
        <f ca="1">IFERROR(__xludf.DUMMYFUNCTION("""COMPUTED_VALUE"""),"+221 77 552 98 68")</f>
        <v>+221 77 552 98 68</v>
      </c>
      <c r="Z428" s="1" t="str">
        <f ca="1">IFERROR(__xludf.DUMMYFUNCTION("""COMPUTED_VALUE"""),"+221 77 552 98 68")</f>
        <v>+221 77 552 98 68</v>
      </c>
      <c r="AA428" s="1" t="str">
        <f ca="1">IFERROR(__xludf.DUMMYFUNCTION("""COMPUTED_VALUE"""),"+221")</f>
        <v>+221</v>
      </c>
      <c r="AB428" s="2">
        <f ca="1">IFERROR(__xludf.DUMMYFUNCTION("""COMPUTED_VALUE"""),29227)</f>
        <v>29227</v>
      </c>
      <c r="AC428" s="2">
        <f ca="1">IFERROR(__xludf.DUMMYFUNCTION("""COMPUTED_VALUE"""),25477)</f>
        <v>25477</v>
      </c>
      <c r="AD428" s="1" t="str">
        <f ca="1">IFERROR(__xludf.DUMMYFUNCTION("""COMPUTED_VALUE"""),"MERE")</f>
        <v>MERE</v>
      </c>
      <c r="AE428" s="1" t="str">
        <f ca="1">IFERROR(__xludf.DUMMYFUNCTION("""COMPUTED_VALUE"""),"PERE")</f>
        <v>PERE</v>
      </c>
      <c r="AF428" s="1" t="str">
        <f ca="1">IFERROR(__xludf.DUMMYFUNCTION("""COMPUTED_VALUE"""),"SENEGAL")</f>
        <v>SENEGAL</v>
      </c>
      <c r="AG428" s="1" t="str">
        <f ca="1">IFERROR(__xludf.DUMMYFUNCTION("""COMPUTED_VALUE"""),"SENEGAL")</f>
        <v>SENEGAL</v>
      </c>
      <c r="AH428" s="1" t="str">
        <f ca="1">IFERROR(__xludf.DUMMYFUNCTION("""COMPUTED_VALUE"""),"SENEGAL")</f>
        <v>SENEGAL</v>
      </c>
      <c r="AI428" s="1" t="str">
        <f ca="1">IFERROR(__xludf.DUMMYFUNCTION("""COMPUTED_VALUE"""),"SENEGAL")</f>
        <v>SENEGAL</v>
      </c>
      <c r="AJ428" s="1" t="str">
        <f ca="1">IFERROR(__xludf.DUMMYFUNCTION("""COMPUTED_VALUE"""),"F1474")</f>
        <v>F1474</v>
      </c>
      <c r="AK428" s="1" t="str">
        <f ca="1">IFERROR(__xludf.DUMMYFUNCTION("""COMPUTED_VALUE"""),"Marié(e)")</f>
        <v>Marié(e)</v>
      </c>
      <c r="AL428" s="1" t="str">
        <f ca="1">IFERROR(__xludf.DUMMYFUNCTION("""COMPUTED_VALUE"""),"Marié(e)")</f>
        <v>Marié(e)</v>
      </c>
      <c r="AM428" s="1" t="str">
        <f ca="1">IFERROR(__xludf.DUMMYFUNCTION("""COMPUTED_VALUE"""),"F1474")</f>
        <v>F1474</v>
      </c>
    </row>
    <row r="429" spans="1:39" ht="13" x14ac:dyDescent="0.15">
      <c r="A429" s="1" t="str">
        <f ca="1">IFERROR(__xludf.DUMMYFUNCTION("""COMPUTED_VALUE"""),"NDIAYE Adja Aissatou")</f>
        <v>NDIAYE Adja Aissatou</v>
      </c>
      <c r="B429" s="1" t="str">
        <f ca="1">IFERROR(__xludf.DUMMYFUNCTION("""COMPUTED_VALUE"""),"NDIAYE")</f>
        <v>NDIAYE</v>
      </c>
      <c r="C429" s="1" t="str">
        <f ca="1">IFERROR(__xludf.DUMMYFUNCTION("""COMPUTED_VALUE"""),"Adja Aissatou")</f>
        <v>Adja Aissatou</v>
      </c>
      <c r="D429" s="1" t="str">
        <f ca="1">IFERROR(__xludf.DUMMYFUNCTION("""COMPUTED_VALUE"""),"1472E1")</f>
        <v>1472E1</v>
      </c>
      <c r="E429" s="2">
        <f ca="1">IFERROR(__xludf.DUMMYFUNCTION("""COMPUTED_VALUE"""),44162)</f>
        <v>44162</v>
      </c>
      <c r="F429" s="1" t="str">
        <f ca="1">IFERROR(__xludf.DUMMYFUNCTION("""COMPUTED_VALUE"""),"Mat 3")</f>
        <v>Mat 3</v>
      </c>
      <c r="G429" s="1" t="str">
        <f ca="1">IFERROR(__xludf.DUMMYFUNCTION("""COMPUTED_VALUE"""),"GS")</f>
        <v>GS</v>
      </c>
      <c r="H429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429" s="1"/>
      <c r="J429" s="1"/>
      <c r="K429" s="1"/>
      <c r="L429" s="1"/>
      <c r="M429" s="1"/>
      <c r="N429" s="1" t="str">
        <f ca="1">IFERROR(__xludf.DUMMYFUNCTION("""COMPUTED_VALUE"""),"Fille")</f>
        <v>Fille</v>
      </c>
      <c r="O429" s="1"/>
      <c r="P429" s="1" t="str">
        <f ca="1">IFERROR(__xludf.DUMMYFUNCTION("""COMPUTED_VALUE"""),"SENEGAL")</f>
        <v>SENEGAL</v>
      </c>
      <c r="Q429" s="1"/>
      <c r="R429" s="1"/>
      <c r="S429" s="1"/>
      <c r="T429" s="1" t="str">
        <f ca="1">IFERROR(__xludf.DUMMYFUNCTION("""COMPUTED_VALUE"""),"NDIAYE Youssou")</f>
        <v>NDIAYE Youssou</v>
      </c>
      <c r="U429" s="1" t="str">
        <f ca="1">IFERROR(__xludf.DUMMYFUNCTION("""COMPUTED_VALUE"""),"SYLLA Fama")</f>
        <v>SYLLA Fama</v>
      </c>
      <c r="V429" s="1" t="str">
        <f ca="1">IFERROR(__xludf.DUMMYFUNCTION("""COMPUTED_VALUE"""),"ndiayey@gmail.com")</f>
        <v>ndiayey@gmail.com</v>
      </c>
      <c r="W429" s="1" t="str">
        <f ca="1">IFERROR(__xludf.DUMMYFUNCTION("""COMPUTED_VALUE"""),"ndiayey@gmail.com")</f>
        <v>ndiayey@gmail.com</v>
      </c>
      <c r="X429" s="1" t="str">
        <f ca="1">IFERROR(__xludf.DUMMYFUNCTION("""COMPUTED_VALUE"""),"771272180")</f>
        <v>771272180</v>
      </c>
      <c r="Y429" s="1" t="str">
        <f ca="1">IFERROR(__xludf.DUMMYFUNCTION("""COMPUTED_VALUE"""),"776435164")</f>
        <v>776435164</v>
      </c>
      <c r="Z429" s="1"/>
      <c r="AA429" s="1"/>
      <c r="AB429" s="2">
        <f ca="1">IFERROR(__xludf.DUMMYFUNCTION("""COMPUTED_VALUE"""),20820)</f>
        <v>20820</v>
      </c>
      <c r="AC429" s="2">
        <f ca="1">IFERROR(__xludf.DUMMYFUNCTION("""COMPUTED_VALUE"""),34412)</f>
        <v>34412</v>
      </c>
      <c r="AD429" s="1" t="str">
        <f ca="1">IFERROR(__xludf.DUMMYFUNCTION("""COMPUTED_VALUE"""),"PERE")</f>
        <v>PERE</v>
      </c>
      <c r="AE429" s="1" t="str">
        <f ca="1">IFERROR(__xludf.DUMMYFUNCTION("""COMPUTED_VALUE"""),"MERE")</f>
        <v>MERE</v>
      </c>
      <c r="AF429" s="1" t="str">
        <f ca="1">IFERROR(__xludf.DUMMYFUNCTION("""COMPUTED_VALUE"""),"SENEGAL")</f>
        <v>SENEGAL</v>
      </c>
      <c r="AG429" s="1" t="str">
        <f ca="1">IFERROR(__xludf.DUMMYFUNCTION("""COMPUTED_VALUE"""),"SENEGAL")</f>
        <v>SENEGAL</v>
      </c>
      <c r="AH429" s="1"/>
      <c r="AI429" s="1"/>
      <c r="AJ429" s="1" t="str">
        <f ca="1">IFERROR(__xludf.DUMMYFUNCTION("""COMPUTED_VALUE"""),"F1472")</f>
        <v>F1472</v>
      </c>
      <c r="AK429" s="1" t="str">
        <f ca="1">IFERROR(__xludf.DUMMYFUNCTION("""COMPUTED_VALUE"""),"Marié(e)")</f>
        <v>Marié(e)</v>
      </c>
      <c r="AL429" s="1" t="str">
        <f ca="1">IFERROR(__xludf.DUMMYFUNCTION("""COMPUTED_VALUE"""),"Marié(e)")</f>
        <v>Marié(e)</v>
      </c>
      <c r="AM429" s="1" t="str">
        <f ca="1">IFERROR(__xludf.DUMMYFUNCTION("""COMPUTED_VALUE"""),"F1472")</f>
        <v>F1472</v>
      </c>
    </row>
    <row r="430" spans="1:39" ht="13" x14ac:dyDescent="0.15">
      <c r="A430" s="1" t="str">
        <f ca="1">IFERROR(__xludf.DUMMYFUNCTION("""COMPUTED_VALUE"""),"NDIAYE Adjisoa")</f>
        <v>NDIAYE Adjisoa</v>
      </c>
      <c r="B430" s="1" t="str">
        <f ca="1">IFERROR(__xludf.DUMMYFUNCTION("""COMPUTED_VALUE"""),"NDIAYE")</f>
        <v>NDIAYE</v>
      </c>
      <c r="C430" s="1" t="str">
        <f ca="1">IFERROR(__xludf.DUMMYFUNCTION("""COMPUTED_VALUE"""),"Adjisoa")</f>
        <v>Adjisoa</v>
      </c>
      <c r="D430" s="1" t="str">
        <f ca="1">IFERROR(__xludf.DUMMYFUNCTION("""COMPUTED_VALUE"""),"1480E1")</f>
        <v>1480E1</v>
      </c>
      <c r="E430" s="2">
        <f ca="1">IFERROR(__xludf.DUMMYFUNCTION("""COMPUTED_VALUE"""),43011)</f>
        <v>43011</v>
      </c>
      <c r="F430" s="1" t="str">
        <f ca="1">IFERROR(__xludf.DUMMYFUNCTION("""COMPUTED_VALUE"""),"CE2")</f>
        <v>CE2</v>
      </c>
      <c r="G430" s="1" t="str">
        <f ca="1">IFERROR(__xludf.DUMMYFUNCTION("""COMPUTED_VALUE"""),"CE2")</f>
        <v>CE2</v>
      </c>
      <c r="H430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430" s="1"/>
      <c r="J430" s="1"/>
      <c r="K430" s="1"/>
      <c r="L430" s="1"/>
      <c r="M430" s="1"/>
      <c r="N430" s="1" t="str">
        <f ca="1">IFERROR(__xludf.DUMMYFUNCTION("""COMPUTED_VALUE"""),"Fille")</f>
        <v>Fille</v>
      </c>
      <c r="O430" s="1"/>
      <c r="P430" s="1" t="str">
        <f ca="1">IFERROR(__xludf.DUMMYFUNCTION("""COMPUTED_VALUE"""),"SENEGAL")</f>
        <v>SENEGAL</v>
      </c>
      <c r="Q430" s="1"/>
      <c r="R430" s="1"/>
      <c r="S430" s="1"/>
      <c r="T430" s="1" t="str">
        <f ca="1">IFERROR(__xludf.DUMMYFUNCTION("""COMPUTED_VALUE"""),"NDIAYE Malalarisoa Gentiane")</f>
        <v>NDIAYE Malalarisoa Gentiane</v>
      </c>
      <c r="U430" s="1" t="str">
        <f ca="1">IFERROR(__xludf.DUMMYFUNCTION("""COMPUTED_VALUE"""),"NDIAYE Madieng")</f>
        <v>NDIAYE Madieng</v>
      </c>
      <c r="V430" s="1" t="str">
        <f ca="1">IFERROR(__xludf.DUMMYFUNCTION("""COMPUTED_VALUE"""),"ndiayegentiane@gmail.com")</f>
        <v>ndiayegentiane@gmail.com</v>
      </c>
      <c r="W430" s="1" t="str">
        <f ca="1">IFERROR(__xludf.DUMMYFUNCTION("""COMPUTED_VALUE"""),"madiengue.ndiaye@gmail.com")</f>
        <v>madiengue.ndiaye@gmail.com</v>
      </c>
      <c r="X430" s="1" t="str">
        <f ca="1">IFERROR(__xludf.DUMMYFUNCTION("""COMPUTED_VALUE"""),"785824572")</f>
        <v>785824572</v>
      </c>
      <c r="Y430" s="1" t="str">
        <f ca="1">IFERROR(__xludf.DUMMYFUNCTION("""COMPUTED_VALUE"""),"773579025")</f>
        <v>773579025</v>
      </c>
      <c r="Z430" s="1"/>
      <c r="AA430" s="1"/>
      <c r="AB430" s="2">
        <f ca="1">IFERROR(__xludf.DUMMYFUNCTION("""COMPUTED_VALUE"""),28746)</f>
        <v>28746</v>
      </c>
      <c r="AC430" s="2">
        <f ca="1">IFERROR(__xludf.DUMMYFUNCTION("""COMPUTED_VALUE"""),27239)</f>
        <v>27239</v>
      </c>
      <c r="AD430" s="1" t="str">
        <f ca="1">IFERROR(__xludf.DUMMYFUNCTION("""COMPUTED_VALUE"""),"MERE")</f>
        <v>MERE</v>
      </c>
      <c r="AE430" s="1" t="str">
        <f ca="1">IFERROR(__xludf.DUMMYFUNCTION("""COMPUTED_VALUE"""),"PERE")</f>
        <v>PERE</v>
      </c>
      <c r="AF430" s="1" t="str">
        <f ca="1">IFERROR(__xludf.DUMMYFUNCTION("""COMPUTED_VALUE"""),"MADAGASCAR")</f>
        <v>MADAGASCAR</v>
      </c>
      <c r="AG430" s="1" t="str">
        <f ca="1">IFERROR(__xludf.DUMMYFUNCTION("""COMPUTED_VALUE"""),"SENEGAL")</f>
        <v>SENEGAL</v>
      </c>
      <c r="AH430" s="1" t="str">
        <f ca="1">IFERROR(__xludf.DUMMYFUNCTION("""COMPUTED_VALUE"""),"SENEGAL")</f>
        <v>SENEGAL</v>
      </c>
      <c r="AI430" s="1"/>
      <c r="AJ430" s="1" t="str">
        <f ca="1">IFERROR(__xludf.DUMMYFUNCTION("""COMPUTED_VALUE"""),"F1480")</f>
        <v>F1480</v>
      </c>
      <c r="AK430" s="1" t="str">
        <f ca="1">IFERROR(__xludf.DUMMYFUNCTION("""COMPUTED_VALUE"""),"Marié(e)")</f>
        <v>Marié(e)</v>
      </c>
      <c r="AL430" s="1" t="str">
        <f ca="1">IFERROR(__xludf.DUMMYFUNCTION("""COMPUTED_VALUE"""),"Marié(e)")</f>
        <v>Marié(e)</v>
      </c>
      <c r="AM430" s="1" t="str">
        <f ca="1">IFERROR(__xludf.DUMMYFUNCTION("""COMPUTED_VALUE"""),"F1480")</f>
        <v>F1480</v>
      </c>
    </row>
    <row r="431" spans="1:39" ht="13" x14ac:dyDescent="0.15">
      <c r="A431" s="1" t="str">
        <f ca="1">IFERROR(__xludf.DUMMYFUNCTION("""COMPUTED_VALUE"""),"NDIAYE Anna Florence")</f>
        <v>NDIAYE Anna Florence</v>
      </c>
      <c r="B431" s="1" t="str">
        <f ca="1">IFERROR(__xludf.DUMMYFUNCTION("""COMPUTED_VALUE"""),"NDIAYE")</f>
        <v>NDIAYE</v>
      </c>
      <c r="C431" s="1" t="str">
        <f ca="1">IFERROR(__xludf.DUMMYFUNCTION("""COMPUTED_VALUE"""),"Anna Florence")</f>
        <v>Anna Florence</v>
      </c>
      <c r="D431" s="1" t="str">
        <f ca="1">IFERROR(__xludf.DUMMYFUNCTION("""COMPUTED_VALUE"""),"1474E2")</f>
        <v>1474E2</v>
      </c>
      <c r="E431" s="2">
        <f ca="1">IFERROR(__xludf.DUMMYFUNCTION("""COMPUTED_VALUE"""),40663)</f>
        <v>40663</v>
      </c>
      <c r="F431" s="1" t="str">
        <f ca="1">IFERROR(__xludf.DUMMYFUNCTION("""COMPUTED_VALUE"""),"3EME1")</f>
        <v>3EME1</v>
      </c>
      <c r="G431" s="1" t="str">
        <f ca="1">IFERROR(__xludf.DUMMYFUNCTION("""COMPUTED_VALUE"""),"3ème")</f>
        <v>3ème</v>
      </c>
      <c r="H431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431" s="1" t="str">
        <f ca="1">IFERROR(__xludf.DUMMYFUNCTION("""COMPUTED_VALUE"""),"LVA Anglais")</f>
        <v>LVA Anglais</v>
      </c>
      <c r="J431" s="1" t="str">
        <f ca="1">IFERROR(__xludf.DUMMYFUNCTION("""COMPUTED_VALUE"""),"LVB Espagnol")</f>
        <v>LVB Espagnol</v>
      </c>
      <c r="K431" s="1"/>
      <c r="L431" s="1"/>
      <c r="M431" s="1"/>
      <c r="N431" s="1" t="str">
        <f ca="1">IFERROR(__xludf.DUMMYFUNCTION("""COMPUTED_VALUE"""),"Fille")</f>
        <v>Fille</v>
      </c>
      <c r="O431" s="1"/>
      <c r="P431" s="1" t="str">
        <f ca="1">IFERROR(__xludf.DUMMYFUNCTION("""COMPUTED_VALUE"""),"SENEGAL")</f>
        <v>SENEGAL</v>
      </c>
      <c r="Q431" s="1"/>
      <c r="R431" s="1" t="str">
        <f ca="1">IFERROR(__xludf.DUMMYFUNCTION("""COMPUTED_VALUE"""),"anna.ndiaye@lfjpsaly.org")</f>
        <v>anna.ndiaye@lfjpsaly.org</v>
      </c>
      <c r="S431" s="1" t="str">
        <f ca="1">IFERROR(__xludf.DUMMYFUNCTION("""COMPUTED_VALUE"""),"+221+221 777887732")</f>
        <v>+221+221 777887732</v>
      </c>
      <c r="T431" s="1" t="str">
        <f ca="1">IFERROR(__xludf.DUMMYFUNCTION("""COMPUTED_VALUE"""),"NDIAYE Aminata")</f>
        <v>NDIAYE Aminata</v>
      </c>
      <c r="U431" s="1" t="str">
        <f ca="1">IFERROR(__xludf.DUMMYFUNCTION("""COMPUTED_VALUE"""),"NDIAYE Amadou Lamine Soce")</f>
        <v>NDIAYE Amadou Lamine Soce</v>
      </c>
      <c r="V431" s="1" t="str">
        <f ca="1">IFERROR(__xludf.DUMMYFUNCTION("""COMPUTED_VALUE"""),"cissendiaye24@gmail.com")</f>
        <v>cissendiaye24@gmail.com</v>
      </c>
      <c r="W431" s="1" t="str">
        <f ca="1">IFERROR(__xludf.DUMMYFUNCTION("""COMPUTED_VALUE"""),"laminedr@yahoo.fr")</f>
        <v>laminedr@yahoo.fr</v>
      </c>
      <c r="X431" s="1" t="str">
        <f ca="1">IFERROR(__xludf.DUMMYFUNCTION("""COMPUTED_VALUE"""),"+221 77 552 98 68")</f>
        <v>+221 77 552 98 68</v>
      </c>
      <c r="Y431" s="1" t="str">
        <f ca="1">IFERROR(__xludf.DUMMYFUNCTION("""COMPUTED_VALUE"""),"+221 77 552 98 68")</f>
        <v>+221 77 552 98 68</v>
      </c>
      <c r="Z431" s="1" t="str">
        <f ca="1">IFERROR(__xludf.DUMMYFUNCTION("""COMPUTED_VALUE"""),"+221 77 552 98 68")</f>
        <v>+221 77 552 98 68</v>
      </c>
      <c r="AA431" s="1" t="str">
        <f ca="1">IFERROR(__xludf.DUMMYFUNCTION("""COMPUTED_VALUE"""),"+221")</f>
        <v>+221</v>
      </c>
      <c r="AB431" s="2">
        <f ca="1">IFERROR(__xludf.DUMMYFUNCTION("""COMPUTED_VALUE"""),29227)</f>
        <v>29227</v>
      </c>
      <c r="AC431" s="2">
        <f ca="1">IFERROR(__xludf.DUMMYFUNCTION("""COMPUTED_VALUE"""),25477)</f>
        <v>25477</v>
      </c>
      <c r="AD431" s="1" t="str">
        <f ca="1">IFERROR(__xludf.DUMMYFUNCTION("""COMPUTED_VALUE"""),"MERE")</f>
        <v>MERE</v>
      </c>
      <c r="AE431" s="1" t="str">
        <f ca="1">IFERROR(__xludf.DUMMYFUNCTION("""COMPUTED_VALUE"""),"PERE")</f>
        <v>PERE</v>
      </c>
      <c r="AF431" s="1" t="str">
        <f ca="1">IFERROR(__xludf.DUMMYFUNCTION("""COMPUTED_VALUE"""),"SENEGAL")</f>
        <v>SENEGAL</v>
      </c>
      <c r="AG431" s="1" t="str">
        <f ca="1">IFERROR(__xludf.DUMMYFUNCTION("""COMPUTED_VALUE"""),"SENEGAL")</f>
        <v>SENEGAL</v>
      </c>
      <c r="AH431" s="1" t="str">
        <f ca="1">IFERROR(__xludf.DUMMYFUNCTION("""COMPUTED_VALUE"""),"SENEGAL")</f>
        <v>SENEGAL</v>
      </c>
      <c r="AI431" s="1" t="str">
        <f ca="1">IFERROR(__xludf.DUMMYFUNCTION("""COMPUTED_VALUE"""),"SENEGAL")</f>
        <v>SENEGAL</v>
      </c>
      <c r="AJ431" s="1" t="str">
        <f ca="1">IFERROR(__xludf.DUMMYFUNCTION("""COMPUTED_VALUE"""),"F1474")</f>
        <v>F1474</v>
      </c>
      <c r="AK431" s="1" t="str">
        <f ca="1">IFERROR(__xludf.DUMMYFUNCTION("""COMPUTED_VALUE"""),"Marié(e)")</f>
        <v>Marié(e)</v>
      </c>
      <c r="AL431" s="1" t="str">
        <f ca="1">IFERROR(__xludf.DUMMYFUNCTION("""COMPUTED_VALUE"""),"Marié(e)")</f>
        <v>Marié(e)</v>
      </c>
      <c r="AM431" s="1" t="str">
        <f ca="1">IFERROR(__xludf.DUMMYFUNCTION("""COMPUTED_VALUE"""),"F1474")</f>
        <v>F1474</v>
      </c>
    </row>
    <row r="432" spans="1:39" ht="13" x14ac:dyDescent="0.15">
      <c r="A432" s="1" t="str">
        <f ca="1">IFERROR(__xludf.DUMMYFUNCTION("""COMPUTED_VALUE"""),"NDIAYE Bamba")</f>
        <v>NDIAYE Bamba</v>
      </c>
      <c r="B432" s="1" t="str">
        <f ca="1">IFERROR(__xludf.DUMMYFUNCTION("""COMPUTED_VALUE"""),"NDIAYE")</f>
        <v>NDIAYE</v>
      </c>
      <c r="C432" s="1" t="str">
        <f ca="1">IFERROR(__xludf.DUMMYFUNCTION("""COMPUTED_VALUE"""),"Bamba")</f>
        <v>Bamba</v>
      </c>
      <c r="D432" s="1" t="str">
        <f ca="1">IFERROR(__xludf.DUMMYFUNCTION("""COMPUTED_VALUE"""),"1480E2")</f>
        <v>1480E2</v>
      </c>
      <c r="E432" s="2">
        <f ca="1">IFERROR(__xludf.DUMMYFUNCTION("""COMPUTED_VALUE"""),42439)</f>
        <v>42439</v>
      </c>
      <c r="F432" s="1" t="str">
        <f ca="1">IFERROR(__xludf.DUMMYFUNCTION("""COMPUTED_VALUE"""),"CM2A")</f>
        <v>CM2A</v>
      </c>
      <c r="G432" s="1" t="str">
        <f ca="1">IFERROR(__xludf.DUMMYFUNCTION("""COMPUTED_VALUE"""),"CM2")</f>
        <v>CM2</v>
      </c>
      <c r="H432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432" s="1"/>
      <c r="J432" s="1"/>
      <c r="K432" s="1"/>
      <c r="L432" s="1"/>
      <c r="M432" s="1"/>
      <c r="N432" s="1" t="str">
        <f ca="1">IFERROR(__xludf.DUMMYFUNCTION("""COMPUTED_VALUE"""),"Garçon")</f>
        <v>Garçon</v>
      </c>
      <c r="O432" s="1"/>
      <c r="P432" s="1" t="str">
        <f ca="1">IFERROR(__xludf.DUMMYFUNCTION("""COMPUTED_VALUE"""),"SENEGAL")</f>
        <v>SENEGAL</v>
      </c>
      <c r="Q432" s="1"/>
      <c r="R432" s="1"/>
      <c r="S432" s="1"/>
      <c r="T432" s="1" t="str">
        <f ca="1">IFERROR(__xludf.DUMMYFUNCTION("""COMPUTED_VALUE"""),"NDIAYE Malalarisoa Gentiane")</f>
        <v>NDIAYE Malalarisoa Gentiane</v>
      </c>
      <c r="U432" s="1" t="str">
        <f ca="1">IFERROR(__xludf.DUMMYFUNCTION("""COMPUTED_VALUE"""),"NDIAYE Madieng")</f>
        <v>NDIAYE Madieng</v>
      </c>
      <c r="V432" s="1" t="str">
        <f ca="1">IFERROR(__xludf.DUMMYFUNCTION("""COMPUTED_VALUE"""),"ndiayegentiane@gmail.com")</f>
        <v>ndiayegentiane@gmail.com</v>
      </c>
      <c r="W432" s="1" t="str">
        <f ca="1">IFERROR(__xludf.DUMMYFUNCTION("""COMPUTED_VALUE"""),"madiengue.ndiaye@gmail.com")</f>
        <v>madiengue.ndiaye@gmail.com</v>
      </c>
      <c r="X432" s="1" t="str">
        <f ca="1">IFERROR(__xludf.DUMMYFUNCTION("""COMPUTED_VALUE"""),"785824572")</f>
        <v>785824572</v>
      </c>
      <c r="Y432" s="1" t="str">
        <f ca="1">IFERROR(__xludf.DUMMYFUNCTION("""COMPUTED_VALUE"""),"773579025")</f>
        <v>773579025</v>
      </c>
      <c r="Z432" s="1"/>
      <c r="AA432" s="1"/>
      <c r="AB432" s="2">
        <f ca="1">IFERROR(__xludf.DUMMYFUNCTION("""COMPUTED_VALUE"""),28746)</f>
        <v>28746</v>
      </c>
      <c r="AC432" s="2">
        <f ca="1">IFERROR(__xludf.DUMMYFUNCTION("""COMPUTED_VALUE"""),27239)</f>
        <v>27239</v>
      </c>
      <c r="AD432" s="1" t="str">
        <f ca="1">IFERROR(__xludf.DUMMYFUNCTION("""COMPUTED_VALUE"""),"MERE")</f>
        <v>MERE</v>
      </c>
      <c r="AE432" s="1" t="str">
        <f ca="1">IFERROR(__xludf.DUMMYFUNCTION("""COMPUTED_VALUE"""),"PERE")</f>
        <v>PERE</v>
      </c>
      <c r="AF432" s="1" t="str">
        <f ca="1">IFERROR(__xludf.DUMMYFUNCTION("""COMPUTED_VALUE"""),"MADAGASCAR")</f>
        <v>MADAGASCAR</v>
      </c>
      <c r="AG432" s="1" t="str">
        <f ca="1">IFERROR(__xludf.DUMMYFUNCTION("""COMPUTED_VALUE"""),"SENEGAL")</f>
        <v>SENEGAL</v>
      </c>
      <c r="AH432" s="1" t="str">
        <f ca="1">IFERROR(__xludf.DUMMYFUNCTION("""COMPUTED_VALUE"""),"SENEGAL")</f>
        <v>SENEGAL</v>
      </c>
      <c r="AI432" s="1"/>
      <c r="AJ432" s="1" t="str">
        <f ca="1">IFERROR(__xludf.DUMMYFUNCTION("""COMPUTED_VALUE"""),"F1480")</f>
        <v>F1480</v>
      </c>
      <c r="AK432" s="1" t="str">
        <f ca="1">IFERROR(__xludf.DUMMYFUNCTION("""COMPUTED_VALUE"""),"Marié(e)")</f>
        <v>Marié(e)</v>
      </c>
      <c r="AL432" s="1" t="str">
        <f ca="1">IFERROR(__xludf.DUMMYFUNCTION("""COMPUTED_VALUE"""),"Marié(e)")</f>
        <v>Marié(e)</v>
      </c>
      <c r="AM432" s="1" t="str">
        <f ca="1">IFERROR(__xludf.DUMMYFUNCTION("""COMPUTED_VALUE"""),"F1480")</f>
        <v>F1480</v>
      </c>
    </row>
    <row r="433" spans="1:39" ht="13" x14ac:dyDescent="0.15">
      <c r="A433" s="1" t="str">
        <f ca="1">IFERROR(__xludf.DUMMYFUNCTION("""COMPUTED_VALUE"""),"NDIAYE Bineta")</f>
        <v>NDIAYE Bineta</v>
      </c>
      <c r="B433" s="1" t="str">
        <f ca="1">IFERROR(__xludf.DUMMYFUNCTION("""COMPUTED_VALUE"""),"NDIAYE")</f>
        <v>NDIAYE</v>
      </c>
      <c r="C433" s="1" t="str">
        <f ca="1">IFERROR(__xludf.DUMMYFUNCTION("""COMPUTED_VALUE"""),"Bineta")</f>
        <v>Bineta</v>
      </c>
      <c r="D433" s="1" t="str">
        <f ca="1">IFERROR(__xludf.DUMMYFUNCTION("""COMPUTED_VALUE"""),"11792S2545")</f>
        <v>11792S2545</v>
      </c>
      <c r="E433" s="2">
        <f ca="1">IFERROR(__xludf.DUMMYFUNCTION("""COMPUTED_VALUE"""),43616)</f>
        <v>43616</v>
      </c>
      <c r="F433" s="1" t="str">
        <f ca="1">IFERROR(__xludf.DUMMYFUNCTION("""COMPUTED_VALUE"""),"CP")</f>
        <v>CP</v>
      </c>
      <c r="G433" s="1" t="str">
        <f ca="1">IFERROR(__xludf.DUMMYFUNCTION("""COMPUTED_VALUE"""),"CP")</f>
        <v>CP</v>
      </c>
      <c r="H433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433" s="1"/>
      <c r="J433" s="1"/>
      <c r="K433" s="1"/>
      <c r="L433" s="1"/>
      <c r="M433" s="1"/>
      <c r="N433" s="1" t="str">
        <f ca="1">IFERROR(__xludf.DUMMYFUNCTION("""COMPUTED_VALUE"""),"Fille")</f>
        <v>Fille</v>
      </c>
      <c r="O433" s="1"/>
      <c r="P433" s="1" t="str">
        <f ca="1">IFERROR(__xludf.DUMMYFUNCTION("""COMPUTED_VALUE"""),"FRANCE")</f>
        <v>FRANCE</v>
      </c>
      <c r="Q433" s="1" t="str">
        <f ca="1">IFERROR(__xludf.DUMMYFUNCTION("""COMPUTED_VALUE"""),"SENEGAL")</f>
        <v>SENEGAL</v>
      </c>
      <c r="R433" s="1"/>
      <c r="S433" s="1" t="str">
        <f ca="1">IFERROR(__xludf.DUMMYFUNCTION("""COMPUTED_VALUE"""),"+221")</f>
        <v>+221</v>
      </c>
      <c r="T433" s="1" t="str">
        <f ca="1">IFERROR(__xludf.DUMMYFUNCTION("""COMPUTED_VALUE"""),"NDIAYE Maritaw")</f>
        <v>NDIAYE Maritaw</v>
      </c>
      <c r="U433" s="1" t="str">
        <f ca="1">IFERROR(__xludf.DUMMYFUNCTION("""COMPUTED_VALUE"""),"SOW Aminata")</f>
        <v>SOW Aminata</v>
      </c>
      <c r="V433" s="1" t="str">
        <f ca="1">IFERROR(__xludf.DUMMYFUNCTION("""COMPUTED_VALUE"""),"maritaw.ndiaye@gmail.com")</f>
        <v>maritaw.ndiaye@gmail.com</v>
      </c>
      <c r="W433" s="1" t="str">
        <f ca="1">IFERROR(__xludf.DUMMYFUNCTION("""COMPUTED_VALUE"""),"aminaniokh@gmail.com")</f>
        <v>aminaniokh@gmail.com</v>
      </c>
      <c r="X433" s="1" t="str">
        <f ca="1">IFERROR(__xludf.DUMMYFUNCTION("""COMPUTED_VALUE"""),"+221 76 025 17 22")</f>
        <v>+221 76 025 17 22</v>
      </c>
      <c r="Y433" s="1" t="str">
        <f ca="1">IFERROR(__xludf.DUMMYFUNCTION("""COMPUTED_VALUE"""),"+33 6 15 25 25 56")</f>
        <v>+33 6 15 25 25 56</v>
      </c>
      <c r="Z433" s="1" t="str">
        <f ca="1">IFERROR(__xludf.DUMMYFUNCTION("""COMPUTED_VALUE"""),"+33 6 95 17 37 79")</f>
        <v>+33 6 95 17 37 79</v>
      </c>
      <c r="AA433" s="1" t="str">
        <f ca="1">IFERROR(__xludf.DUMMYFUNCTION("""COMPUTED_VALUE"""),"+221 78 868 50 38")</f>
        <v>+221 78 868 50 38</v>
      </c>
      <c r="AB433" s="2">
        <f ca="1">IFERROR(__xludf.DUMMYFUNCTION("""COMPUTED_VALUE"""),29907)</f>
        <v>29907</v>
      </c>
      <c r="AC433" s="2">
        <f ca="1">IFERROR(__xludf.DUMMYFUNCTION("""COMPUTED_VALUE"""),32097)</f>
        <v>32097</v>
      </c>
      <c r="AD433" s="1" t="str">
        <f ca="1">IFERROR(__xludf.DUMMYFUNCTION("""COMPUTED_VALUE"""),"PERE")</f>
        <v>PERE</v>
      </c>
      <c r="AE433" s="1" t="str">
        <f ca="1">IFERROR(__xludf.DUMMYFUNCTION("""COMPUTED_VALUE"""),"MERE")</f>
        <v>MERE</v>
      </c>
      <c r="AF433" s="1" t="str">
        <f ca="1">IFERROR(__xludf.DUMMYFUNCTION("""COMPUTED_VALUE"""),"FRANCE")</f>
        <v>FRANCE</v>
      </c>
      <c r="AG433" s="1" t="str">
        <f ca="1">IFERROR(__xludf.DUMMYFUNCTION("""COMPUTED_VALUE"""),"SENEGAL")</f>
        <v>SENEGAL</v>
      </c>
      <c r="AH433" s="1" t="str">
        <f ca="1">IFERROR(__xludf.DUMMYFUNCTION("""COMPUTED_VALUE"""),"SENEGAL")</f>
        <v>SENEGAL</v>
      </c>
      <c r="AI433" s="1"/>
      <c r="AJ433" s="1" t="str">
        <f ca="1">IFERROR(__xludf.DUMMYFUNCTION("""COMPUTED_VALUE"""),"U11792")</f>
        <v>U11792</v>
      </c>
      <c r="AK433" s="1" t="str">
        <f ca="1">IFERROR(__xludf.DUMMYFUNCTION("""COMPUTED_VALUE"""),"Marié(e)")</f>
        <v>Marié(e)</v>
      </c>
      <c r="AL433" s="1" t="str">
        <f ca="1">IFERROR(__xludf.DUMMYFUNCTION("""COMPUTED_VALUE"""),"Marié(e)")</f>
        <v>Marié(e)</v>
      </c>
      <c r="AM433" s="1" t="str">
        <f ca="1">IFERROR(__xludf.DUMMYFUNCTION("""COMPUTED_VALUE"""),"U11792")</f>
        <v>U11792</v>
      </c>
    </row>
    <row r="434" spans="1:39" ht="13" x14ac:dyDescent="0.15">
      <c r="A434" s="1" t="str">
        <f ca="1">IFERROR(__xludf.DUMMYFUNCTION("""COMPUTED_VALUE"""),"NDIAYE Desiree")</f>
        <v>NDIAYE Desiree</v>
      </c>
      <c r="B434" s="1" t="str">
        <f ca="1">IFERROR(__xludf.DUMMYFUNCTION("""COMPUTED_VALUE"""),"NDIAYE")</f>
        <v>NDIAYE</v>
      </c>
      <c r="C434" s="1" t="str">
        <f ca="1">IFERROR(__xludf.DUMMYFUNCTION("""COMPUTED_VALUE"""),"Desiree")</f>
        <v>Desiree</v>
      </c>
      <c r="D434" s="1" t="str">
        <f ca="1">IFERROR(__xludf.DUMMYFUNCTION("""COMPUTED_VALUE"""),"11792S2524")</f>
        <v>11792S2524</v>
      </c>
      <c r="E434" s="2">
        <f ca="1">IFERROR(__xludf.DUMMYFUNCTION("""COMPUTED_VALUE"""),42998)</f>
        <v>42998</v>
      </c>
      <c r="F434" s="1" t="str">
        <f ca="1">IFERROR(__xludf.DUMMYFUNCTION("""COMPUTED_VALUE"""),"CP-CE2")</f>
        <v>CP-CE2</v>
      </c>
      <c r="G434" s="1" t="str">
        <f ca="1">IFERROR(__xludf.DUMMYFUNCTION("""COMPUTED_VALUE"""),"CE2")</f>
        <v>CE2</v>
      </c>
      <c r="H434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434" s="1"/>
      <c r="J434" s="1"/>
      <c r="K434" s="1"/>
      <c r="L434" s="1"/>
      <c r="M434" s="1"/>
      <c r="N434" s="1" t="str">
        <f ca="1">IFERROR(__xludf.DUMMYFUNCTION("""COMPUTED_VALUE"""),"Fille")</f>
        <v>Fille</v>
      </c>
      <c r="O434" s="1"/>
      <c r="P434" s="1" t="str">
        <f ca="1">IFERROR(__xludf.DUMMYFUNCTION("""COMPUTED_VALUE"""),"FRANCE")</f>
        <v>FRANCE</v>
      </c>
      <c r="Q434" s="1" t="str">
        <f ca="1">IFERROR(__xludf.DUMMYFUNCTION("""COMPUTED_VALUE"""),"SENEGAL")</f>
        <v>SENEGAL</v>
      </c>
      <c r="R434" s="1"/>
      <c r="S434" s="1" t="str">
        <f ca="1">IFERROR(__xludf.DUMMYFUNCTION("""COMPUTED_VALUE"""),"+221")</f>
        <v>+221</v>
      </c>
      <c r="T434" s="1" t="str">
        <f ca="1">IFERROR(__xludf.DUMMYFUNCTION("""COMPUTED_VALUE"""),"NDIAYE Maritaw")</f>
        <v>NDIAYE Maritaw</v>
      </c>
      <c r="U434" s="1" t="str">
        <f ca="1">IFERROR(__xludf.DUMMYFUNCTION("""COMPUTED_VALUE"""),"SOW Aminata")</f>
        <v>SOW Aminata</v>
      </c>
      <c r="V434" s="1" t="str">
        <f ca="1">IFERROR(__xludf.DUMMYFUNCTION("""COMPUTED_VALUE"""),"maritaw.ndiaye@gmail.com")</f>
        <v>maritaw.ndiaye@gmail.com</v>
      </c>
      <c r="W434" s="1" t="str">
        <f ca="1">IFERROR(__xludf.DUMMYFUNCTION("""COMPUTED_VALUE"""),"aminaniokh@gmail.com")</f>
        <v>aminaniokh@gmail.com</v>
      </c>
      <c r="X434" s="1" t="str">
        <f ca="1">IFERROR(__xludf.DUMMYFUNCTION("""COMPUTED_VALUE"""),"+221 76 025 17 22")</f>
        <v>+221 76 025 17 22</v>
      </c>
      <c r="Y434" s="1" t="str">
        <f ca="1">IFERROR(__xludf.DUMMYFUNCTION("""COMPUTED_VALUE"""),"+33 6 15 25 25 56")</f>
        <v>+33 6 15 25 25 56</v>
      </c>
      <c r="Z434" s="1" t="str">
        <f ca="1">IFERROR(__xludf.DUMMYFUNCTION("""COMPUTED_VALUE"""),"+33 6 95 17 37 79")</f>
        <v>+33 6 95 17 37 79</v>
      </c>
      <c r="AA434" s="1" t="str">
        <f ca="1">IFERROR(__xludf.DUMMYFUNCTION("""COMPUTED_VALUE"""),"+221 78 868 50 38")</f>
        <v>+221 78 868 50 38</v>
      </c>
      <c r="AB434" s="2">
        <f ca="1">IFERROR(__xludf.DUMMYFUNCTION("""COMPUTED_VALUE"""),29907)</f>
        <v>29907</v>
      </c>
      <c r="AC434" s="2">
        <f ca="1">IFERROR(__xludf.DUMMYFUNCTION("""COMPUTED_VALUE"""),32097)</f>
        <v>32097</v>
      </c>
      <c r="AD434" s="1" t="str">
        <f ca="1">IFERROR(__xludf.DUMMYFUNCTION("""COMPUTED_VALUE"""),"PERE")</f>
        <v>PERE</v>
      </c>
      <c r="AE434" s="1" t="str">
        <f ca="1">IFERROR(__xludf.DUMMYFUNCTION("""COMPUTED_VALUE"""),"MERE")</f>
        <v>MERE</v>
      </c>
      <c r="AF434" s="1" t="str">
        <f ca="1">IFERROR(__xludf.DUMMYFUNCTION("""COMPUTED_VALUE"""),"FRANCE")</f>
        <v>FRANCE</v>
      </c>
      <c r="AG434" s="1" t="str">
        <f ca="1">IFERROR(__xludf.DUMMYFUNCTION("""COMPUTED_VALUE"""),"SENEGAL")</f>
        <v>SENEGAL</v>
      </c>
      <c r="AH434" s="1" t="str">
        <f ca="1">IFERROR(__xludf.DUMMYFUNCTION("""COMPUTED_VALUE"""),"SENEGAL")</f>
        <v>SENEGAL</v>
      </c>
      <c r="AI434" s="1"/>
      <c r="AJ434" s="1" t="str">
        <f ca="1">IFERROR(__xludf.DUMMYFUNCTION("""COMPUTED_VALUE"""),"U11792")</f>
        <v>U11792</v>
      </c>
      <c r="AK434" s="1" t="str">
        <f ca="1">IFERROR(__xludf.DUMMYFUNCTION("""COMPUTED_VALUE"""),"Marié(e)")</f>
        <v>Marié(e)</v>
      </c>
      <c r="AL434" s="1" t="str">
        <f ca="1">IFERROR(__xludf.DUMMYFUNCTION("""COMPUTED_VALUE"""),"Marié(e)")</f>
        <v>Marié(e)</v>
      </c>
      <c r="AM434" s="1" t="str">
        <f ca="1">IFERROR(__xludf.DUMMYFUNCTION("""COMPUTED_VALUE"""),"U11792")</f>
        <v>U11792</v>
      </c>
    </row>
    <row r="435" spans="1:39" ht="13" x14ac:dyDescent="0.15">
      <c r="A435" s="1" t="str">
        <f ca="1">IFERROR(__xludf.DUMMYFUNCTION("""COMPUTED_VALUE"""),"NDIAYE Dieynaba")</f>
        <v>NDIAYE Dieynaba</v>
      </c>
      <c r="B435" s="1" t="str">
        <f ca="1">IFERROR(__xludf.DUMMYFUNCTION("""COMPUTED_VALUE"""),"NDIAYE")</f>
        <v>NDIAYE</v>
      </c>
      <c r="C435" s="1" t="str">
        <f ca="1">IFERROR(__xludf.DUMMYFUNCTION("""COMPUTED_VALUE"""),"Dieynaba")</f>
        <v>Dieynaba</v>
      </c>
      <c r="D435" s="1" t="str">
        <f ca="1">IFERROR(__xludf.DUMMYFUNCTION("""COMPUTED_VALUE"""),"1484E1")</f>
        <v>1484E1</v>
      </c>
      <c r="E435" s="2">
        <f ca="1">IFERROR(__xludf.DUMMYFUNCTION("""COMPUTED_VALUE"""),43177)</f>
        <v>43177</v>
      </c>
      <c r="F435" s="1" t="str">
        <f ca="1">IFERROR(__xludf.DUMMYFUNCTION("""COMPUTED_VALUE"""),"CE1B")</f>
        <v>CE1B</v>
      </c>
      <c r="G435" s="1" t="str">
        <f ca="1">IFERROR(__xludf.DUMMYFUNCTION("""COMPUTED_VALUE"""),"CE1")</f>
        <v>CE1</v>
      </c>
      <c r="H435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435" s="1"/>
      <c r="J435" s="1"/>
      <c r="K435" s="1"/>
      <c r="L435" s="1"/>
      <c r="M435" s="1"/>
      <c r="N435" s="1" t="str">
        <f ca="1">IFERROR(__xludf.DUMMYFUNCTION("""COMPUTED_VALUE"""),"Fille")</f>
        <v>Fille</v>
      </c>
      <c r="O435" s="1"/>
      <c r="P435" s="1" t="str">
        <f ca="1">IFERROR(__xludf.DUMMYFUNCTION("""COMPUTED_VALUE"""),"FRANCE")</f>
        <v>FRANCE</v>
      </c>
      <c r="Q435" s="1" t="str">
        <f ca="1">IFERROR(__xludf.DUMMYFUNCTION("""COMPUTED_VALUE"""),"SENEGAL")</f>
        <v>SENEGAL</v>
      </c>
      <c r="R435" s="1"/>
      <c r="S435" s="1"/>
      <c r="T435" s="1" t="str">
        <f ca="1">IFERROR(__xludf.DUMMYFUNCTION("""COMPUTED_VALUE"""),"NDIAYE Mouhamadou")</f>
        <v>NDIAYE Mouhamadou</v>
      </c>
      <c r="U435" s="1" t="str">
        <f ca="1">IFERROR(__xludf.DUMMYFUNCTION("""COMPUTED_VALUE"""),"NDIAYE Claire")</f>
        <v>NDIAYE Claire</v>
      </c>
      <c r="V435" s="1" t="str">
        <f ca="1">IFERROR(__xludf.DUMMYFUNCTION("""COMPUTED_VALUE"""),"hassim.ndiaye@gmail.com")</f>
        <v>hassim.ndiaye@gmail.com</v>
      </c>
      <c r="W435" s="1" t="str">
        <f ca="1">IFERROR(__xludf.DUMMYFUNCTION("""COMPUTED_VALUE"""),"claire.guillemin1@gmail.com")</f>
        <v>claire.guillemin1@gmail.com</v>
      </c>
      <c r="X435" s="1" t="str">
        <f ca="1">IFERROR(__xludf.DUMMYFUNCTION("""COMPUTED_VALUE"""),"+221 78 737 31 62")</f>
        <v>+221 78 737 31 62</v>
      </c>
      <c r="Y435" s="1" t="str">
        <f ca="1">IFERROR(__xludf.DUMMYFUNCTION("""COMPUTED_VALUE"""),"+221 77 853 17 01")</f>
        <v>+221 77 853 17 01</v>
      </c>
      <c r="Z435" s="1" t="str">
        <f ca="1">IFERROR(__xludf.DUMMYFUNCTION("""COMPUTED_VALUE"""),"+33 6 73 73 17 37")</f>
        <v>+33 6 73 73 17 37</v>
      </c>
      <c r="AA435" s="1" t="str">
        <f ca="1">IFERROR(__xludf.DUMMYFUNCTION("""COMPUTED_VALUE"""),"+33 6 87 56 56 26")</f>
        <v>+33 6 87 56 56 26</v>
      </c>
      <c r="AB435" s="2">
        <f ca="1">IFERROR(__xludf.DUMMYFUNCTION("""COMPUTED_VALUE"""),27051)</f>
        <v>27051</v>
      </c>
      <c r="AC435" s="2">
        <f ca="1">IFERROR(__xludf.DUMMYFUNCTION("""COMPUTED_VALUE"""),29805)</f>
        <v>29805</v>
      </c>
      <c r="AD435" s="1" t="str">
        <f ca="1">IFERROR(__xludf.DUMMYFUNCTION("""COMPUTED_VALUE"""),"PERE")</f>
        <v>PERE</v>
      </c>
      <c r="AE435" s="1" t="str">
        <f ca="1">IFERROR(__xludf.DUMMYFUNCTION("""COMPUTED_VALUE"""),"MERE")</f>
        <v>MERE</v>
      </c>
      <c r="AF435" s="1" t="str">
        <f ca="1">IFERROR(__xludf.DUMMYFUNCTION("""COMPUTED_VALUE"""),"SENEGAL")</f>
        <v>SENEGAL</v>
      </c>
      <c r="AG435" s="1" t="str">
        <f ca="1">IFERROR(__xludf.DUMMYFUNCTION("""COMPUTED_VALUE"""),"FRANCE")</f>
        <v>FRANCE</v>
      </c>
      <c r="AH435" s="1" t="str">
        <f ca="1">IFERROR(__xludf.DUMMYFUNCTION("""COMPUTED_VALUE"""),"FRANCE")</f>
        <v>FRANCE</v>
      </c>
      <c r="AI435" s="1"/>
      <c r="AJ435" s="1" t="str">
        <f ca="1">IFERROR(__xludf.DUMMYFUNCTION("""COMPUTED_VALUE"""),"F1484")</f>
        <v>F1484</v>
      </c>
      <c r="AK435" s="1" t="str">
        <f ca="1">IFERROR(__xludf.DUMMYFUNCTION("""COMPUTED_VALUE"""),"Marié(e)")</f>
        <v>Marié(e)</v>
      </c>
      <c r="AL435" s="1" t="str">
        <f ca="1">IFERROR(__xludf.DUMMYFUNCTION("""COMPUTED_VALUE"""),"Marié(e)")</f>
        <v>Marié(e)</v>
      </c>
      <c r="AM435" s="1" t="str">
        <f ca="1">IFERROR(__xludf.DUMMYFUNCTION("""COMPUTED_VALUE"""),"F1484")</f>
        <v>F1484</v>
      </c>
    </row>
    <row r="436" spans="1:39" ht="13" x14ac:dyDescent="0.15">
      <c r="A436" s="1" t="str">
        <f ca="1">IFERROR(__xludf.DUMMYFUNCTION("""COMPUTED_VALUE"""),"NDIAYE Fary Gora")</f>
        <v>NDIAYE Fary Gora</v>
      </c>
      <c r="B436" s="1" t="str">
        <f ca="1">IFERROR(__xludf.DUMMYFUNCTION("""COMPUTED_VALUE"""),"NDIAYE")</f>
        <v>NDIAYE</v>
      </c>
      <c r="C436" s="1" t="str">
        <f ca="1">IFERROR(__xludf.DUMMYFUNCTION("""COMPUTED_VALUE"""),"Fary Gora")</f>
        <v>Fary Gora</v>
      </c>
      <c r="D436" s="1" t="str">
        <f ca="1">IFERROR(__xludf.DUMMYFUNCTION("""COMPUTED_VALUE"""),"1677E1")</f>
        <v>1677E1</v>
      </c>
      <c r="E436" s="2">
        <f ca="1">IFERROR(__xludf.DUMMYFUNCTION("""COMPUTED_VALUE"""),44445)</f>
        <v>44445</v>
      </c>
      <c r="F436" s="1" t="str">
        <f ca="1">IFERROR(__xludf.DUMMYFUNCTION("""COMPUTED_VALUE"""),"Mat 3")</f>
        <v>Mat 3</v>
      </c>
      <c r="G436" s="1" t="str">
        <f ca="1">IFERROR(__xludf.DUMMYFUNCTION("""COMPUTED_VALUE"""),"MS")</f>
        <v>MS</v>
      </c>
      <c r="H436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436" s="1"/>
      <c r="J436" s="1"/>
      <c r="K436" s="1"/>
      <c r="L436" s="1"/>
      <c r="M436" s="1"/>
      <c r="N436" s="1" t="str">
        <f ca="1">IFERROR(__xludf.DUMMYFUNCTION("""COMPUTED_VALUE"""),"Fille")</f>
        <v>Fille</v>
      </c>
      <c r="O436" s="1"/>
      <c r="P436" s="1" t="str">
        <f ca="1">IFERROR(__xludf.DUMMYFUNCTION("""COMPUTED_VALUE"""),"FRANCE")</f>
        <v>FRANCE</v>
      </c>
      <c r="Q436" s="1"/>
      <c r="R436" s="1"/>
      <c r="S436" s="1"/>
      <c r="T436" s="1" t="str">
        <f ca="1">IFERROR(__xludf.DUMMYFUNCTION("""COMPUTED_VALUE"""),"NDIAYE Saliou")</f>
        <v>NDIAYE Saliou</v>
      </c>
      <c r="U436" s="1" t="str">
        <f ca="1">IFERROR(__xludf.DUMMYFUNCTION("""COMPUTED_VALUE"""),"NDIAYE Aissata")</f>
        <v>NDIAYE Aissata</v>
      </c>
      <c r="V436" s="1" t="str">
        <f ca="1">IFERROR(__xludf.DUMMYFUNCTION("""COMPUTED_VALUE"""),"snd.ndiaye@gmail.com")</f>
        <v>snd.ndiaye@gmail.com</v>
      </c>
      <c r="W436" s="1" t="str">
        <f ca="1">IFERROR(__xludf.DUMMYFUNCTION("""COMPUTED_VALUE"""),"aissata.cissee@gmail.com")</f>
        <v>aissata.cissee@gmail.com</v>
      </c>
      <c r="X436" s="1" t="str">
        <f ca="1">IFERROR(__xludf.DUMMYFUNCTION("""COMPUTED_VALUE"""),"+33 6 69 64 50 94")</f>
        <v>+33 6 69 64 50 94</v>
      </c>
      <c r="Y436" s="1" t="str">
        <f ca="1">IFERROR(__xludf.DUMMYFUNCTION("""COMPUTED_VALUE"""),"+33 6 52 06 27 86")</f>
        <v>+33 6 52 06 27 86</v>
      </c>
      <c r="Z436" s="1" t="str">
        <f ca="1">IFERROR(__xludf.DUMMYFUNCTION("""COMPUTED_VALUE"""),"+221 77 639 39 74")</f>
        <v>+221 77 639 39 74</v>
      </c>
      <c r="AA436" s="1" t="str">
        <f ca="1">IFERROR(__xludf.DUMMYFUNCTION("""COMPUTED_VALUE"""),"+221 71 117 23 09")</f>
        <v>+221 71 117 23 09</v>
      </c>
      <c r="AB436" s="2">
        <f ca="1">IFERROR(__xludf.DUMMYFUNCTION("""COMPUTED_VALUE"""),29587)</f>
        <v>29587</v>
      </c>
      <c r="AC436" s="2">
        <f ca="1">IFERROR(__xludf.DUMMYFUNCTION("""COMPUTED_VALUE"""),32704)</f>
        <v>32704</v>
      </c>
      <c r="AD436" s="1" t="str">
        <f ca="1">IFERROR(__xludf.DUMMYFUNCTION("""COMPUTED_VALUE"""),"PERE")</f>
        <v>PERE</v>
      </c>
      <c r="AE436" s="1" t="str">
        <f ca="1">IFERROR(__xludf.DUMMYFUNCTION("""COMPUTED_VALUE"""),"MERE")</f>
        <v>MERE</v>
      </c>
      <c r="AF436" s="1" t="str">
        <f ca="1">IFERROR(__xludf.DUMMYFUNCTION("""COMPUTED_VALUE"""),"FRANCE")</f>
        <v>FRANCE</v>
      </c>
      <c r="AG436" s="1" t="str">
        <f ca="1">IFERROR(__xludf.DUMMYFUNCTION("""COMPUTED_VALUE"""),"FRANCE")</f>
        <v>FRANCE</v>
      </c>
      <c r="AH436" s="1" t="str">
        <f ca="1">IFERROR(__xludf.DUMMYFUNCTION("""COMPUTED_VALUE"""),"SENEGAL")</f>
        <v>SENEGAL</v>
      </c>
      <c r="AI436" s="1" t="str">
        <f ca="1">IFERROR(__xludf.DUMMYFUNCTION("""COMPUTED_VALUE"""),"SENEGAL")</f>
        <v>SENEGAL</v>
      </c>
      <c r="AJ436" s="1" t="str">
        <f ca="1">IFERROR(__xludf.DUMMYFUNCTION("""COMPUTED_VALUE"""),"F1677")</f>
        <v>F1677</v>
      </c>
      <c r="AK436" s="1" t="str">
        <f ca="1">IFERROR(__xludf.DUMMYFUNCTION("""COMPUTED_VALUE"""),"Marié(e)")</f>
        <v>Marié(e)</v>
      </c>
      <c r="AL436" s="1" t="str">
        <f ca="1">IFERROR(__xludf.DUMMYFUNCTION("""COMPUTED_VALUE"""),"Marié(e)")</f>
        <v>Marié(e)</v>
      </c>
      <c r="AM436" s="1" t="str">
        <f ca="1">IFERROR(__xludf.DUMMYFUNCTION("""COMPUTED_VALUE"""),"F1677")</f>
        <v>F1677</v>
      </c>
    </row>
    <row r="437" spans="1:39" ht="13" x14ac:dyDescent="0.15">
      <c r="A437" s="1" t="str">
        <f ca="1">IFERROR(__xludf.DUMMYFUNCTION("""COMPUTED_VALUE"""),"NDIAYE Felwine  Alicia")</f>
        <v>NDIAYE Felwine  Alicia</v>
      </c>
      <c r="B437" s="1" t="str">
        <f ca="1">IFERROR(__xludf.DUMMYFUNCTION("""COMPUTED_VALUE"""),"NDIAYE")</f>
        <v>NDIAYE</v>
      </c>
      <c r="C437" s="1" t="str">
        <f ca="1">IFERROR(__xludf.DUMMYFUNCTION("""COMPUTED_VALUE"""),"Felwine  Alicia")</f>
        <v>Felwine  Alicia</v>
      </c>
      <c r="D437" s="1" t="str">
        <f ca="1">IFERROR(__xludf.DUMMYFUNCTION("""COMPUTED_VALUE"""),"1476E1")</f>
        <v>1476E1</v>
      </c>
      <c r="E437" s="2">
        <f ca="1">IFERROR(__xludf.DUMMYFUNCTION("""COMPUTED_VALUE"""),39939)</f>
        <v>39939</v>
      </c>
      <c r="F437" s="1" t="str">
        <f ca="1">IFERROR(__xludf.DUMMYFUNCTION("""COMPUTED_VALUE"""),"1ERE2")</f>
        <v>1ERE2</v>
      </c>
      <c r="G437" s="1" t="str">
        <f ca="1">IFERROR(__xludf.DUMMYFUNCTION("""COMPUTED_VALUE"""),"1ère")</f>
        <v>1ère</v>
      </c>
      <c r="H437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437" s="1" t="str">
        <f ca="1">IFERROR(__xludf.DUMMYFUNCTION("""COMPUTED_VALUE"""),"LVA Anglais")</f>
        <v>LVA Anglais</v>
      </c>
      <c r="J437" s="1" t="str">
        <f ca="1">IFERROR(__xludf.DUMMYFUNCTION("""COMPUTED_VALUE"""),"LVB Espagnol")</f>
        <v>LVB Espagnol</v>
      </c>
      <c r="K437" s="1"/>
      <c r="L437" s="1"/>
      <c r="M437" s="1" t="str">
        <f ca="1">IFERROR(__xludf.DUMMYFUNCTION("""COMPUTED_VALUE"""),"SPE HGGSP, SPE LLCE AMC, SPE SES")</f>
        <v>SPE HGGSP, SPE LLCE AMC, SPE SES</v>
      </c>
      <c r="N437" s="1" t="str">
        <f ca="1">IFERROR(__xludf.DUMMYFUNCTION("""COMPUTED_VALUE"""),"Fille")</f>
        <v>Fille</v>
      </c>
      <c r="O437" s="1"/>
      <c r="P437" s="1" t="str">
        <f ca="1">IFERROR(__xludf.DUMMYFUNCTION("""COMPUTED_VALUE"""),"SENEGAL")</f>
        <v>SENEGAL</v>
      </c>
      <c r="Q437" s="1"/>
      <c r="R437" s="1" t="str">
        <f ca="1">IFERROR(__xludf.DUMMYFUNCTION("""COMPUTED_VALUE"""),"felwine.ndiaye@lfjpsaly.org")</f>
        <v>felwine.ndiaye@lfjpsaly.org</v>
      </c>
      <c r="S437" s="1" t="str">
        <f ca="1">IFERROR(__xludf.DUMMYFUNCTION("""COMPUTED_VALUE"""),"+221 77 132 82 82")</f>
        <v>+221 77 132 82 82</v>
      </c>
      <c r="T437" s="1" t="str">
        <f ca="1">IFERROR(__xludf.DUMMYFUNCTION("""COMPUTED_VALUE"""),"SAMBOU Justine Arétha")</f>
        <v>SAMBOU Justine Arétha</v>
      </c>
      <c r="U437" s="1" t="str">
        <f ca="1">IFERROR(__xludf.DUMMYFUNCTION("""COMPUTED_VALUE"""),"NDIAYE Paul Sedar")</f>
        <v>NDIAYE Paul Sedar</v>
      </c>
      <c r="V437" s="1" t="str">
        <f ca="1">IFERROR(__xludf.DUMMYFUNCTION("""COMPUTED_VALUE"""),"justinearetha.sambou@orange-sonatel.com")</f>
        <v>justinearetha.sambou@orange-sonatel.com</v>
      </c>
      <c r="W437" s="1" t="str">
        <f ca="1">IFERROR(__xludf.DUMMYFUNCTION("""COMPUTED_VALUE"""),"justinearetha.sambou@orange-sonatel.com")</f>
        <v>justinearetha.sambou@orange-sonatel.com</v>
      </c>
      <c r="X437" s="1" t="str">
        <f ca="1">IFERROR(__xludf.DUMMYFUNCTION("""COMPUTED_VALUE"""),"+221 77 644 69 40")</f>
        <v>+221 77 644 69 40</v>
      </c>
      <c r="Y437" s="1" t="str">
        <f ca="1">IFERROR(__xludf.DUMMYFUNCTION("""COMPUTED_VALUE"""),"+221 77 594 94 94")</f>
        <v>+221 77 594 94 94</v>
      </c>
      <c r="Z437" s="1" t="str">
        <f ca="1">IFERROR(__xludf.DUMMYFUNCTION("""COMPUTED_VALUE"""),"+221")</f>
        <v>+221</v>
      </c>
      <c r="AA437" s="1"/>
      <c r="AB437" s="2">
        <f ca="1">IFERROR(__xludf.DUMMYFUNCTION("""COMPUTED_VALUE"""),27383)</f>
        <v>27383</v>
      </c>
      <c r="AC437" s="2">
        <f ca="1">IFERROR(__xludf.DUMMYFUNCTION("""COMPUTED_VALUE"""),27425)</f>
        <v>27425</v>
      </c>
      <c r="AD437" s="1" t="str">
        <f ca="1">IFERROR(__xludf.DUMMYFUNCTION("""COMPUTED_VALUE"""),"MERE")</f>
        <v>MERE</v>
      </c>
      <c r="AE437" s="1" t="str">
        <f ca="1">IFERROR(__xludf.DUMMYFUNCTION("""COMPUTED_VALUE"""),"PERE")</f>
        <v>PERE</v>
      </c>
      <c r="AF437" s="1" t="str">
        <f ca="1">IFERROR(__xludf.DUMMYFUNCTION("""COMPUTED_VALUE"""),"SENEGAL")</f>
        <v>SENEGAL</v>
      </c>
      <c r="AG437" s="1" t="str">
        <f ca="1">IFERROR(__xludf.DUMMYFUNCTION("""COMPUTED_VALUE"""),"SENEGAL")</f>
        <v>SENEGAL</v>
      </c>
      <c r="AH437" s="1"/>
      <c r="AI437" s="1"/>
      <c r="AJ437" s="1" t="str">
        <f ca="1">IFERROR(__xludf.DUMMYFUNCTION("""COMPUTED_VALUE"""),"F1476")</f>
        <v>F1476</v>
      </c>
      <c r="AK437" s="1" t="str">
        <f ca="1">IFERROR(__xludf.DUMMYFUNCTION("""COMPUTED_VALUE"""),"Marié(e)")</f>
        <v>Marié(e)</v>
      </c>
      <c r="AL437" s="1" t="str">
        <f ca="1">IFERROR(__xludf.DUMMYFUNCTION("""COMPUTED_VALUE"""),"Divorcée")</f>
        <v>Divorcée</v>
      </c>
      <c r="AM437" s="1" t="str">
        <f ca="1">IFERROR(__xludf.DUMMYFUNCTION("""COMPUTED_VALUE"""),"F1476")</f>
        <v>F1476</v>
      </c>
    </row>
    <row r="438" spans="1:39" ht="13" x14ac:dyDescent="0.15">
      <c r="A438" s="1" t="str">
        <f ca="1">IFERROR(__xludf.DUMMYFUNCTION("""COMPUTED_VALUE"""),"NDIAYE Kelys")</f>
        <v>NDIAYE Kelys</v>
      </c>
      <c r="B438" s="1" t="str">
        <f ca="1">IFERROR(__xludf.DUMMYFUNCTION("""COMPUTED_VALUE"""),"NDIAYE")</f>
        <v>NDIAYE</v>
      </c>
      <c r="C438" s="1" t="str">
        <f ca="1">IFERROR(__xludf.DUMMYFUNCTION("""COMPUTED_VALUE"""),"Kelys")</f>
        <v>Kelys</v>
      </c>
      <c r="D438" s="1" t="str">
        <f ca="1">IFERROR(__xludf.DUMMYFUNCTION("""COMPUTED_VALUE"""),"1678E1")</f>
        <v>1678E1</v>
      </c>
      <c r="E438" s="2">
        <f ca="1">IFERROR(__xludf.DUMMYFUNCTION("""COMPUTED_VALUE"""),41804)</f>
        <v>41804</v>
      </c>
      <c r="F438" s="1" t="str">
        <f ca="1">IFERROR(__xludf.DUMMYFUNCTION("""COMPUTED_VALUE"""),"6EME1")</f>
        <v>6EME1</v>
      </c>
      <c r="G438" s="1" t="str">
        <f ca="1">IFERROR(__xludf.DUMMYFUNCTION("""COMPUTED_VALUE"""),"6ème")</f>
        <v>6ème</v>
      </c>
      <c r="H438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438" s="1" t="str">
        <f ca="1">IFERROR(__xludf.DUMMYFUNCTION("""COMPUTED_VALUE"""),"LVA Anglais")</f>
        <v>LVA Anglais</v>
      </c>
      <c r="J438" s="1" t="str">
        <f ca="1">IFERROR(__xludf.DUMMYFUNCTION("""COMPUTED_VALUE"""),"LVB Espagnol")</f>
        <v>LVB Espagnol</v>
      </c>
      <c r="K438" s="1"/>
      <c r="L438" s="1"/>
      <c r="M438" s="1"/>
      <c r="N438" s="1" t="str">
        <f ca="1">IFERROR(__xludf.DUMMYFUNCTION("""COMPUTED_VALUE"""),"Fille")</f>
        <v>Fille</v>
      </c>
      <c r="O438" s="1"/>
      <c r="P438" s="1" t="str">
        <f ca="1">IFERROR(__xludf.DUMMYFUNCTION("""COMPUTED_VALUE"""),"FRANCE")</f>
        <v>FRANCE</v>
      </c>
      <c r="Q438" s="1" t="str">
        <f ca="1">IFERROR(__xludf.DUMMYFUNCTION("""COMPUTED_VALUE"""),"SENEGAL")</f>
        <v>SENEGAL</v>
      </c>
      <c r="R438" s="1" t="str">
        <f ca="1">IFERROR(__xludf.DUMMYFUNCTION("""COMPUTED_VALUE"""),"kelys.ndiaye@lfjpsaly.org")</f>
        <v>kelys.ndiaye@lfjpsaly.org</v>
      </c>
      <c r="S438" s="1" t="str">
        <f ca="1">IFERROR(__xludf.DUMMYFUNCTION("""COMPUTED_VALUE"""),"+221 77 185 18 89")</f>
        <v>+221 77 185 18 89</v>
      </c>
      <c r="T438" s="1" t="str">
        <f ca="1">IFERROR(__xludf.DUMMYFUNCTION("""COMPUTED_VALUE"""),"NDIAYE Vanessa")</f>
        <v>NDIAYE Vanessa</v>
      </c>
      <c r="U438" s="1" t="str">
        <f ca="1">IFERROR(__xludf.DUMMYFUNCTION("""COMPUTED_VALUE"""),"NDIAYE Ndiankou")</f>
        <v>NDIAYE Ndiankou</v>
      </c>
      <c r="V438" s="1" t="str">
        <f ca="1">IFERROR(__xludf.DUMMYFUNCTION("""COMPUTED_VALUE"""),"vans6@hotmail.fr")</f>
        <v>vans6@hotmail.fr</v>
      </c>
      <c r="W438" s="1" t="str">
        <f ca="1">IFERROR(__xludf.DUMMYFUNCTION("""COMPUTED_VALUE"""),"ndiankou3@gmail.com")</f>
        <v>ndiankou3@gmail.com</v>
      </c>
      <c r="X438" s="1" t="str">
        <f ca="1">IFERROR(__xludf.DUMMYFUNCTION("""COMPUTED_VALUE"""),"+221 77 185 18 89")</f>
        <v>+221 77 185 18 89</v>
      </c>
      <c r="Y438" s="1" t="str">
        <f ca="1">IFERROR(__xludf.DUMMYFUNCTION("""COMPUTED_VALUE"""),"+221 78 139 04 76")</f>
        <v>+221 78 139 04 76</v>
      </c>
      <c r="Z438" s="1" t="str">
        <f ca="1">IFERROR(__xludf.DUMMYFUNCTION("""COMPUTED_VALUE"""),"+221")</f>
        <v>+221</v>
      </c>
      <c r="AA438" s="1" t="str">
        <f ca="1">IFERROR(__xludf.DUMMYFUNCTION("""COMPUTED_VALUE"""),"+33 7 68 03 54 28")</f>
        <v>+33 7 68 03 54 28</v>
      </c>
      <c r="AB438" s="2">
        <f ca="1">IFERROR(__xludf.DUMMYFUNCTION("""COMPUTED_VALUE"""),30094)</f>
        <v>30094</v>
      </c>
      <c r="AC438" s="2">
        <f ca="1">IFERROR(__xludf.DUMMYFUNCTION("""COMPUTED_VALUE"""),30925)</f>
        <v>30925</v>
      </c>
      <c r="AD438" s="1" t="str">
        <f ca="1">IFERROR(__xludf.DUMMYFUNCTION("""COMPUTED_VALUE"""),"MERE")</f>
        <v>MERE</v>
      </c>
      <c r="AE438" s="1" t="str">
        <f ca="1">IFERROR(__xludf.DUMMYFUNCTION("""COMPUTED_VALUE"""),"PERE")</f>
        <v>PERE</v>
      </c>
      <c r="AF438" s="1" t="str">
        <f ca="1">IFERROR(__xludf.DUMMYFUNCTION("""COMPUTED_VALUE"""),"FRANCE")</f>
        <v>FRANCE</v>
      </c>
      <c r="AG438" s="1" t="str">
        <f ca="1">IFERROR(__xludf.DUMMYFUNCTION("""COMPUTED_VALUE"""),"FRANCE")</f>
        <v>FRANCE</v>
      </c>
      <c r="AH438" s="1"/>
      <c r="AI438" s="1" t="str">
        <f ca="1">IFERROR(__xludf.DUMMYFUNCTION("""COMPUTED_VALUE"""),"SENEGAL")</f>
        <v>SENEGAL</v>
      </c>
      <c r="AJ438" s="1" t="str">
        <f ca="1">IFERROR(__xludf.DUMMYFUNCTION("""COMPUTED_VALUE"""),"F1678")</f>
        <v>F1678</v>
      </c>
      <c r="AK438" s="1" t="str">
        <f ca="1">IFERROR(__xludf.DUMMYFUNCTION("""COMPUTED_VALUE"""),"Marié(e)")</f>
        <v>Marié(e)</v>
      </c>
      <c r="AL438" s="1" t="str">
        <f ca="1">IFERROR(__xludf.DUMMYFUNCTION("""COMPUTED_VALUE"""),"Marié(e)")</f>
        <v>Marié(e)</v>
      </c>
      <c r="AM438" s="1" t="str">
        <f ca="1">IFERROR(__xludf.DUMMYFUNCTION("""COMPUTED_VALUE"""),"F1678")</f>
        <v>F1678</v>
      </c>
    </row>
    <row r="439" spans="1:39" ht="13" x14ac:dyDescent="0.15">
      <c r="A439" s="1" t="str">
        <f ca="1">IFERROR(__xludf.DUMMYFUNCTION("""COMPUTED_VALUE"""),"NDIAYE Khadijatou")</f>
        <v>NDIAYE Khadijatou</v>
      </c>
      <c r="B439" s="1" t="str">
        <f ca="1">IFERROR(__xludf.DUMMYFUNCTION("""COMPUTED_VALUE"""),"NDIAYE")</f>
        <v>NDIAYE</v>
      </c>
      <c r="C439" s="1" t="str">
        <f ca="1">IFERROR(__xludf.DUMMYFUNCTION("""COMPUTED_VALUE"""),"Khadijatou")</f>
        <v>Khadijatou</v>
      </c>
      <c r="D439" s="1" t="str">
        <f ca="1">IFERROR(__xludf.DUMMYFUNCTION("""COMPUTED_VALUE"""),"11792S2546")</f>
        <v>11792S2546</v>
      </c>
      <c r="E439" s="2">
        <f ca="1">IFERROR(__xludf.DUMMYFUNCTION("""COMPUTED_VALUE"""),44265)</f>
        <v>44265</v>
      </c>
      <c r="F439" s="1" t="str">
        <f ca="1">IFERROR(__xludf.DUMMYFUNCTION("""COMPUTED_VALUE"""),"Mat 2")</f>
        <v>Mat 2</v>
      </c>
      <c r="G439" s="1" t="str">
        <f ca="1">IFERROR(__xludf.DUMMYFUNCTION("""COMPUTED_VALUE"""),"MS")</f>
        <v>MS</v>
      </c>
      <c r="H439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439" s="1"/>
      <c r="J439" s="1"/>
      <c r="K439" s="1"/>
      <c r="L439" s="1"/>
      <c r="M439" s="1"/>
      <c r="N439" s="1" t="str">
        <f ca="1">IFERROR(__xludf.DUMMYFUNCTION("""COMPUTED_VALUE"""),"Fille")</f>
        <v>Fille</v>
      </c>
      <c r="O439" s="1"/>
      <c r="P439" s="1" t="str">
        <f ca="1">IFERROR(__xludf.DUMMYFUNCTION("""COMPUTED_VALUE"""),"FRANCE")</f>
        <v>FRANCE</v>
      </c>
      <c r="Q439" s="1"/>
      <c r="R439" s="1"/>
      <c r="S439" s="1" t="str">
        <f ca="1">IFERROR(__xludf.DUMMYFUNCTION("""COMPUTED_VALUE"""),"+221")</f>
        <v>+221</v>
      </c>
      <c r="T439" s="1" t="str">
        <f ca="1">IFERROR(__xludf.DUMMYFUNCTION("""COMPUTED_VALUE"""),"NDIAYE Maritaw")</f>
        <v>NDIAYE Maritaw</v>
      </c>
      <c r="U439" s="1" t="str">
        <f ca="1">IFERROR(__xludf.DUMMYFUNCTION("""COMPUTED_VALUE"""),"SOW Aminata")</f>
        <v>SOW Aminata</v>
      </c>
      <c r="V439" s="1" t="str">
        <f ca="1">IFERROR(__xludf.DUMMYFUNCTION("""COMPUTED_VALUE"""),"maritaw.ndiaye@gmail.com")</f>
        <v>maritaw.ndiaye@gmail.com</v>
      </c>
      <c r="W439" s="1" t="str">
        <f ca="1">IFERROR(__xludf.DUMMYFUNCTION("""COMPUTED_VALUE"""),"aminaniokh@gmail.com")</f>
        <v>aminaniokh@gmail.com</v>
      </c>
      <c r="X439" s="1" t="str">
        <f ca="1">IFERROR(__xludf.DUMMYFUNCTION("""COMPUTED_VALUE"""),"+221 76 025 17 22")</f>
        <v>+221 76 025 17 22</v>
      </c>
      <c r="Y439" s="1" t="str">
        <f ca="1">IFERROR(__xludf.DUMMYFUNCTION("""COMPUTED_VALUE"""),"+33 6 15 25 25 56")</f>
        <v>+33 6 15 25 25 56</v>
      </c>
      <c r="Z439" s="1" t="str">
        <f ca="1">IFERROR(__xludf.DUMMYFUNCTION("""COMPUTED_VALUE"""),"+33 6 95 17 37 79")</f>
        <v>+33 6 95 17 37 79</v>
      </c>
      <c r="AA439" s="1" t="str">
        <f ca="1">IFERROR(__xludf.DUMMYFUNCTION("""COMPUTED_VALUE"""),"+221 78 868 50 38")</f>
        <v>+221 78 868 50 38</v>
      </c>
      <c r="AB439" s="2">
        <f ca="1">IFERROR(__xludf.DUMMYFUNCTION("""COMPUTED_VALUE"""),29907)</f>
        <v>29907</v>
      </c>
      <c r="AC439" s="2">
        <f ca="1">IFERROR(__xludf.DUMMYFUNCTION("""COMPUTED_VALUE"""),32097)</f>
        <v>32097</v>
      </c>
      <c r="AD439" s="1" t="str">
        <f ca="1">IFERROR(__xludf.DUMMYFUNCTION("""COMPUTED_VALUE"""),"PERE")</f>
        <v>PERE</v>
      </c>
      <c r="AE439" s="1" t="str">
        <f ca="1">IFERROR(__xludf.DUMMYFUNCTION("""COMPUTED_VALUE"""),"MERE")</f>
        <v>MERE</v>
      </c>
      <c r="AF439" s="1" t="str">
        <f ca="1">IFERROR(__xludf.DUMMYFUNCTION("""COMPUTED_VALUE"""),"FRANCE")</f>
        <v>FRANCE</v>
      </c>
      <c r="AG439" s="1" t="str">
        <f ca="1">IFERROR(__xludf.DUMMYFUNCTION("""COMPUTED_VALUE"""),"SENEGAL")</f>
        <v>SENEGAL</v>
      </c>
      <c r="AH439" s="1" t="str">
        <f ca="1">IFERROR(__xludf.DUMMYFUNCTION("""COMPUTED_VALUE"""),"SENEGAL")</f>
        <v>SENEGAL</v>
      </c>
      <c r="AI439" s="1"/>
      <c r="AJ439" s="1" t="str">
        <f ca="1">IFERROR(__xludf.DUMMYFUNCTION("""COMPUTED_VALUE"""),"U11792")</f>
        <v>U11792</v>
      </c>
      <c r="AK439" s="1" t="str">
        <f ca="1">IFERROR(__xludf.DUMMYFUNCTION("""COMPUTED_VALUE"""),"Marié(e)")</f>
        <v>Marié(e)</v>
      </c>
      <c r="AL439" s="1" t="str">
        <f ca="1">IFERROR(__xludf.DUMMYFUNCTION("""COMPUTED_VALUE"""),"Marié(e)")</f>
        <v>Marié(e)</v>
      </c>
      <c r="AM439" s="1" t="str">
        <f ca="1">IFERROR(__xludf.DUMMYFUNCTION("""COMPUTED_VALUE"""),"U11792")</f>
        <v>U11792</v>
      </c>
    </row>
    <row r="440" spans="1:39" ht="13" x14ac:dyDescent="0.15">
      <c r="A440" s="1" t="str">
        <f ca="1">IFERROR(__xludf.DUMMYFUNCTION("""COMPUTED_VALUE"""),"NDIAYE Maty")</f>
        <v>NDIAYE Maty</v>
      </c>
      <c r="B440" s="1" t="str">
        <f ca="1">IFERROR(__xludf.DUMMYFUNCTION("""COMPUTED_VALUE"""),"NDIAYE")</f>
        <v>NDIAYE</v>
      </c>
      <c r="C440" s="1" t="str">
        <f ca="1">IFERROR(__xludf.DUMMYFUNCTION("""COMPUTED_VALUE"""),"Maty")</f>
        <v>Maty</v>
      </c>
      <c r="D440" s="1" t="str">
        <f ca="1">IFERROR(__xludf.DUMMYFUNCTION("""COMPUTED_VALUE"""),"11877S2720")</f>
        <v>11877S2720</v>
      </c>
      <c r="E440" s="2">
        <f ca="1">IFERROR(__xludf.DUMMYFUNCTION("""COMPUTED_VALUE"""),40036)</f>
        <v>40036</v>
      </c>
      <c r="F440" s="1" t="str">
        <f ca="1">IFERROR(__xludf.DUMMYFUNCTION("""COMPUTED_VALUE"""),"1ERE2")</f>
        <v>1ERE2</v>
      </c>
      <c r="G440" s="1" t="str">
        <f ca="1">IFERROR(__xludf.DUMMYFUNCTION("""COMPUTED_VALUE"""),"1ère")</f>
        <v>1ère</v>
      </c>
      <c r="H440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440" s="1" t="str">
        <f ca="1">IFERROR(__xludf.DUMMYFUNCTION("""COMPUTED_VALUE"""),"LVA Anglais")</f>
        <v>LVA Anglais</v>
      </c>
      <c r="J440" s="1" t="str">
        <f ca="1">IFERROR(__xludf.DUMMYFUNCTION("""COMPUTED_VALUE"""),"LVB Espagnol")</f>
        <v>LVB Espagnol</v>
      </c>
      <c r="K440" s="1"/>
      <c r="L440" s="1"/>
      <c r="M440" s="1" t="str">
        <f ca="1">IFERROR(__xludf.DUMMYFUNCTION("""COMPUTED_VALUE"""),"SPE MATHS, SPE SPC, SPE SVT")</f>
        <v>SPE MATHS, SPE SPC, SPE SVT</v>
      </c>
      <c r="N440" s="1" t="str">
        <f ca="1">IFERROR(__xludf.DUMMYFUNCTION("""COMPUTED_VALUE"""),"Fille")</f>
        <v>Fille</v>
      </c>
      <c r="O440" s="1"/>
      <c r="P440" s="1" t="str">
        <f ca="1">IFERROR(__xludf.DUMMYFUNCTION("""COMPUTED_VALUE"""),"SENEGAL")</f>
        <v>SENEGAL</v>
      </c>
      <c r="Q440" s="1" t="str">
        <f ca="1">IFERROR(__xludf.DUMMYFUNCTION("""COMPUTED_VALUE"""),"SENEGAL")</f>
        <v>SENEGAL</v>
      </c>
      <c r="R440" s="1" t="str">
        <f ca="1">IFERROR(__xludf.DUMMYFUNCTION("""COMPUTED_VALUE"""),"maty.ndiaye@lfjpsaly.org")</f>
        <v>maty.ndiaye@lfjpsaly.org</v>
      </c>
      <c r="S440" s="1" t="str">
        <f ca="1">IFERROR(__xludf.DUMMYFUNCTION("""COMPUTED_VALUE"""),"+221 77 552 99 31")</f>
        <v>+221 77 552 99 31</v>
      </c>
      <c r="T440" s="1" t="str">
        <f ca="1">IFERROR(__xludf.DUMMYFUNCTION("""COMPUTED_VALUE"""),"NDIAYE Mamadou")</f>
        <v>NDIAYE Mamadou</v>
      </c>
      <c r="U440" s="1" t="str">
        <f ca="1">IFERROR(__xludf.DUMMYFUNCTION("""COMPUTED_VALUE"""),"DIOP Aminata")</f>
        <v>DIOP Aminata</v>
      </c>
      <c r="V440" s="1" t="str">
        <f ca="1">IFERROR(__xludf.DUMMYFUNCTION("""COMPUTED_VALUE"""),"ndiayekine@gmail.com")</f>
        <v>ndiayekine@gmail.com</v>
      </c>
      <c r="W440" s="1" t="str">
        <f ca="1">IFERROR(__xludf.DUMMYFUNCTION("""COMPUTED_VALUE"""),"aminatoch@hotmail.fr")</f>
        <v>aminatoch@hotmail.fr</v>
      </c>
      <c r="X440" s="1" t="str">
        <f ca="1">IFERROR(__xludf.DUMMYFUNCTION("""COMPUTED_VALUE"""),"+221 77 552 99 31")</f>
        <v>+221 77 552 99 31</v>
      </c>
      <c r="Y440" s="1" t="str">
        <f ca="1">IFERROR(__xludf.DUMMYFUNCTION("""COMPUTED_VALUE"""),"+221 77 421 70 03")</f>
        <v>+221 77 421 70 03</v>
      </c>
      <c r="Z440" s="1" t="str">
        <f ca="1">IFERROR(__xludf.DUMMYFUNCTION("""COMPUTED_VALUE"""),"+221 77 552 99 31")</f>
        <v>+221 77 552 99 31</v>
      </c>
      <c r="AA440" s="1" t="str">
        <f ca="1">IFERROR(__xludf.DUMMYFUNCTION("""COMPUTED_VALUE"""),"+221 77 421 70 03")</f>
        <v>+221 77 421 70 03</v>
      </c>
      <c r="AB440" s="2">
        <f ca="1">IFERROR(__xludf.DUMMYFUNCTION("""COMPUTED_VALUE"""),27990)</f>
        <v>27990</v>
      </c>
      <c r="AC440" s="2">
        <f ca="1">IFERROR(__xludf.DUMMYFUNCTION("""COMPUTED_VALUE"""),29712)</f>
        <v>29712</v>
      </c>
      <c r="AD440" s="1" t="str">
        <f ca="1">IFERROR(__xludf.DUMMYFUNCTION("""COMPUTED_VALUE"""),"PERE")</f>
        <v>PERE</v>
      </c>
      <c r="AE440" s="1" t="str">
        <f ca="1">IFERROR(__xludf.DUMMYFUNCTION("""COMPUTED_VALUE"""),"MERE")</f>
        <v>MERE</v>
      </c>
      <c r="AF440" s="1" t="str">
        <f ca="1">IFERROR(__xludf.DUMMYFUNCTION("""COMPUTED_VALUE"""),"SENEGAL")</f>
        <v>SENEGAL</v>
      </c>
      <c r="AG440" s="1" t="str">
        <f ca="1">IFERROR(__xludf.DUMMYFUNCTION("""COMPUTED_VALUE"""),"SENEGAL")</f>
        <v>SENEGAL</v>
      </c>
      <c r="AH440" s="1"/>
      <c r="AI440" s="1"/>
      <c r="AJ440" s="1" t="str">
        <f ca="1">IFERROR(__xludf.DUMMYFUNCTION("""COMPUTED_VALUE"""),"U11877")</f>
        <v>U11877</v>
      </c>
      <c r="AK440" s="1" t="str">
        <f ca="1">IFERROR(__xludf.DUMMYFUNCTION("""COMPUTED_VALUE"""),"Marié(e)")</f>
        <v>Marié(e)</v>
      </c>
      <c r="AL440" s="1" t="str">
        <f ca="1">IFERROR(__xludf.DUMMYFUNCTION("""COMPUTED_VALUE"""),"Marié(e)")</f>
        <v>Marié(e)</v>
      </c>
      <c r="AM440" s="1" t="str">
        <f ca="1">IFERROR(__xludf.DUMMYFUNCTION("""COMPUTED_VALUE"""),"U11877")</f>
        <v>U11877</v>
      </c>
    </row>
    <row r="441" spans="1:39" ht="13" x14ac:dyDescent="0.15">
      <c r="A441" s="1" t="str">
        <f ca="1">IFERROR(__xludf.DUMMYFUNCTION("""COMPUTED_VALUE"""),"NDIAYE Ndella")</f>
        <v>NDIAYE Ndella</v>
      </c>
      <c r="B441" s="1" t="str">
        <f ca="1">IFERROR(__xludf.DUMMYFUNCTION("""COMPUTED_VALUE"""),"NDIAYE")</f>
        <v>NDIAYE</v>
      </c>
      <c r="C441" s="1" t="str">
        <f ca="1">IFERROR(__xludf.DUMMYFUNCTION("""COMPUTED_VALUE"""),"Ndella")</f>
        <v>Ndella</v>
      </c>
      <c r="D441" s="1" t="str">
        <f ca="1">IFERROR(__xludf.DUMMYFUNCTION("""COMPUTED_VALUE"""),"1482E1")</f>
        <v>1482E1</v>
      </c>
      <c r="E441" s="2">
        <f ca="1">IFERROR(__xludf.DUMMYFUNCTION("""COMPUTED_VALUE"""),44084)</f>
        <v>44084</v>
      </c>
      <c r="F441" s="1" t="str">
        <f ca="1">IFERROR(__xludf.DUMMYFUNCTION("""COMPUTED_VALUE"""),"Mat 2")</f>
        <v>Mat 2</v>
      </c>
      <c r="G441" s="1" t="str">
        <f ca="1">IFERROR(__xludf.DUMMYFUNCTION("""COMPUTED_VALUE"""),"GS")</f>
        <v>GS</v>
      </c>
      <c r="H441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441" s="1"/>
      <c r="J441" s="1"/>
      <c r="K441" s="1"/>
      <c r="L441" s="1"/>
      <c r="M441" s="1"/>
      <c r="N441" s="1" t="str">
        <f ca="1">IFERROR(__xludf.DUMMYFUNCTION("""COMPUTED_VALUE"""),"Fille")</f>
        <v>Fille</v>
      </c>
      <c r="O441" s="1"/>
      <c r="P441" s="1" t="str">
        <f ca="1">IFERROR(__xludf.DUMMYFUNCTION("""COMPUTED_VALUE"""),"SENEGAL")</f>
        <v>SENEGAL</v>
      </c>
      <c r="Q441" s="1" t="str">
        <f ca="1">IFERROR(__xludf.DUMMYFUNCTION("""COMPUTED_VALUE"""),"FRANCE")</f>
        <v>FRANCE</v>
      </c>
      <c r="R441" s="1"/>
      <c r="S441" s="1"/>
      <c r="T441" s="1" t="str">
        <f ca="1">IFERROR(__xludf.DUMMYFUNCTION("""COMPUTED_VALUE"""),"NDIAYE Souham Sophie")</f>
        <v>NDIAYE Souham Sophie</v>
      </c>
      <c r="U441" s="1" t="str">
        <f ca="1">IFERROR(__xludf.DUMMYFUNCTION("""COMPUTED_VALUE"""),"NDIAYE Waly")</f>
        <v>NDIAYE Waly</v>
      </c>
      <c r="V441" s="1" t="str">
        <f ca="1">IFERROR(__xludf.DUMMYFUNCTION("""COMPUTED_VALUE"""),"souhamsophiec@yahoo.fr")</f>
        <v>souhamsophiec@yahoo.fr</v>
      </c>
      <c r="W441" s="1" t="str">
        <f ca="1">IFERROR(__xludf.DUMMYFUNCTION("""COMPUTED_VALUE"""),"walyandrendiaye@gmail.com")</f>
        <v>walyandrendiaye@gmail.com</v>
      </c>
      <c r="X441" s="1" t="str">
        <f ca="1">IFERROR(__xludf.DUMMYFUNCTION("""COMPUTED_VALUE"""),"+221 77 815 93 71")</f>
        <v>+221 77 815 93 71</v>
      </c>
      <c r="Y441" s="1" t="str">
        <f ca="1">IFERROR(__xludf.DUMMYFUNCTION("""COMPUTED_VALUE"""),"+221 78 715 00 42")</f>
        <v>+221 78 715 00 42</v>
      </c>
      <c r="Z441" s="1" t="str">
        <f ca="1">IFERROR(__xludf.DUMMYFUNCTION("""COMPUTED_VALUE"""),"+221")</f>
        <v>+221</v>
      </c>
      <c r="AA441" s="1" t="str">
        <f ca="1">IFERROR(__xludf.DUMMYFUNCTION("""COMPUTED_VALUE"""),"+221")</f>
        <v>+221</v>
      </c>
      <c r="AB441" s="2">
        <f ca="1">IFERROR(__xludf.DUMMYFUNCTION("""COMPUTED_VALUE"""),30321)</f>
        <v>30321</v>
      </c>
      <c r="AC441" s="2">
        <f ca="1">IFERROR(__xludf.DUMMYFUNCTION("""COMPUTED_VALUE"""),26395)</f>
        <v>26395</v>
      </c>
      <c r="AD441" s="1" t="str">
        <f ca="1">IFERROR(__xludf.DUMMYFUNCTION("""COMPUTED_VALUE"""),"MERE")</f>
        <v>MERE</v>
      </c>
      <c r="AE441" s="1" t="str">
        <f ca="1">IFERROR(__xludf.DUMMYFUNCTION("""COMPUTED_VALUE"""),"PERE")</f>
        <v>PERE</v>
      </c>
      <c r="AF441" s="1" t="str">
        <f ca="1">IFERROR(__xludf.DUMMYFUNCTION("""COMPUTED_VALUE"""),"SENEGAL")</f>
        <v>SENEGAL</v>
      </c>
      <c r="AG441" s="1" t="str">
        <f ca="1">IFERROR(__xludf.DUMMYFUNCTION("""COMPUTED_VALUE"""),"FRANCE")</f>
        <v>FRANCE</v>
      </c>
      <c r="AH441" s="1"/>
      <c r="AI441" s="1" t="str">
        <f ca="1">IFERROR(__xludf.DUMMYFUNCTION("""COMPUTED_VALUE"""),"SENEGAL")</f>
        <v>SENEGAL</v>
      </c>
      <c r="AJ441" s="1" t="str">
        <f ca="1">IFERROR(__xludf.DUMMYFUNCTION("""COMPUTED_VALUE"""),"F1482")</f>
        <v>F1482</v>
      </c>
      <c r="AK441" s="1" t="str">
        <f ca="1">IFERROR(__xludf.DUMMYFUNCTION("""COMPUTED_VALUE"""),"Marié(e)")</f>
        <v>Marié(e)</v>
      </c>
      <c r="AL441" s="1" t="str">
        <f ca="1">IFERROR(__xludf.DUMMYFUNCTION("""COMPUTED_VALUE"""),"Marié(e)")</f>
        <v>Marié(e)</v>
      </c>
      <c r="AM441" s="1" t="str">
        <f ca="1">IFERROR(__xludf.DUMMYFUNCTION("""COMPUTED_VALUE"""),"F1482")</f>
        <v>F1482</v>
      </c>
    </row>
    <row r="442" spans="1:39" ht="13" x14ac:dyDescent="0.15">
      <c r="A442" s="1" t="str">
        <f ca="1">IFERROR(__xludf.DUMMYFUNCTION("""COMPUTED_VALUE"""),"NDIAYE Seynabou Chantal")</f>
        <v>NDIAYE Seynabou Chantal</v>
      </c>
      <c r="B442" s="1" t="str">
        <f ca="1">IFERROR(__xludf.DUMMYFUNCTION("""COMPUTED_VALUE"""),"NDIAYE")</f>
        <v>NDIAYE</v>
      </c>
      <c r="C442" s="1" t="str">
        <f ca="1">IFERROR(__xludf.DUMMYFUNCTION("""COMPUTED_VALUE"""),"Seynabou Chantal")</f>
        <v>Seynabou Chantal</v>
      </c>
      <c r="D442" s="1" t="str">
        <f ca="1">IFERROR(__xludf.DUMMYFUNCTION("""COMPUTED_VALUE"""),"1483E1")</f>
        <v>1483E1</v>
      </c>
      <c r="E442" s="2">
        <f ca="1">IFERROR(__xludf.DUMMYFUNCTION("""COMPUTED_VALUE"""),41836)</f>
        <v>41836</v>
      </c>
      <c r="F442" s="1" t="str">
        <f ca="1">IFERROR(__xludf.DUMMYFUNCTION("""COMPUTED_VALUE"""),"6EME1")</f>
        <v>6EME1</v>
      </c>
      <c r="G442" s="1" t="str">
        <f ca="1">IFERROR(__xludf.DUMMYFUNCTION("""COMPUTED_VALUE"""),"6ème")</f>
        <v>6ème</v>
      </c>
      <c r="H442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442" s="1" t="str">
        <f ca="1">IFERROR(__xludf.DUMMYFUNCTION("""COMPUTED_VALUE"""),"LVA Anglais")</f>
        <v>LVA Anglais</v>
      </c>
      <c r="J442" s="1" t="str">
        <f ca="1">IFERROR(__xludf.DUMMYFUNCTION("""COMPUTED_VALUE"""),"LVB Espagnol")</f>
        <v>LVB Espagnol</v>
      </c>
      <c r="K442" s="1"/>
      <c r="L442" s="1"/>
      <c r="M442" s="1"/>
      <c r="N442" s="1" t="str">
        <f ca="1">IFERROR(__xludf.DUMMYFUNCTION("""COMPUTED_VALUE"""),"Fille")</f>
        <v>Fille</v>
      </c>
      <c r="O442" s="1"/>
      <c r="P442" s="1" t="str">
        <f ca="1">IFERROR(__xludf.DUMMYFUNCTION("""COMPUTED_VALUE"""),"FRANCE")</f>
        <v>FRANCE</v>
      </c>
      <c r="Q442" s="1" t="str">
        <f ca="1">IFERROR(__xludf.DUMMYFUNCTION("""COMPUTED_VALUE"""),"SENEGAL")</f>
        <v>SENEGAL</v>
      </c>
      <c r="R442" s="1" t="str">
        <f ca="1">IFERROR(__xludf.DUMMYFUNCTION("""COMPUTED_VALUE"""),"seynabou.ndiaye@lfjpsaly.org")</f>
        <v>seynabou.ndiaye@lfjpsaly.org</v>
      </c>
      <c r="S442" s="1"/>
      <c r="T442" s="1" t="str">
        <f ca="1">IFERROR(__xludf.DUMMYFUNCTION("""COMPUTED_VALUE"""),"NDIAYE Solène")</f>
        <v>NDIAYE Solène</v>
      </c>
      <c r="U442" s="1" t="str">
        <f ca="1">IFERROR(__xludf.DUMMYFUNCTION("""COMPUTED_VALUE"""),"NDIAYE Alassane")</f>
        <v>NDIAYE Alassane</v>
      </c>
      <c r="V442" s="1" t="str">
        <f ca="1">IFERROR(__xludf.DUMMYFUNCTION("""COMPUTED_VALUE"""),"solene.ndiaye@gmail.com")</f>
        <v>solene.ndiaye@gmail.com</v>
      </c>
      <c r="W442" s="1" t="str">
        <f ca="1">IFERROR(__xludf.DUMMYFUNCTION("""COMPUTED_VALUE"""),"aloujudo@gmail.com")</f>
        <v>aloujudo@gmail.com</v>
      </c>
      <c r="X442" s="1" t="str">
        <f ca="1">IFERROR(__xludf.DUMMYFUNCTION("""COMPUTED_VALUE"""),"+221 78 483 44 34")</f>
        <v>+221 78 483 44 34</v>
      </c>
      <c r="Y442" s="1" t="str">
        <f ca="1">IFERROR(__xludf.DUMMYFUNCTION("""COMPUTED_VALUE"""),"+221 77 751 82 08")</f>
        <v>+221 77 751 82 08</v>
      </c>
      <c r="Z442" s="1" t="str">
        <f ca="1">IFERROR(__xludf.DUMMYFUNCTION("""COMPUTED_VALUE"""),"+221 78 483 44 34")</f>
        <v>+221 78 483 44 34</v>
      </c>
      <c r="AA442" s="1" t="str">
        <f ca="1">IFERROR(__xludf.DUMMYFUNCTION("""COMPUTED_VALUE"""),"+221 77 751 82 08")</f>
        <v>+221 77 751 82 08</v>
      </c>
      <c r="AB442" s="2">
        <f ca="1">IFERROR(__xludf.DUMMYFUNCTION("""COMPUTED_VALUE"""),29556)</f>
        <v>29556</v>
      </c>
      <c r="AC442" s="2">
        <f ca="1">IFERROR(__xludf.DUMMYFUNCTION("""COMPUTED_VALUE"""),28129)</f>
        <v>28129</v>
      </c>
      <c r="AD442" s="1" t="str">
        <f ca="1">IFERROR(__xludf.DUMMYFUNCTION("""COMPUTED_VALUE"""),"MERE")</f>
        <v>MERE</v>
      </c>
      <c r="AE442" s="1" t="str">
        <f ca="1">IFERROR(__xludf.DUMMYFUNCTION("""COMPUTED_VALUE"""),"PERE")</f>
        <v>PERE</v>
      </c>
      <c r="AF442" s="1" t="str">
        <f ca="1">IFERROR(__xludf.DUMMYFUNCTION("""COMPUTED_VALUE"""),"FRANCE")</f>
        <v>FRANCE</v>
      </c>
      <c r="AG442" s="1" t="str">
        <f ca="1">IFERROR(__xludf.DUMMYFUNCTION("""COMPUTED_VALUE"""),"FRANCE")</f>
        <v>FRANCE</v>
      </c>
      <c r="AH442" s="1" t="str">
        <f ca="1">IFERROR(__xludf.DUMMYFUNCTION("""COMPUTED_VALUE"""),"SENEGAL")</f>
        <v>SENEGAL</v>
      </c>
      <c r="AI442" s="1" t="str">
        <f ca="1">IFERROR(__xludf.DUMMYFUNCTION("""COMPUTED_VALUE"""),"SENEGAL")</f>
        <v>SENEGAL</v>
      </c>
      <c r="AJ442" s="1" t="str">
        <f ca="1">IFERROR(__xludf.DUMMYFUNCTION("""COMPUTED_VALUE"""),"F1483")</f>
        <v>F1483</v>
      </c>
      <c r="AK442" s="1" t="str">
        <f ca="1">IFERROR(__xludf.DUMMYFUNCTION("""COMPUTED_VALUE"""),"Marié(e)")</f>
        <v>Marié(e)</v>
      </c>
      <c r="AL442" s="1" t="str">
        <f ca="1">IFERROR(__xludf.DUMMYFUNCTION("""COMPUTED_VALUE"""),"Marié(e)")</f>
        <v>Marié(e)</v>
      </c>
      <c r="AM442" s="1" t="str">
        <f ca="1">IFERROR(__xludf.DUMMYFUNCTION("""COMPUTED_VALUE"""),"F1483")</f>
        <v>F1483</v>
      </c>
    </row>
    <row r="443" spans="1:39" ht="13" x14ac:dyDescent="0.15">
      <c r="A443" s="1" t="str">
        <f ca="1">IFERROR(__xludf.DUMMYFUNCTION("""COMPUTED_VALUE"""),"NDIAYE Soukaïna  Dibor")</f>
        <v>NDIAYE Soukaïna  Dibor</v>
      </c>
      <c r="B443" s="1" t="str">
        <f ca="1">IFERROR(__xludf.DUMMYFUNCTION("""COMPUTED_VALUE"""),"NDIAYE")</f>
        <v>NDIAYE</v>
      </c>
      <c r="C443" s="1" t="str">
        <f ca="1">IFERROR(__xludf.DUMMYFUNCTION("""COMPUTED_VALUE"""),"Soukaïna  Dibor")</f>
        <v>Soukaïna  Dibor</v>
      </c>
      <c r="D443" s="1" t="str">
        <f ca="1">IFERROR(__xludf.DUMMYFUNCTION("""COMPUTED_VALUE"""),"1483E2")</f>
        <v>1483E2</v>
      </c>
      <c r="E443" s="2">
        <f ca="1">IFERROR(__xludf.DUMMYFUNCTION("""COMPUTED_VALUE"""),40848)</f>
        <v>40848</v>
      </c>
      <c r="F443" s="1" t="str">
        <f ca="1">IFERROR(__xludf.DUMMYFUNCTION("""COMPUTED_VALUE"""),"3EME2")</f>
        <v>3EME2</v>
      </c>
      <c r="G443" s="1" t="str">
        <f ca="1">IFERROR(__xludf.DUMMYFUNCTION("""COMPUTED_VALUE"""),"3ème")</f>
        <v>3ème</v>
      </c>
      <c r="H443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443" s="1" t="str">
        <f ca="1">IFERROR(__xludf.DUMMYFUNCTION("""COMPUTED_VALUE"""),"LVA Anglais")</f>
        <v>LVA Anglais</v>
      </c>
      <c r="J443" s="1" t="str">
        <f ca="1">IFERROR(__xludf.DUMMYFUNCTION("""COMPUTED_VALUE"""),"LVB Espagnol")</f>
        <v>LVB Espagnol</v>
      </c>
      <c r="K443" s="1"/>
      <c r="L443" s="1"/>
      <c r="M443" s="1"/>
      <c r="N443" s="1" t="str">
        <f ca="1">IFERROR(__xludf.DUMMYFUNCTION("""COMPUTED_VALUE"""),"Fille")</f>
        <v>Fille</v>
      </c>
      <c r="O443" s="1"/>
      <c r="P443" s="1" t="str">
        <f ca="1">IFERROR(__xludf.DUMMYFUNCTION("""COMPUTED_VALUE"""),"FRANCE")</f>
        <v>FRANCE</v>
      </c>
      <c r="Q443" s="1" t="str">
        <f ca="1">IFERROR(__xludf.DUMMYFUNCTION("""COMPUTED_VALUE"""),"SENEGAL")</f>
        <v>SENEGAL</v>
      </c>
      <c r="R443" s="1" t="str">
        <f ca="1">IFERROR(__xludf.DUMMYFUNCTION("""COMPUTED_VALUE"""),"soukaina.ndiaye@lfjpsaly.org")</f>
        <v>soukaina.ndiaye@lfjpsaly.org</v>
      </c>
      <c r="S443" s="1" t="str">
        <f ca="1">IFERROR(__xludf.DUMMYFUNCTION("""COMPUTED_VALUE"""),"+221 77 645 43 52")</f>
        <v>+221 77 645 43 52</v>
      </c>
      <c r="T443" s="1" t="str">
        <f ca="1">IFERROR(__xludf.DUMMYFUNCTION("""COMPUTED_VALUE"""),"NDIAYE Solène")</f>
        <v>NDIAYE Solène</v>
      </c>
      <c r="U443" s="1" t="str">
        <f ca="1">IFERROR(__xludf.DUMMYFUNCTION("""COMPUTED_VALUE"""),"NDIAYE Alassane")</f>
        <v>NDIAYE Alassane</v>
      </c>
      <c r="V443" s="1" t="str">
        <f ca="1">IFERROR(__xludf.DUMMYFUNCTION("""COMPUTED_VALUE"""),"solene.ndiaye@gmail.com")</f>
        <v>solene.ndiaye@gmail.com</v>
      </c>
      <c r="W443" s="1" t="str">
        <f ca="1">IFERROR(__xludf.DUMMYFUNCTION("""COMPUTED_VALUE"""),"aloujudo@gmail.com")</f>
        <v>aloujudo@gmail.com</v>
      </c>
      <c r="X443" s="1" t="str">
        <f ca="1">IFERROR(__xludf.DUMMYFUNCTION("""COMPUTED_VALUE"""),"+221 78 483 44 34")</f>
        <v>+221 78 483 44 34</v>
      </c>
      <c r="Y443" s="1" t="str">
        <f ca="1">IFERROR(__xludf.DUMMYFUNCTION("""COMPUTED_VALUE"""),"+221 77 751 82 08")</f>
        <v>+221 77 751 82 08</v>
      </c>
      <c r="Z443" s="1" t="str">
        <f ca="1">IFERROR(__xludf.DUMMYFUNCTION("""COMPUTED_VALUE"""),"+221 78 483 44 34")</f>
        <v>+221 78 483 44 34</v>
      </c>
      <c r="AA443" s="1" t="str">
        <f ca="1">IFERROR(__xludf.DUMMYFUNCTION("""COMPUTED_VALUE"""),"+221 77 751 82 08")</f>
        <v>+221 77 751 82 08</v>
      </c>
      <c r="AB443" s="2">
        <f ca="1">IFERROR(__xludf.DUMMYFUNCTION("""COMPUTED_VALUE"""),29556)</f>
        <v>29556</v>
      </c>
      <c r="AC443" s="2">
        <f ca="1">IFERROR(__xludf.DUMMYFUNCTION("""COMPUTED_VALUE"""),28129)</f>
        <v>28129</v>
      </c>
      <c r="AD443" s="1" t="str">
        <f ca="1">IFERROR(__xludf.DUMMYFUNCTION("""COMPUTED_VALUE"""),"MERE")</f>
        <v>MERE</v>
      </c>
      <c r="AE443" s="1" t="str">
        <f ca="1">IFERROR(__xludf.DUMMYFUNCTION("""COMPUTED_VALUE"""),"PERE")</f>
        <v>PERE</v>
      </c>
      <c r="AF443" s="1" t="str">
        <f ca="1">IFERROR(__xludf.DUMMYFUNCTION("""COMPUTED_VALUE"""),"FRANCE")</f>
        <v>FRANCE</v>
      </c>
      <c r="AG443" s="1" t="str">
        <f ca="1">IFERROR(__xludf.DUMMYFUNCTION("""COMPUTED_VALUE"""),"FRANCE")</f>
        <v>FRANCE</v>
      </c>
      <c r="AH443" s="1" t="str">
        <f ca="1">IFERROR(__xludf.DUMMYFUNCTION("""COMPUTED_VALUE"""),"SENEGAL")</f>
        <v>SENEGAL</v>
      </c>
      <c r="AI443" s="1" t="str">
        <f ca="1">IFERROR(__xludf.DUMMYFUNCTION("""COMPUTED_VALUE"""),"SENEGAL")</f>
        <v>SENEGAL</v>
      </c>
      <c r="AJ443" s="1" t="str">
        <f ca="1">IFERROR(__xludf.DUMMYFUNCTION("""COMPUTED_VALUE"""),"F1483")</f>
        <v>F1483</v>
      </c>
      <c r="AK443" s="1" t="str">
        <f ca="1">IFERROR(__xludf.DUMMYFUNCTION("""COMPUTED_VALUE"""),"Marié(e)")</f>
        <v>Marié(e)</v>
      </c>
      <c r="AL443" s="1" t="str">
        <f ca="1">IFERROR(__xludf.DUMMYFUNCTION("""COMPUTED_VALUE"""),"Marié(e)")</f>
        <v>Marié(e)</v>
      </c>
      <c r="AM443" s="1" t="str">
        <f ca="1">IFERROR(__xludf.DUMMYFUNCTION("""COMPUTED_VALUE"""),"F1483")</f>
        <v>F1483</v>
      </c>
    </row>
    <row r="444" spans="1:39" ht="13" x14ac:dyDescent="0.15">
      <c r="A444" s="1" t="str">
        <f ca="1">IFERROR(__xludf.DUMMYFUNCTION("""COMPUTED_VALUE"""),"NDIAYE Souleymane")</f>
        <v>NDIAYE Souleymane</v>
      </c>
      <c r="B444" s="1" t="str">
        <f ca="1">IFERROR(__xludf.DUMMYFUNCTION("""COMPUTED_VALUE"""),"NDIAYE")</f>
        <v>NDIAYE</v>
      </c>
      <c r="C444" s="1" t="str">
        <f ca="1">IFERROR(__xludf.DUMMYFUNCTION("""COMPUTED_VALUE"""),"Souleymane")</f>
        <v>Souleymane</v>
      </c>
      <c r="D444" s="1" t="str">
        <f ca="1">IFERROR(__xludf.DUMMYFUNCTION("""COMPUTED_VALUE"""),"1484E2")</f>
        <v>1484E2</v>
      </c>
      <c r="E444" s="2">
        <f ca="1">IFERROR(__xludf.DUMMYFUNCTION("""COMPUTED_VALUE"""),41863)</f>
        <v>41863</v>
      </c>
      <c r="F444" s="1" t="str">
        <f ca="1">IFERROR(__xludf.DUMMYFUNCTION("""COMPUTED_VALUE"""),"6EME2")</f>
        <v>6EME2</v>
      </c>
      <c r="G444" s="1" t="str">
        <f ca="1">IFERROR(__xludf.DUMMYFUNCTION("""COMPUTED_VALUE"""),"6ème")</f>
        <v>6ème</v>
      </c>
      <c r="H444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444" s="1" t="str">
        <f ca="1">IFERROR(__xludf.DUMMYFUNCTION("""COMPUTED_VALUE"""),"LVA Anglais")</f>
        <v>LVA Anglais</v>
      </c>
      <c r="J444" s="1" t="str">
        <f ca="1">IFERROR(__xludf.DUMMYFUNCTION("""COMPUTED_VALUE"""),"LVB Espagnol")</f>
        <v>LVB Espagnol</v>
      </c>
      <c r="K444" s="1"/>
      <c r="L444" s="1"/>
      <c r="M444" s="1"/>
      <c r="N444" s="1" t="str">
        <f ca="1">IFERROR(__xludf.DUMMYFUNCTION("""COMPUTED_VALUE"""),"Garçon")</f>
        <v>Garçon</v>
      </c>
      <c r="O444" s="1"/>
      <c r="P444" s="1" t="str">
        <f ca="1">IFERROR(__xludf.DUMMYFUNCTION("""COMPUTED_VALUE"""),"FRANCE")</f>
        <v>FRANCE</v>
      </c>
      <c r="Q444" s="1" t="str">
        <f ca="1">IFERROR(__xludf.DUMMYFUNCTION("""COMPUTED_VALUE"""),"SENEGAL")</f>
        <v>SENEGAL</v>
      </c>
      <c r="R444" s="1" t="str">
        <f ca="1">IFERROR(__xludf.DUMMYFUNCTION("""COMPUTED_VALUE"""),"souleymane.ndiaye@lfjpsaly.org")</f>
        <v>souleymane.ndiaye@lfjpsaly.org</v>
      </c>
      <c r="S444" s="1"/>
      <c r="T444" s="1" t="str">
        <f ca="1">IFERROR(__xludf.DUMMYFUNCTION("""COMPUTED_VALUE"""),"NDIAYE Mouhamadou")</f>
        <v>NDIAYE Mouhamadou</v>
      </c>
      <c r="U444" s="1" t="str">
        <f ca="1">IFERROR(__xludf.DUMMYFUNCTION("""COMPUTED_VALUE"""),"NDIAYE Claire")</f>
        <v>NDIAYE Claire</v>
      </c>
      <c r="V444" s="1" t="str">
        <f ca="1">IFERROR(__xludf.DUMMYFUNCTION("""COMPUTED_VALUE"""),"hassim.ndiaye@gmail.com")</f>
        <v>hassim.ndiaye@gmail.com</v>
      </c>
      <c r="W444" s="1" t="str">
        <f ca="1">IFERROR(__xludf.DUMMYFUNCTION("""COMPUTED_VALUE"""),"claire.guillemin1@gmail.com")</f>
        <v>claire.guillemin1@gmail.com</v>
      </c>
      <c r="X444" s="1" t="str">
        <f ca="1">IFERROR(__xludf.DUMMYFUNCTION("""COMPUTED_VALUE"""),"+221 78 737 31 62")</f>
        <v>+221 78 737 31 62</v>
      </c>
      <c r="Y444" s="1" t="str">
        <f ca="1">IFERROR(__xludf.DUMMYFUNCTION("""COMPUTED_VALUE"""),"+221 77 853 17 01")</f>
        <v>+221 77 853 17 01</v>
      </c>
      <c r="Z444" s="1" t="str">
        <f ca="1">IFERROR(__xludf.DUMMYFUNCTION("""COMPUTED_VALUE"""),"+33 6 73 73 17 37")</f>
        <v>+33 6 73 73 17 37</v>
      </c>
      <c r="AA444" s="1" t="str">
        <f ca="1">IFERROR(__xludf.DUMMYFUNCTION("""COMPUTED_VALUE"""),"+33 6 87 56 56 26")</f>
        <v>+33 6 87 56 56 26</v>
      </c>
      <c r="AB444" s="2">
        <f ca="1">IFERROR(__xludf.DUMMYFUNCTION("""COMPUTED_VALUE"""),27051)</f>
        <v>27051</v>
      </c>
      <c r="AC444" s="2">
        <f ca="1">IFERROR(__xludf.DUMMYFUNCTION("""COMPUTED_VALUE"""),29805)</f>
        <v>29805</v>
      </c>
      <c r="AD444" s="1" t="str">
        <f ca="1">IFERROR(__xludf.DUMMYFUNCTION("""COMPUTED_VALUE"""),"PERE")</f>
        <v>PERE</v>
      </c>
      <c r="AE444" s="1" t="str">
        <f ca="1">IFERROR(__xludf.DUMMYFUNCTION("""COMPUTED_VALUE"""),"MERE")</f>
        <v>MERE</v>
      </c>
      <c r="AF444" s="1" t="str">
        <f ca="1">IFERROR(__xludf.DUMMYFUNCTION("""COMPUTED_VALUE"""),"SENEGAL")</f>
        <v>SENEGAL</v>
      </c>
      <c r="AG444" s="1" t="str">
        <f ca="1">IFERROR(__xludf.DUMMYFUNCTION("""COMPUTED_VALUE"""),"FRANCE")</f>
        <v>FRANCE</v>
      </c>
      <c r="AH444" s="1" t="str">
        <f ca="1">IFERROR(__xludf.DUMMYFUNCTION("""COMPUTED_VALUE"""),"FRANCE")</f>
        <v>FRANCE</v>
      </c>
      <c r="AI444" s="1"/>
      <c r="AJ444" s="1" t="str">
        <f ca="1">IFERROR(__xludf.DUMMYFUNCTION("""COMPUTED_VALUE"""),"F1484")</f>
        <v>F1484</v>
      </c>
      <c r="AK444" s="1" t="str">
        <f ca="1">IFERROR(__xludf.DUMMYFUNCTION("""COMPUTED_VALUE"""),"Marié(e)")</f>
        <v>Marié(e)</v>
      </c>
      <c r="AL444" s="1" t="str">
        <f ca="1">IFERROR(__xludf.DUMMYFUNCTION("""COMPUTED_VALUE"""),"Marié(e)")</f>
        <v>Marié(e)</v>
      </c>
      <c r="AM444" s="1" t="str">
        <f ca="1">IFERROR(__xludf.DUMMYFUNCTION("""COMPUTED_VALUE"""),"F1484")</f>
        <v>F1484</v>
      </c>
    </row>
    <row r="445" spans="1:39" ht="13" x14ac:dyDescent="0.15">
      <c r="A445" s="1" t="str">
        <f ca="1">IFERROR(__xludf.DUMMYFUNCTION("""COMPUTED_VALUE"""),"NDIAYE Yatma")</f>
        <v>NDIAYE Yatma</v>
      </c>
      <c r="B445" s="1" t="str">
        <f ca="1">IFERROR(__xludf.DUMMYFUNCTION("""COMPUTED_VALUE"""),"NDIAYE")</f>
        <v>NDIAYE</v>
      </c>
      <c r="C445" s="1" t="str">
        <f ca="1">IFERROR(__xludf.DUMMYFUNCTION("""COMPUTED_VALUE"""),"Yatma")</f>
        <v>Yatma</v>
      </c>
      <c r="D445" s="1" t="str">
        <f ca="1">IFERROR(__xludf.DUMMYFUNCTION("""COMPUTED_VALUE"""),"1677E2")</f>
        <v>1677E2</v>
      </c>
      <c r="E445" s="2">
        <f ca="1">IFERROR(__xludf.DUMMYFUNCTION("""COMPUTED_VALUE"""),42945)</f>
        <v>42945</v>
      </c>
      <c r="F445" s="1" t="str">
        <f ca="1">IFERROR(__xludf.DUMMYFUNCTION("""COMPUTED_VALUE"""),"CP-CE2")</f>
        <v>CP-CE2</v>
      </c>
      <c r="G445" s="1" t="str">
        <f ca="1">IFERROR(__xludf.DUMMYFUNCTION("""COMPUTED_VALUE"""),"CE2")</f>
        <v>CE2</v>
      </c>
      <c r="H445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445" s="1"/>
      <c r="J445" s="1"/>
      <c r="K445" s="1"/>
      <c r="L445" s="1"/>
      <c r="M445" s="1"/>
      <c r="N445" s="1" t="str">
        <f ca="1">IFERROR(__xludf.DUMMYFUNCTION("""COMPUTED_VALUE"""),"Garçon")</f>
        <v>Garçon</v>
      </c>
      <c r="O445" s="1"/>
      <c r="P445" s="1" t="str">
        <f ca="1">IFERROR(__xludf.DUMMYFUNCTION("""COMPUTED_VALUE"""),"FRANCE")</f>
        <v>FRANCE</v>
      </c>
      <c r="Q445" s="1" t="str">
        <f ca="1">IFERROR(__xludf.DUMMYFUNCTION("""COMPUTED_VALUE"""),"SENEGAL")</f>
        <v>SENEGAL</v>
      </c>
      <c r="R445" s="1"/>
      <c r="S445" s="1"/>
      <c r="T445" s="1" t="str">
        <f ca="1">IFERROR(__xludf.DUMMYFUNCTION("""COMPUTED_VALUE"""),"NDIAYE Saliou")</f>
        <v>NDIAYE Saliou</v>
      </c>
      <c r="U445" s="1" t="str">
        <f ca="1">IFERROR(__xludf.DUMMYFUNCTION("""COMPUTED_VALUE"""),"NDIAYE Aissata")</f>
        <v>NDIAYE Aissata</v>
      </c>
      <c r="V445" s="1" t="str">
        <f ca="1">IFERROR(__xludf.DUMMYFUNCTION("""COMPUTED_VALUE"""),"snd.ndiaye@gmail.com")</f>
        <v>snd.ndiaye@gmail.com</v>
      </c>
      <c r="W445" s="1" t="str">
        <f ca="1">IFERROR(__xludf.DUMMYFUNCTION("""COMPUTED_VALUE"""),"aissata.cissee@gmail.com")</f>
        <v>aissata.cissee@gmail.com</v>
      </c>
      <c r="X445" s="1" t="str">
        <f ca="1">IFERROR(__xludf.DUMMYFUNCTION("""COMPUTED_VALUE"""),"+33 6 69 64 50 94")</f>
        <v>+33 6 69 64 50 94</v>
      </c>
      <c r="Y445" s="1" t="str">
        <f ca="1">IFERROR(__xludf.DUMMYFUNCTION("""COMPUTED_VALUE"""),"+33 6 52 06 27 86")</f>
        <v>+33 6 52 06 27 86</v>
      </c>
      <c r="Z445" s="1" t="str">
        <f ca="1">IFERROR(__xludf.DUMMYFUNCTION("""COMPUTED_VALUE"""),"+221 77 639 39 74")</f>
        <v>+221 77 639 39 74</v>
      </c>
      <c r="AA445" s="1" t="str">
        <f ca="1">IFERROR(__xludf.DUMMYFUNCTION("""COMPUTED_VALUE"""),"+221 71 117 23 09")</f>
        <v>+221 71 117 23 09</v>
      </c>
      <c r="AB445" s="2">
        <f ca="1">IFERROR(__xludf.DUMMYFUNCTION("""COMPUTED_VALUE"""),29587)</f>
        <v>29587</v>
      </c>
      <c r="AC445" s="2">
        <f ca="1">IFERROR(__xludf.DUMMYFUNCTION("""COMPUTED_VALUE"""),32704)</f>
        <v>32704</v>
      </c>
      <c r="AD445" s="1" t="str">
        <f ca="1">IFERROR(__xludf.DUMMYFUNCTION("""COMPUTED_VALUE"""),"PERE")</f>
        <v>PERE</v>
      </c>
      <c r="AE445" s="1" t="str">
        <f ca="1">IFERROR(__xludf.DUMMYFUNCTION("""COMPUTED_VALUE"""),"MERE")</f>
        <v>MERE</v>
      </c>
      <c r="AF445" s="1" t="str">
        <f ca="1">IFERROR(__xludf.DUMMYFUNCTION("""COMPUTED_VALUE"""),"FRANCE")</f>
        <v>FRANCE</v>
      </c>
      <c r="AG445" s="1" t="str">
        <f ca="1">IFERROR(__xludf.DUMMYFUNCTION("""COMPUTED_VALUE"""),"FRANCE")</f>
        <v>FRANCE</v>
      </c>
      <c r="AH445" s="1" t="str">
        <f ca="1">IFERROR(__xludf.DUMMYFUNCTION("""COMPUTED_VALUE"""),"SENEGAL")</f>
        <v>SENEGAL</v>
      </c>
      <c r="AI445" s="1" t="str">
        <f ca="1">IFERROR(__xludf.DUMMYFUNCTION("""COMPUTED_VALUE"""),"SENEGAL")</f>
        <v>SENEGAL</v>
      </c>
      <c r="AJ445" s="1" t="str">
        <f ca="1">IFERROR(__xludf.DUMMYFUNCTION("""COMPUTED_VALUE"""),"F1677")</f>
        <v>F1677</v>
      </c>
      <c r="AK445" s="1" t="str">
        <f ca="1">IFERROR(__xludf.DUMMYFUNCTION("""COMPUTED_VALUE"""),"Marié(e)")</f>
        <v>Marié(e)</v>
      </c>
      <c r="AL445" s="1" t="str">
        <f ca="1">IFERROR(__xludf.DUMMYFUNCTION("""COMPUTED_VALUE"""),"Marié(e)")</f>
        <v>Marié(e)</v>
      </c>
      <c r="AM445" s="1" t="str">
        <f ca="1">IFERROR(__xludf.DUMMYFUNCTION("""COMPUTED_VALUE"""),"F1677")</f>
        <v>F1677</v>
      </c>
    </row>
    <row r="446" spans="1:39" ht="13" x14ac:dyDescent="0.15">
      <c r="A446" s="1" t="str">
        <f ca="1">IFERROR(__xludf.DUMMYFUNCTION("""COMPUTED_VALUE"""),"NDIAYE BARBANY Quim")</f>
        <v>NDIAYE BARBANY Quim</v>
      </c>
      <c r="B446" s="1" t="str">
        <f ca="1">IFERROR(__xludf.DUMMYFUNCTION("""COMPUTED_VALUE"""),"NDIAYE BARBANY")</f>
        <v>NDIAYE BARBANY</v>
      </c>
      <c r="C446" s="1" t="str">
        <f ca="1">IFERROR(__xludf.DUMMYFUNCTION("""COMPUTED_VALUE"""),"Quim")</f>
        <v>Quim</v>
      </c>
      <c r="D446" s="1" t="str">
        <f ca="1">IFERROR(__xludf.DUMMYFUNCTION("""COMPUTED_VALUE"""),"1471E1")</f>
        <v>1471E1</v>
      </c>
      <c r="E446" s="2">
        <f ca="1">IFERROR(__xludf.DUMMYFUNCTION("""COMPUTED_VALUE"""),42033)</f>
        <v>42033</v>
      </c>
      <c r="F446" s="1" t="str">
        <f ca="1">IFERROR(__xludf.DUMMYFUNCTION("""COMPUTED_VALUE"""),"CM2A")</f>
        <v>CM2A</v>
      </c>
      <c r="G446" s="1" t="str">
        <f ca="1">IFERROR(__xludf.DUMMYFUNCTION("""COMPUTED_VALUE"""),"CM2")</f>
        <v>CM2</v>
      </c>
      <c r="H446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446" s="1"/>
      <c r="J446" s="1"/>
      <c r="K446" s="1"/>
      <c r="L446" s="1"/>
      <c r="M446" s="1"/>
      <c r="N446" s="1" t="str">
        <f ca="1">IFERROR(__xludf.DUMMYFUNCTION("""COMPUTED_VALUE"""),"Garçon")</f>
        <v>Garçon</v>
      </c>
      <c r="O446" s="1"/>
      <c r="P446" s="1" t="str">
        <f ca="1">IFERROR(__xludf.DUMMYFUNCTION("""COMPUTED_VALUE"""),"ESPAGNE")</f>
        <v>ESPAGNE</v>
      </c>
      <c r="Q446" s="1"/>
      <c r="R446" s="1"/>
      <c r="S446" s="1" t="str">
        <f ca="1">IFERROR(__xludf.DUMMYFUNCTION("""COMPUTED_VALUE"""),"+221 77 760 00 10")</f>
        <v>+221 77 760 00 10</v>
      </c>
      <c r="T446" s="1" t="str">
        <f ca="1">IFERROR(__xludf.DUMMYFUNCTION("""COMPUTED_VALUE"""),"BARBANY ARIMANY Mar")</f>
        <v>BARBANY ARIMANY Mar</v>
      </c>
      <c r="U446" s="1" t="str">
        <f ca="1">IFERROR(__xludf.DUMMYFUNCTION("""COMPUTED_VALUE"""),"NDIAYE SEYE Abdou Samath")</f>
        <v>NDIAYE SEYE Abdou Samath</v>
      </c>
      <c r="V446" s="1" t="str">
        <f ca="1">IFERROR(__xludf.DUMMYFUNCTION("""COMPUTED_VALUE"""),"marbarbany@gmail.com")</f>
        <v>marbarbany@gmail.com</v>
      </c>
      <c r="W446" s="1" t="str">
        <f ca="1">IFERROR(__xludf.DUMMYFUNCTION("""COMPUTED_VALUE"""),"lampafrica1@gmail.com")</f>
        <v>lampafrica1@gmail.com</v>
      </c>
      <c r="X446" s="1" t="str">
        <f ca="1">IFERROR(__xludf.DUMMYFUNCTION("""COMPUTED_VALUE"""),"+221 77 760 00 10")</f>
        <v>+221 77 760 00 10</v>
      </c>
      <c r="Y446" s="1" t="str">
        <f ca="1">IFERROR(__xludf.DUMMYFUNCTION("""COMPUTED_VALUE"""),"+221 78 528 88 11")</f>
        <v>+221 78 528 88 11</v>
      </c>
      <c r="Z446" s="1"/>
      <c r="AA446" s="1"/>
      <c r="AB446" s="2">
        <f ca="1">IFERROR(__xludf.DUMMYFUNCTION("""COMPUTED_VALUE"""),30884)</f>
        <v>30884</v>
      </c>
      <c r="AC446" s="2">
        <f ca="1">IFERROR(__xludf.DUMMYFUNCTION("""COMPUTED_VALUE"""),30317)</f>
        <v>30317</v>
      </c>
      <c r="AD446" s="1" t="str">
        <f ca="1">IFERROR(__xludf.DUMMYFUNCTION("""COMPUTED_VALUE"""),"MERE")</f>
        <v>MERE</v>
      </c>
      <c r="AE446" s="1" t="str">
        <f ca="1">IFERROR(__xludf.DUMMYFUNCTION("""COMPUTED_VALUE"""),"PERE")</f>
        <v>PERE</v>
      </c>
      <c r="AF446" s="1" t="str">
        <f ca="1">IFERROR(__xludf.DUMMYFUNCTION("""COMPUTED_VALUE"""),"ESPAGNE")</f>
        <v>ESPAGNE</v>
      </c>
      <c r="AG446" s="1" t="str">
        <f ca="1">IFERROR(__xludf.DUMMYFUNCTION("""COMPUTED_VALUE"""),"ESPAGNE")</f>
        <v>ESPAGNE</v>
      </c>
      <c r="AH446" s="1"/>
      <c r="AI446" s="1" t="str">
        <f ca="1">IFERROR(__xludf.DUMMYFUNCTION("""COMPUTED_VALUE"""),"SENEGAL")</f>
        <v>SENEGAL</v>
      </c>
      <c r="AJ446" s="1" t="str">
        <f ca="1">IFERROR(__xludf.DUMMYFUNCTION("""COMPUTED_VALUE"""),"F1471")</f>
        <v>F1471</v>
      </c>
      <c r="AK446" s="1" t="str">
        <f ca="1">IFERROR(__xludf.DUMMYFUNCTION("""COMPUTED_VALUE"""),"Marié(e)")</f>
        <v>Marié(e)</v>
      </c>
      <c r="AL446" s="1" t="str">
        <f ca="1">IFERROR(__xludf.DUMMYFUNCTION("""COMPUTED_VALUE"""),"Marié(e)")</f>
        <v>Marié(e)</v>
      </c>
      <c r="AM446" s="1" t="str">
        <f ca="1">IFERROR(__xludf.DUMMYFUNCTION("""COMPUTED_VALUE"""),"F1471")</f>
        <v>F1471</v>
      </c>
    </row>
    <row r="447" spans="1:39" ht="13" x14ac:dyDescent="0.15">
      <c r="A447" s="1" t="str">
        <f ca="1">IFERROR(__xludf.DUMMYFUNCTION("""COMPUTED_VALUE"""),"NDIAYE BARBANY Sira")</f>
        <v>NDIAYE BARBANY Sira</v>
      </c>
      <c r="B447" s="1" t="str">
        <f ca="1">IFERROR(__xludf.DUMMYFUNCTION("""COMPUTED_VALUE"""),"NDIAYE BARBANY")</f>
        <v>NDIAYE BARBANY</v>
      </c>
      <c r="C447" s="1" t="str">
        <f ca="1">IFERROR(__xludf.DUMMYFUNCTION("""COMPUTED_VALUE"""),"Sira")</f>
        <v>Sira</v>
      </c>
      <c r="D447" s="1" t="str">
        <f ca="1">IFERROR(__xludf.DUMMYFUNCTION("""COMPUTED_VALUE"""),"1471E2")</f>
        <v>1471E2</v>
      </c>
      <c r="E447" s="2">
        <f ca="1">IFERROR(__xludf.DUMMYFUNCTION("""COMPUTED_VALUE"""),41285)</f>
        <v>41285</v>
      </c>
      <c r="F447" s="1" t="str">
        <f ca="1">IFERROR(__xludf.DUMMYFUNCTION("""COMPUTED_VALUE"""),"5EME2")</f>
        <v>5EME2</v>
      </c>
      <c r="G447" s="1" t="str">
        <f ca="1">IFERROR(__xludf.DUMMYFUNCTION("""COMPUTED_VALUE"""),"5ème")</f>
        <v>5ème</v>
      </c>
      <c r="H447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447" s="1" t="str">
        <f ca="1">IFERROR(__xludf.DUMMYFUNCTION("""COMPUTED_VALUE"""),"LVA Anglais")</f>
        <v>LVA Anglais</v>
      </c>
      <c r="J447" s="1" t="str">
        <f ca="1">IFERROR(__xludf.DUMMYFUNCTION("""COMPUTED_VALUE"""),"LVB Espagnol")</f>
        <v>LVB Espagnol</v>
      </c>
      <c r="K447" s="1"/>
      <c r="L447" s="1"/>
      <c r="M447" s="1"/>
      <c r="N447" s="1" t="str">
        <f ca="1">IFERROR(__xludf.DUMMYFUNCTION("""COMPUTED_VALUE"""),"Fille")</f>
        <v>Fille</v>
      </c>
      <c r="O447" s="1"/>
      <c r="P447" s="1" t="str">
        <f ca="1">IFERROR(__xludf.DUMMYFUNCTION("""COMPUTED_VALUE"""),"ESPAGNE")</f>
        <v>ESPAGNE</v>
      </c>
      <c r="Q447" s="1"/>
      <c r="R447" s="1" t="str">
        <f ca="1">IFERROR(__xludf.DUMMYFUNCTION("""COMPUTED_VALUE"""),"sira.ndiayebarbany@lfjpsaly.org")</f>
        <v>sira.ndiayebarbany@lfjpsaly.org</v>
      </c>
      <c r="S447" s="1" t="str">
        <f ca="1">IFERROR(__xludf.DUMMYFUNCTION("""COMPUTED_VALUE"""),"+221 77 760 00 10")</f>
        <v>+221 77 760 00 10</v>
      </c>
      <c r="T447" s="1" t="str">
        <f ca="1">IFERROR(__xludf.DUMMYFUNCTION("""COMPUTED_VALUE"""),"BARBANY ARIMANY Mar")</f>
        <v>BARBANY ARIMANY Mar</v>
      </c>
      <c r="U447" s="1" t="str">
        <f ca="1">IFERROR(__xludf.DUMMYFUNCTION("""COMPUTED_VALUE"""),"NDIAYE SEYE Abdou Samath")</f>
        <v>NDIAYE SEYE Abdou Samath</v>
      </c>
      <c r="V447" s="1" t="str">
        <f ca="1">IFERROR(__xludf.DUMMYFUNCTION("""COMPUTED_VALUE"""),"marbarbany@gmail.com")</f>
        <v>marbarbany@gmail.com</v>
      </c>
      <c r="W447" s="1" t="str">
        <f ca="1">IFERROR(__xludf.DUMMYFUNCTION("""COMPUTED_VALUE"""),"lampafrica1@gmail.com")</f>
        <v>lampafrica1@gmail.com</v>
      </c>
      <c r="X447" s="1" t="str">
        <f ca="1">IFERROR(__xludf.DUMMYFUNCTION("""COMPUTED_VALUE"""),"+221 77 760 00 10")</f>
        <v>+221 77 760 00 10</v>
      </c>
      <c r="Y447" s="1" t="str">
        <f ca="1">IFERROR(__xludf.DUMMYFUNCTION("""COMPUTED_VALUE"""),"+221 78 528 88 11")</f>
        <v>+221 78 528 88 11</v>
      </c>
      <c r="Z447" s="1"/>
      <c r="AA447" s="1"/>
      <c r="AB447" s="2">
        <f ca="1">IFERROR(__xludf.DUMMYFUNCTION("""COMPUTED_VALUE"""),30884)</f>
        <v>30884</v>
      </c>
      <c r="AC447" s="2">
        <f ca="1">IFERROR(__xludf.DUMMYFUNCTION("""COMPUTED_VALUE"""),30317)</f>
        <v>30317</v>
      </c>
      <c r="AD447" s="1" t="str">
        <f ca="1">IFERROR(__xludf.DUMMYFUNCTION("""COMPUTED_VALUE"""),"MERE")</f>
        <v>MERE</v>
      </c>
      <c r="AE447" s="1" t="str">
        <f ca="1">IFERROR(__xludf.DUMMYFUNCTION("""COMPUTED_VALUE"""),"PERE")</f>
        <v>PERE</v>
      </c>
      <c r="AF447" s="1" t="str">
        <f ca="1">IFERROR(__xludf.DUMMYFUNCTION("""COMPUTED_VALUE"""),"ESPAGNE")</f>
        <v>ESPAGNE</v>
      </c>
      <c r="AG447" s="1" t="str">
        <f ca="1">IFERROR(__xludf.DUMMYFUNCTION("""COMPUTED_VALUE"""),"ESPAGNE")</f>
        <v>ESPAGNE</v>
      </c>
      <c r="AH447" s="1"/>
      <c r="AI447" s="1" t="str">
        <f ca="1">IFERROR(__xludf.DUMMYFUNCTION("""COMPUTED_VALUE"""),"SENEGAL")</f>
        <v>SENEGAL</v>
      </c>
      <c r="AJ447" s="1" t="str">
        <f ca="1">IFERROR(__xludf.DUMMYFUNCTION("""COMPUTED_VALUE"""),"F1471")</f>
        <v>F1471</v>
      </c>
      <c r="AK447" s="1" t="str">
        <f ca="1">IFERROR(__xludf.DUMMYFUNCTION("""COMPUTED_VALUE"""),"Marié(e)")</f>
        <v>Marié(e)</v>
      </c>
      <c r="AL447" s="1" t="str">
        <f ca="1">IFERROR(__xludf.DUMMYFUNCTION("""COMPUTED_VALUE"""),"Marié(e)")</f>
        <v>Marié(e)</v>
      </c>
      <c r="AM447" s="1" t="str">
        <f ca="1">IFERROR(__xludf.DUMMYFUNCTION("""COMPUTED_VALUE"""),"F1471")</f>
        <v>F1471</v>
      </c>
    </row>
    <row r="448" spans="1:39" ht="13" x14ac:dyDescent="0.15">
      <c r="A448" s="1" t="str">
        <f ca="1">IFERROR(__xludf.DUMMYFUNCTION("""COMPUTED_VALUE"""),"NDONG Lewis")</f>
        <v>NDONG Lewis</v>
      </c>
      <c r="B448" s="1" t="str">
        <f ca="1">IFERROR(__xludf.DUMMYFUNCTION("""COMPUTED_VALUE"""),"NDONG")</f>
        <v>NDONG</v>
      </c>
      <c r="C448" s="1" t="str">
        <f ca="1">IFERROR(__xludf.DUMMYFUNCTION("""COMPUTED_VALUE"""),"Lewis")</f>
        <v>Lewis</v>
      </c>
      <c r="D448" s="1" t="str">
        <f ca="1">IFERROR(__xludf.DUMMYFUNCTION("""COMPUTED_VALUE"""),"1485E1")</f>
        <v>1485E1</v>
      </c>
      <c r="E448" s="2">
        <f ca="1">IFERROR(__xludf.DUMMYFUNCTION("""COMPUTED_VALUE"""),42578)</f>
        <v>42578</v>
      </c>
      <c r="F448" s="1" t="str">
        <f ca="1">IFERROR(__xludf.DUMMYFUNCTION("""COMPUTED_VALUE"""),"CM1A")</f>
        <v>CM1A</v>
      </c>
      <c r="G448" s="1" t="str">
        <f ca="1">IFERROR(__xludf.DUMMYFUNCTION("""COMPUTED_VALUE"""),"CM1")</f>
        <v>CM1</v>
      </c>
      <c r="H448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448" s="1"/>
      <c r="J448" s="1"/>
      <c r="K448" s="1"/>
      <c r="L448" s="1"/>
      <c r="M448" s="1"/>
      <c r="N448" s="1" t="str">
        <f ca="1">IFERROR(__xludf.DUMMYFUNCTION("""COMPUTED_VALUE"""),"Garçon")</f>
        <v>Garçon</v>
      </c>
      <c r="O448" s="1"/>
      <c r="P448" s="1" t="str">
        <f ca="1">IFERROR(__xludf.DUMMYFUNCTION("""COMPUTED_VALUE"""),"FRANCE")</f>
        <v>FRANCE</v>
      </c>
      <c r="Q448" s="1" t="str">
        <f ca="1">IFERROR(__xludf.DUMMYFUNCTION("""COMPUTED_VALUE"""),"SENEGAL")</f>
        <v>SENEGAL</v>
      </c>
      <c r="R448" s="1"/>
      <c r="S448" s="1"/>
      <c r="T448" s="1" t="str">
        <f ca="1">IFERROR(__xludf.DUMMYFUNCTION("""COMPUTED_VALUE"""),"NDONG DIOKH Thérèse")</f>
        <v>NDONG DIOKH Thérèse</v>
      </c>
      <c r="U448" s="1" t="str">
        <f ca="1">IFERROR(__xludf.DUMMYFUNCTION("""COMPUTED_VALUE"""),"NDONG Antoine")</f>
        <v>NDONG Antoine</v>
      </c>
      <c r="V448" s="1" t="str">
        <f ca="1">IFERROR(__xludf.DUMMYFUNCTION("""COMPUTED_VALUE"""),"theresediokh.ndong@gmail.com")</f>
        <v>theresediokh.ndong@gmail.com</v>
      </c>
      <c r="W448" s="1" t="str">
        <f ca="1">IFERROR(__xludf.DUMMYFUNCTION("""COMPUTED_VALUE"""),"ndongatony@gmail.com")</f>
        <v>ndongatony@gmail.com</v>
      </c>
      <c r="X448" s="1" t="str">
        <f ca="1">IFERROR(__xludf.DUMMYFUNCTION("""COMPUTED_VALUE"""),"+221 77 568 31 13")</f>
        <v>+221 77 568 31 13</v>
      </c>
      <c r="Y448" s="1" t="str">
        <f ca="1">IFERROR(__xludf.DUMMYFUNCTION("""COMPUTED_VALUE"""),"+33 7 59 58 95 48")</f>
        <v>+33 7 59 58 95 48</v>
      </c>
      <c r="Z448" s="1" t="str">
        <f ca="1">IFERROR(__xludf.DUMMYFUNCTION("""COMPUTED_VALUE"""),"+221")</f>
        <v>+221</v>
      </c>
      <c r="AA448" s="1" t="str">
        <f ca="1">IFERROR(__xludf.DUMMYFUNCTION("""COMPUTED_VALUE"""),"+221")</f>
        <v>+221</v>
      </c>
      <c r="AB448" s="2">
        <f ca="1">IFERROR(__xludf.DUMMYFUNCTION("""COMPUTED_VALUE"""),31290)</f>
        <v>31290</v>
      </c>
      <c r="AC448" s="2">
        <f ca="1">IFERROR(__xludf.DUMMYFUNCTION("""COMPUTED_VALUE"""),28014)</f>
        <v>28014</v>
      </c>
      <c r="AD448" s="1" t="str">
        <f ca="1">IFERROR(__xludf.DUMMYFUNCTION("""COMPUTED_VALUE"""),"MERE")</f>
        <v>MERE</v>
      </c>
      <c r="AE448" s="1" t="str">
        <f ca="1">IFERROR(__xludf.DUMMYFUNCTION("""COMPUTED_VALUE"""),"PERE")</f>
        <v>PERE</v>
      </c>
      <c r="AF448" s="1" t="str">
        <f ca="1">IFERROR(__xludf.DUMMYFUNCTION("""COMPUTED_VALUE"""),"FRANCE")</f>
        <v>FRANCE</v>
      </c>
      <c r="AG448" s="1" t="str">
        <f ca="1">IFERROR(__xludf.DUMMYFUNCTION("""COMPUTED_VALUE"""),"SENEGAL")</f>
        <v>SENEGAL</v>
      </c>
      <c r="AH448" s="1" t="str">
        <f ca="1">IFERROR(__xludf.DUMMYFUNCTION("""COMPUTED_VALUE"""),"SENEGAL")</f>
        <v>SENEGAL</v>
      </c>
      <c r="AI448" s="1" t="str">
        <f ca="1">IFERROR(__xludf.DUMMYFUNCTION("""COMPUTED_VALUE"""),"PAYS-BAS")</f>
        <v>PAYS-BAS</v>
      </c>
      <c r="AJ448" s="1" t="str">
        <f ca="1">IFERROR(__xludf.DUMMYFUNCTION("""COMPUTED_VALUE"""),"F1485")</f>
        <v>F1485</v>
      </c>
      <c r="AK448" s="1" t="str">
        <f ca="1">IFERROR(__xludf.DUMMYFUNCTION("""COMPUTED_VALUE"""),"Marié(e)")</f>
        <v>Marié(e)</v>
      </c>
      <c r="AL448" s="1" t="str">
        <f ca="1">IFERROR(__xludf.DUMMYFUNCTION("""COMPUTED_VALUE"""),"Marié(e)")</f>
        <v>Marié(e)</v>
      </c>
      <c r="AM448" s="1" t="str">
        <f ca="1">IFERROR(__xludf.DUMMYFUNCTION("""COMPUTED_VALUE"""),"F1485")</f>
        <v>F1485</v>
      </c>
    </row>
    <row r="449" spans="1:39" ht="13" x14ac:dyDescent="0.15">
      <c r="A449" s="1" t="str">
        <f ca="1">IFERROR(__xludf.DUMMYFUNCTION("""COMPUTED_VALUE"""),"NDONG Noémie")</f>
        <v>NDONG Noémie</v>
      </c>
      <c r="B449" s="1" t="str">
        <f ca="1">IFERROR(__xludf.DUMMYFUNCTION("""COMPUTED_VALUE"""),"NDONG")</f>
        <v>NDONG</v>
      </c>
      <c r="C449" s="1" t="str">
        <f ca="1">IFERROR(__xludf.DUMMYFUNCTION("""COMPUTED_VALUE"""),"Noémie")</f>
        <v>Noémie</v>
      </c>
      <c r="D449" s="1" t="str">
        <f ca="1">IFERROR(__xludf.DUMMYFUNCTION("""COMPUTED_VALUE"""),"1485E2")</f>
        <v>1485E2</v>
      </c>
      <c r="E449" s="2">
        <f ca="1">IFERROR(__xludf.DUMMYFUNCTION("""COMPUTED_VALUE"""),41414)</f>
        <v>41414</v>
      </c>
      <c r="F449" s="1" t="str">
        <f ca="1">IFERROR(__xludf.DUMMYFUNCTION("""COMPUTED_VALUE"""),"5EME2")</f>
        <v>5EME2</v>
      </c>
      <c r="G449" s="1" t="str">
        <f ca="1">IFERROR(__xludf.DUMMYFUNCTION("""COMPUTED_VALUE"""),"5ème")</f>
        <v>5ème</v>
      </c>
      <c r="H449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449" s="1" t="str">
        <f ca="1">IFERROR(__xludf.DUMMYFUNCTION("""COMPUTED_VALUE"""),"LVA Anglais")</f>
        <v>LVA Anglais</v>
      </c>
      <c r="J449" s="1" t="str">
        <f ca="1">IFERROR(__xludf.DUMMYFUNCTION("""COMPUTED_VALUE"""),"LVB Espagnol")</f>
        <v>LVB Espagnol</v>
      </c>
      <c r="K449" s="1"/>
      <c r="L449" s="1"/>
      <c r="M449" s="1"/>
      <c r="N449" s="1" t="str">
        <f ca="1">IFERROR(__xludf.DUMMYFUNCTION("""COMPUTED_VALUE"""),"Fille")</f>
        <v>Fille</v>
      </c>
      <c r="O449" s="1"/>
      <c r="P449" s="1" t="str">
        <f ca="1">IFERROR(__xludf.DUMMYFUNCTION("""COMPUTED_VALUE"""),"FRANCE")</f>
        <v>FRANCE</v>
      </c>
      <c r="Q449" s="1" t="str">
        <f ca="1">IFERROR(__xludf.DUMMYFUNCTION("""COMPUTED_VALUE"""),"SENEGAL")</f>
        <v>SENEGAL</v>
      </c>
      <c r="R449" s="1" t="str">
        <f ca="1">IFERROR(__xludf.DUMMYFUNCTION("""COMPUTED_VALUE"""),"noemie.ndong@lfjpsaly.org")</f>
        <v>noemie.ndong@lfjpsaly.org</v>
      </c>
      <c r="S449" s="1" t="str">
        <f ca="1">IFERROR(__xludf.DUMMYFUNCTION("""COMPUTED_VALUE"""),"+221 77 568 31 13")</f>
        <v>+221 77 568 31 13</v>
      </c>
      <c r="T449" s="1" t="str">
        <f ca="1">IFERROR(__xludf.DUMMYFUNCTION("""COMPUTED_VALUE"""),"NDONG DIOKH Thérèse")</f>
        <v>NDONG DIOKH Thérèse</v>
      </c>
      <c r="U449" s="1" t="str">
        <f ca="1">IFERROR(__xludf.DUMMYFUNCTION("""COMPUTED_VALUE"""),"NDONG Antoine")</f>
        <v>NDONG Antoine</v>
      </c>
      <c r="V449" s="1" t="str">
        <f ca="1">IFERROR(__xludf.DUMMYFUNCTION("""COMPUTED_VALUE"""),"theresediokh.ndong@gmail.com")</f>
        <v>theresediokh.ndong@gmail.com</v>
      </c>
      <c r="W449" s="1" t="str">
        <f ca="1">IFERROR(__xludf.DUMMYFUNCTION("""COMPUTED_VALUE"""),"ndongatony@gmail.com")</f>
        <v>ndongatony@gmail.com</v>
      </c>
      <c r="X449" s="1" t="str">
        <f ca="1">IFERROR(__xludf.DUMMYFUNCTION("""COMPUTED_VALUE"""),"+221 77 568 31 13")</f>
        <v>+221 77 568 31 13</v>
      </c>
      <c r="Y449" s="1" t="str">
        <f ca="1">IFERROR(__xludf.DUMMYFUNCTION("""COMPUTED_VALUE"""),"+33 7 59 58 95 48")</f>
        <v>+33 7 59 58 95 48</v>
      </c>
      <c r="Z449" s="1" t="str">
        <f ca="1">IFERROR(__xludf.DUMMYFUNCTION("""COMPUTED_VALUE"""),"+221")</f>
        <v>+221</v>
      </c>
      <c r="AA449" s="1" t="str">
        <f ca="1">IFERROR(__xludf.DUMMYFUNCTION("""COMPUTED_VALUE"""),"+221")</f>
        <v>+221</v>
      </c>
      <c r="AB449" s="2">
        <f ca="1">IFERROR(__xludf.DUMMYFUNCTION("""COMPUTED_VALUE"""),31290)</f>
        <v>31290</v>
      </c>
      <c r="AC449" s="2">
        <f ca="1">IFERROR(__xludf.DUMMYFUNCTION("""COMPUTED_VALUE"""),28014)</f>
        <v>28014</v>
      </c>
      <c r="AD449" s="1" t="str">
        <f ca="1">IFERROR(__xludf.DUMMYFUNCTION("""COMPUTED_VALUE"""),"MERE")</f>
        <v>MERE</v>
      </c>
      <c r="AE449" s="1" t="str">
        <f ca="1">IFERROR(__xludf.DUMMYFUNCTION("""COMPUTED_VALUE"""),"PERE")</f>
        <v>PERE</v>
      </c>
      <c r="AF449" s="1" t="str">
        <f ca="1">IFERROR(__xludf.DUMMYFUNCTION("""COMPUTED_VALUE"""),"FRANCE")</f>
        <v>FRANCE</v>
      </c>
      <c r="AG449" s="1" t="str">
        <f ca="1">IFERROR(__xludf.DUMMYFUNCTION("""COMPUTED_VALUE"""),"SENEGAL")</f>
        <v>SENEGAL</v>
      </c>
      <c r="AH449" s="1" t="str">
        <f ca="1">IFERROR(__xludf.DUMMYFUNCTION("""COMPUTED_VALUE"""),"SENEGAL")</f>
        <v>SENEGAL</v>
      </c>
      <c r="AI449" s="1" t="str">
        <f ca="1">IFERROR(__xludf.DUMMYFUNCTION("""COMPUTED_VALUE"""),"PAYS-BAS")</f>
        <v>PAYS-BAS</v>
      </c>
      <c r="AJ449" s="1" t="str">
        <f ca="1">IFERROR(__xludf.DUMMYFUNCTION("""COMPUTED_VALUE"""),"F1485")</f>
        <v>F1485</v>
      </c>
      <c r="AK449" s="1" t="str">
        <f ca="1">IFERROR(__xludf.DUMMYFUNCTION("""COMPUTED_VALUE"""),"Marié(e)")</f>
        <v>Marié(e)</v>
      </c>
      <c r="AL449" s="1" t="str">
        <f ca="1">IFERROR(__xludf.DUMMYFUNCTION("""COMPUTED_VALUE"""),"Marié(e)")</f>
        <v>Marié(e)</v>
      </c>
      <c r="AM449" s="1" t="str">
        <f ca="1">IFERROR(__xludf.DUMMYFUNCTION("""COMPUTED_VALUE"""),"F1485")</f>
        <v>F1485</v>
      </c>
    </row>
    <row r="450" spans="1:39" ht="13" x14ac:dyDescent="0.15">
      <c r="A450" s="1" t="str">
        <f ca="1">IFERROR(__xludf.DUMMYFUNCTION("""COMPUTED_VALUE"""),"NDOUR Fatou")</f>
        <v>NDOUR Fatou</v>
      </c>
      <c r="B450" s="1" t="str">
        <f ca="1">IFERROR(__xludf.DUMMYFUNCTION("""COMPUTED_VALUE"""),"NDOUR")</f>
        <v>NDOUR</v>
      </c>
      <c r="C450" s="1" t="str">
        <f ca="1">IFERROR(__xludf.DUMMYFUNCTION("""COMPUTED_VALUE"""),"Fatou")</f>
        <v>Fatou</v>
      </c>
      <c r="D450" s="1" t="str">
        <f ca="1">IFERROR(__xludf.DUMMYFUNCTION("""COMPUTED_VALUE"""),"1486E1")</f>
        <v>1486E1</v>
      </c>
      <c r="E450" s="2">
        <f ca="1">IFERROR(__xludf.DUMMYFUNCTION("""COMPUTED_VALUE"""),39346)</f>
        <v>39346</v>
      </c>
      <c r="F450" s="1" t="str">
        <f ca="1">IFERROR(__xludf.DUMMYFUNCTION("""COMPUTED_VALUE"""),"TERMINALE2")</f>
        <v>TERMINALE2</v>
      </c>
      <c r="G450" s="1" t="str">
        <f ca="1">IFERROR(__xludf.DUMMYFUNCTION("""COMPUTED_VALUE"""),"Terminale")</f>
        <v>Terminale</v>
      </c>
      <c r="H450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450" s="1" t="str">
        <f ca="1">IFERROR(__xludf.DUMMYFUNCTION("""COMPUTED_VALUE"""),"LVA Anglais")</f>
        <v>LVA Anglais</v>
      </c>
      <c r="J450" s="1" t="str">
        <f ca="1">IFERROR(__xludf.DUMMYFUNCTION("""COMPUTED_VALUE"""),"LVB Espagnol")</f>
        <v>LVB Espagnol</v>
      </c>
      <c r="K450" s="1"/>
      <c r="L450" s="1"/>
      <c r="M450" s="1" t="str">
        <f ca="1">IFERROR(__xludf.DUMMYFUNCTION("""COMPUTED_VALUE"""),"SPE HGGSP, SPE SES")</f>
        <v>SPE HGGSP, SPE SES</v>
      </c>
      <c r="N450" s="1" t="str">
        <f ca="1">IFERROR(__xludf.DUMMYFUNCTION("""COMPUTED_VALUE"""),"Fille")</f>
        <v>Fille</v>
      </c>
      <c r="O450" s="1"/>
      <c r="P450" s="1" t="str">
        <f ca="1">IFERROR(__xludf.DUMMYFUNCTION("""COMPUTED_VALUE"""),"SENEGAL")</f>
        <v>SENEGAL</v>
      </c>
      <c r="Q450" s="1"/>
      <c r="R450" s="1" t="str">
        <f ca="1">IFERROR(__xludf.DUMMYFUNCTION("""COMPUTED_VALUE"""),"fatou.ndour@lfjpsaly.org")</f>
        <v>fatou.ndour@lfjpsaly.org</v>
      </c>
      <c r="S450" s="1"/>
      <c r="T450" s="1" t="str">
        <f ca="1">IFERROR(__xludf.DUMMYFUNCTION("""COMPUTED_VALUE"""),"NDOUR Abdou")</f>
        <v>NDOUR Abdou</v>
      </c>
      <c r="U450" s="1" t="str">
        <f ca="1">IFERROR(__xludf.DUMMYFUNCTION("""COMPUTED_VALUE"""),"NDOUR Raphaëlle")</f>
        <v>NDOUR Raphaëlle</v>
      </c>
      <c r="V450" s="1" t="str">
        <f ca="1">IFERROR(__xludf.DUMMYFUNCTION("""COMPUTED_VALUE"""),"raphy.mendy@yahoo.fr")</f>
        <v>raphy.mendy@yahoo.fr</v>
      </c>
      <c r="W450" s="1" t="str">
        <f ca="1">IFERROR(__xludf.DUMMYFUNCTION("""COMPUTED_VALUE"""),"raphy.mendy@yahoo.fr")</f>
        <v>raphy.mendy@yahoo.fr</v>
      </c>
      <c r="X450" s="1" t="str">
        <f ca="1">IFERROR(__xludf.DUMMYFUNCTION("""COMPUTED_VALUE"""),"+221 77 455 01 30")</f>
        <v>+221 77 455 01 30</v>
      </c>
      <c r="Y450" s="1"/>
      <c r="Z450" s="1"/>
      <c r="AA450" s="1"/>
      <c r="AB450" s="2">
        <f ca="1">IFERROR(__xludf.DUMMYFUNCTION("""COMPUTED_VALUE"""),29986)</f>
        <v>29986</v>
      </c>
      <c r="AC450" s="2">
        <f ca="1">IFERROR(__xludf.DUMMYFUNCTION("""COMPUTED_VALUE"""),23842)</f>
        <v>23842</v>
      </c>
      <c r="AD450" s="1" t="str">
        <f ca="1">IFERROR(__xludf.DUMMYFUNCTION("""COMPUTED_VALUE"""),"PERE")</f>
        <v>PERE</v>
      </c>
      <c r="AE450" s="1" t="str">
        <f ca="1">IFERROR(__xludf.DUMMYFUNCTION("""COMPUTED_VALUE"""),"ONCLE")</f>
        <v>ONCLE</v>
      </c>
      <c r="AF450" s="1" t="str">
        <f ca="1">IFERROR(__xludf.DUMMYFUNCTION("""COMPUTED_VALUE"""),"SENEGAL")</f>
        <v>SENEGAL</v>
      </c>
      <c r="AG450" s="1" t="str">
        <f ca="1">IFERROR(__xludf.DUMMYFUNCTION("""COMPUTED_VALUE"""),"FRANCE")</f>
        <v>FRANCE</v>
      </c>
      <c r="AH450" s="1"/>
      <c r="AI450" s="1"/>
      <c r="AJ450" s="1" t="str">
        <f ca="1">IFERROR(__xludf.DUMMYFUNCTION("""COMPUTED_VALUE"""),"F1486")</f>
        <v>F1486</v>
      </c>
      <c r="AK450" s="1" t="str">
        <f ca="1">IFERROR(__xludf.DUMMYFUNCTION("""COMPUTED_VALUE"""),"CONCUBINAGE")</f>
        <v>CONCUBINAGE</v>
      </c>
      <c r="AL450" s="1" t="str">
        <f ca="1">IFERROR(__xludf.DUMMYFUNCTION("""COMPUTED_VALUE"""),"Marié(e)")</f>
        <v>Marié(e)</v>
      </c>
      <c r="AM450" s="1" t="str">
        <f ca="1">IFERROR(__xludf.DUMMYFUNCTION("""COMPUTED_VALUE"""),"F1486")</f>
        <v>F1486</v>
      </c>
    </row>
    <row r="451" spans="1:39" ht="13" x14ac:dyDescent="0.15">
      <c r="A451" s="1" t="str">
        <f ca="1">IFERROR(__xludf.DUMMYFUNCTION("""COMPUTED_VALUE"""),"NERAUDEAU Emiliana Ghislaine Nicole")</f>
        <v>NERAUDEAU Emiliana Ghislaine Nicole</v>
      </c>
      <c r="B451" s="1" t="str">
        <f ca="1">IFERROR(__xludf.DUMMYFUNCTION("""COMPUTED_VALUE"""),"NERAUDEAU")</f>
        <v>NERAUDEAU</v>
      </c>
      <c r="C451" s="1" t="str">
        <f ca="1">IFERROR(__xludf.DUMMYFUNCTION("""COMPUTED_VALUE"""),"Emiliana Ghislaine Nicole")</f>
        <v>Emiliana Ghislaine Nicole</v>
      </c>
      <c r="D451" s="1" t="str">
        <f ca="1">IFERROR(__xludf.DUMMYFUNCTION("""COMPUTED_VALUE"""),"1679E1")</f>
        <v>1679E1</v>
      </c>
      <c r="E451" s="2">
        <f ca="1">IFERROR(__xludf.DUMMYFUNCTION("""COMPUTED_VALUE"""),43764)</f>
        <v>43764</v>
      </c>
      <c r="F451" s="1" t="str">
        <f ca="1">IFERROR(__xludf.DUMMYFUNCTION("""COMPUTED_VALUE"""),"CP")</f>
        <v>CP</v>
      </c>
      <c r="G451" s="1" t="str">
        <f ca="1">IFERROR(__xludf.DUMMYFUNCTION("""COMPUTED_VALUE"""),"CP")</f>
        <v>CP</v>
      </c>
      <c r="H451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451" s="1"/>
      <c r="J451" s="1"/>
      <c r="K451" s="1"/>
      <c r="L451" s="1"/>
      <c r="M451" s="1"/>
      <c r="N451" s="1" t="str">
        <f ca="1">IFERROR(__xludf.DUMMYFUNCTION("""COMPUTED_VALUE"""),"Fille")</f>
        <v>Fille</v>
      </c>
      <c r="O451" s="1"/>
      <c r="P451" s="1" t="str">
        <f ca="1">IFERROR(__xludf.DUMMYFUNCTION("""COMPUTED_VALUE"""),"FRANCE")</f>
        <v>FRANCE</v>
      </c>
      <c r="Q451" s="1"/>
      <c r="R451" s="1"/>
      <c r="S451" s="1"/>
      <c r="T451" s="1" t="str">
        <f ca="1">IFERROR(__xludf.DUMMYFUNCTION("""COMPUTED_VALUE"""),"BENE Claire Sandrine")</f>
        <v>BENE Claire Sandrine</v>
      </c>
      <c r="U451" s="1"/>
      <c r="V451" s="1" t="str">
        <f ca="1">IFERROR(__xludf.DUMMYFUNCTION("""COMPUTED_VALUE"""),"beneclairesandrine@gmail.com")</f>
        <v>beneclairesandrine@gmail.com</v>
      </c>
      <c r="W451" s="1"/>
      <c r="X451" s="1" t="str">
        <f ca="1">IFERROR(__xludf.DUMMYFUNCTION("""COMPUTED_VALUE"""),"+221 78 478 15 08")</f>
        <v>+221 78 478 15 08</v>
      </c>
      <c r="Y451" s="1"/>
      <c r="Z451" s="1" t="str">
        <f ca="1">IFERROR(__xludf.DUMMYFUNCTION("""COMPUTED_VALUE"""),"+221")</f>
        <v>+221</v>
      </c>
      <c r="AA451" s="1"/>
      <c r="AB451" s="2">
        <f ca="1">IFERROR(__xludf.DUMMYFUNCTION("""COMPUTED_VALUE"""),31203)</f>
        <v>31203</v>
      </c>
      <c r="AC451" s="1"/>
      <c r="AD451" s="1" t="str">
        <f ca="1">IFERROR(__xludf.DUMMYFUNCTION("""COMPUTED_VALUE"""),"MERE")</f>
        <v>MERE</v>
      </c>
      <c r="AE451" s="1"/>
      <c r="AF451" s="1" t="str">
        <f ca="1">IFERROR(__xludf.DUMMYFUNCTION("""COMPUTED_VALUE"""),"CAMEROUN")</f>
        <v>CAMEROUN</v>
      </c>
      <c r="AG451" s="1"/>
      <c r="AH451" s="1"/>
      <c r="AI451" s="1"/>
      <c r="AJ451" s="1" t="str">
        <f ca="1">IFERROR(__xludf.DUMMYFUNCTION("""COMPUTED_VALUE"""),"F1679")</f>
        <v>F1679</v>
      </c>
      <c r="AK451" s="1" t="str">
        <f ca="1">IFERROR(__xludf.DUMMYFUNCTION("""COMPUTED_VALUE"""),"Célibataire")</f>
        <v>Célibataire</v>
      </c>
      <c r="AL451" s="1"/>
      <c r="AM451" s="1" t="str">
        <f ca="1">IFERROR(__xludf.DUMMYFUNCTION("""COMPUTED_VALUE"""),"F1679")</f>
        <v>F1679</v>
      </c>
    </row>
    <row r="452" spans="1:39" ht="13" x14ac:dyDescent="0.15">
      <c r="A452" s="1" t="str">
        <f ca="1">IFERROR(__xludf.DUMMYFUNCTION("""COMPUTED_VALUE"""),"NGBANDI Ednah")</f>
        <v>NGBANDI Ednah</v>
      </c>
      <c r="B452" s="1" t="str">
        <f ca="1">IFERROR(__xludf.DUMMYFUNCTION("""COMPUTED_VALUE"""),"NGBANDI")</f>
        <v>NGBANDI</v>
      </c>
      <c r="C452" s="1" t="str">
        <f ca="1">IFERROR(__xludf.DUMMYFUNCTION("""COMPUTED_VALUE"""),"Ednah")</f>
        <v>Ednah</v>
      </c>
      <c r="D452" s="1" t="str">
        <f ca="1">IFERROR(__xludf.DUMMYFUNCTION("""COMPUTED_VALUE"""),"1489E1")</f>
        <v>1489E1</v>
      </c>
      <c r="E452" s="2">
        <f ca="1">IFERROR(__xludf.DUMMYFUNCTION("""COMPUTED_VALUE"""),42903)</f>
        <v>42903</v>
      </c>
      <c r="F452" s="1" t="str">
        <f ca="1">IFERROR(__xludf.DUMMYFUNCTION("""COMPUTED_VALUE"""),"CP-CE2")</f>
        <v>CP-CE2</v>
      </c>
      <c r="G452" s="1" t="str">
        <f ca="1">IFERROR(__xludf.DUMMYFUNCTION("""COMPUTED_VALUE"""),"CE2")</f>
        <v>CE2</v>
      </c>
      <c r="H452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452" s="1"/>
      <c r="J452" s="1"/>
      <c r="K452" s="1"/>
      <c r="L452" s="1"/>
      <c r="M452" s="1"/>
      <c r="N452" s="1" t="str">
        <f ca="1">IFERROR(__xludf.DUMMYFUNCTION("""COMPUTED_VALUE"""),"Fille")</f>
        <v>Fille</v>
      </c>
      <c r="O452" s="1"/>
      <c r="P452" s="1" t="str">
        <f ca="1">IFERROR(__xludf.DUMMYFUNCTION("""COMPUTED_VALUE"""),"FRANCE")</f>
        <v>FRANCE</v>
      </c>
      <c r="Q452" s="1"/>
      <c r="R452" s="1"/>
      <c r="S452" s="1" t="str">
        <f ca="1">IFERROR(__xludf.DUMMYFUNCTION("""COMPUTED_VALUE"""),"+221")</f>
        <v>+221</v>
      </c>
      <c r="T452" s="1" t="str">
        <f ca="1">IFERROR(__xludf.DUMMYFUNCTION("""COMPUTED_VALUE"""),"LEBARBÉ NGBANDI Cathy Aurélia Mireille")</f>
        <v>LEBARBÉ NGBANDI Cathy Aurélia Mireille</v>
      </c>
      <c r="U452" s="1" t="str">
        <f ca="1">IFERROR(__xludf.DUMMYFUNCTION("""COMPUTED_VALUE"""),"NGBANDI Prince Prosper")</f>
        <v>NGBANDI Prince Prosper</v>
      </c>
      <c r="V452" s="1" t="str">
        <f ca="1">IFERROR(__xludf.DUMMYFUNCTION("""COMPUTED_VALUE"""),"la_benie@live.fr")</f>
        <v>la_benie@live.fr</v>
      </c>
      <c r="W452" s="1" t="str">
        <f ca="1">IFERROR(__xludf.DUMMYFUNCTION("""COMPUTED_VALUE"""),"ngbandi@hotmail.com")</f>
        <v>ngbandi@hotmail.com</v>
      </c>
      <c r="X452" s="1" t="str">
        <f ca="1">IFERROR(__xludf.DUMMYFUNCTION("""COMPUTED_VALUE"""),"+221 78 120 67 14")</f>
        <v>+221 78 120 67 14</v>
      </c>
      <c r="Y452" s="1" t="str">
        <f ca="1">IFERROR(__xludf.DUMMYFUNCTION("""COMPUTED_VALUE"""),"+221 77 423 19 22")</f>
        <v>+221 77 423 19 22</v>
      </c>
      <c r="Z452" s="1" t="str">
        <f ca="1">IFERROR(__xludf.DUMMYFUNCTION("""COMPUTED_VALUE"""),"+221 77 196 80 89")</f>
        <v>+221 77 196 80 89</v>
      </c>
      <c r="AA452" s="1"/>
      <c r="AB452" s="2">
        <f ca="1">IFERROR(__xludf.DUMMYFUNCTION("""COMPUTED_VALUE"""),29225)</f>
        <v>29225</v>
      </c>
      <c r="AC452" s="2">
        <f ca="1">IFERROR(__xludf.DUMMYFUNCTION("""COMPUTED_VALUE"""),29463)</f>
        <v>29463</v>
      </c>
      <c r="AD452" s="1" t="str">
        <f ca="1">IFERROR(__xludf.DUMMYFUNCTION("""COMPUTED_VALUE"""),"MERE")</f>
        <v>MERE</v>
      </c>
      <c r="AE452" s="1" t="str">
        <f ca="1">IFERROR(__xludf.DUMMYFUNCTION("""COMPUTED_VALUE"""),"PERE")</f>
        <v>PERE</v>
      </c>
      <c r="AF452" s="1" t="str">
        <f ca="1">IFERROR(__xludf.DUMMYFUNCTION("""COMPUTED_VALUE"""),"FRANCE")</f>
        <v>FRANCE</v>
      </c>
      <c r="AG452" s="1" t="str">
        <f ca="1">IFERROR(__xludf.DUMMYFUNCTION("""COMPUTED_VALUE"""),"FRANCE")</f>
        <v>FRANCE</v>
      </c>
      <c r="AH452" s="1"/>
      <c r="AI452" s="1" t="str">
        <f ca="1">IFERROR(__xludf.DUMMYFUNCTION("""COMPUTED_VALUE"""),"FRANCE")</f>
        <v>FRANCE</v>
      </c>
      <c r="AJ452" s="1" t="str">
        <f ca="1">IFERROR(__xludf.DUMMYFUNCTION("""COMPUTED_VALUE"""),"F1489")</f>
        <v>F1489</v>
      </c>
      <c r="AK452" s="1" t="str">
        <f ca="1">IFERROR(__xludf.DUMMYFUNCTION("""COMPUTED_VALUE"""),"Marié(e)")</f>
        <v>Marié(e)</v>
      </c>
      <c r="AL452" s="1" t="str">
        <f ca="1">IFERROR(__xludf.DUMMYFUNCTION("""COMPUTED_VALUE"""),"Marié(e)")</f>
        <v>Marié(e)</v>
      </c>
      <c r="AM452" s="1" t="str">
        <f ca="1">IFERROR(__xludf.DUMMYFUNCTION("""COMPUTED_VALUE"""),"F1489")</f>
        <v>F1489</v>
      </c>
    </row>
    <row r="453" spans="1:39" ht="13" x14ac:dyDescent="0.15">
      <c r="A453" s="1" t="str">
        <f ca="1">IFERROR(__xludf.DUMMYFUNCTION("""COMPUTED_VALUE"""),"NGBANDI Siloé")</f>
        <v>NGBANDI Siloé</v>
      </c>
      <c r="B453" s="1" t="str">
        <f ca="1">IFERROR(__xludf.DUMMYFUNCTION("""COMPUTED_VALUE"""),"NGBANDI")</f>
        <v>NGBANDI</v>
      </c>
      <c r="C453" s="1" t="str">
        <f ca="1">IFERROR(__xludf.DUMMYFUNCTION("""COMPUTED_VALUE"""),"Siloé")</f>
        <v>Siloé</v>
      </c>
      <c r="D453" s="1" t="str">
        <f ca="1">IFERROR(__xludf.DUMMYFUNCTION("""COMPUTED_VALUE"""),"1489E2")</f>
        <v>1489E2</v>
      </c>
      <c r="E453" s="2">
        <f ca="1">IFERROR(__xludf.DUMMYFUNCTION("""COMPUTED_VALUE"""),41858)</f>
        <v>41858</v>
      </c>
      <c r="F453" s="1" t="str">
        <f ca="1">IFERROR(__xludf.DUMMYFUNCTION("""COMPUTED_VALUE"""),"6EME2")</f>
        <v>6EME2</v>
      </c>
      <c r="G453" s="1" t="str">
        <f ca="1">IFERROR(__xludf.DUMMYFUNCTION("""COMPUTED_VALUE"""),"6ème")</f>
        <v>6ème</v>
      </c>
      <c r="H453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453" s="1" t="str">
        <f ca="1">IFERROR(__xludf.DUMMYFUNCTION("""COMPUTED_VALUE"""),"LVA Anglais")</f>
        <v>LVA Anglais</v>
      </c>
      <c r="J453" s="1" t="str">
        <f ca="1">IFERROR(__xludf.DUMMYFUNCTION("""COMPUTED_VALUE"""),"LVB Espagnol")</f>
        <v>LVB Espagnol</v>
      </c>
      <c r="K453" s="1"/>
      <c r="L453" s="1"/>
      <c r="M453" s="1"/>
      <c r="N453" s="1" t="str">
        <f ca="1">IFERROR(__xludf.DUMMYFUNCTION("""COMPUTED_VALUE"""),"Garçon")</f>
        <v>Garçon</v>
      </c>
      <c r="O453" s="1"/>
      <c r="P453" s="1" t="str">
        <f ca="1">IFERROR(__xludf.DUMMYFUNCTION("""COMPUTED_VALUE"""),"FRANCE")</f>
        <v>FRANCE</v>
      </c>
      <c r="Q453" s="1"/>
      <c r="R453" s="1" t="str">
        <f ca="1">IFERROR(__xludf.DUMMYFUNCTION("""COMPUTED_VALUE"""),"siloe.ngbandi@lfjpsaly.org")</f>
        <v>siloe.ngbandi@lfjpsaly.org</v>
      </c>
      <c r="S453" s="1" t="str">
        <f ca="1">IFERROR(__xludf.DUMMYFUNCTION("""COMPUTED_VALUE"""),"+221 78 120 67 14")</f>
        <v>+221 78 120 67 14</v>
      </c>
      <c r="T453" s="1" t="str">
        <f ca="1">IFERROR(__xludf.DUMMYFUNCTION("""COMPUTED_VALUE"""),"LEBARBÉ NGBANDI Cathy Aurélia Mireille")</f>
        <v>LEBARBÉ NGBANDI Cathy Aurélia Mireille</v>
      </c>
      <c r="U453" s="1" t="str">
        <f ca="1">IFERROR(__xludf.DUMMYFUNCTION("""COMPUTED_VALUE"""),"NGBANDI Prince Prosper")</f>
        <v>NGBANDI Prince Prosper</v>
      </c>
      <c r="V453" s="1" t="str">
        <f ca="1">IFERROR(__xludf.DUMMYFUNCTION("""COMPUTED_VALUE"""),"la_benie@live.fr")</f>
        <v>la_benie@live.fr</v>
      </c>
      <c r="W453" s="1" t="str">
        <f ca="1">IFERROR(__xludf.DUMMYFUNCTION("""COMPUTED_VALUE"""),"ngbandi@hotmail.com")</f>
        <v>ngbandi@hotmail.com</v>
      </c>
      <c r="X453" s="1" t="str">
        <f ca="1">IFERROR(__xludf.DUMMYFUNCTION("""COMPUTED_VALUE"""),"+221 78 120 67 14")</f>
        <v>+221 78 120 67 14</v>
      </c>
      <c r="Y453" s="1" t="str">
        <f ca="1">IFERROR(__xludf.DUMMYFUNCTION("""COMPUTED_VALUE"""),"+221 77 423 19 22")</f>
        <v>+221 77 423 19 22</v>
      </c>
      <c r="Z453" s="1" t="str">
        <f ca="1">IFERROR(__xludf.DUMMYFUNCTION("""COMPUTED_VALUE"""),"+221 77 196 80 89")</f>
        <v>+221 77 196 80 89</v>
      </c>
      <c r="AA453" s="1"/>
      <c r="AB453" s="2">
        <f ca="1">IFERROR(__xludf.DUMMYFUNCTION("""COMPUTED_VALUE"""),29225)</f>
        <v>29225</v>
      </c>
      <c r="AC453" s="2">
        <f ca="1">IFERROR(__xludf.DUMMYFUNCTION("""COMPUTED_VALUE"""),29463)</f>
        <v>29463</v>
      </c>
      <c r="AD453" s="1" t="str">
        <f ca="1">IFERROR(__xludf.DUMMYFUNCTION("""COMPUTED_VALUE"""),"MERE")</f>
        <v>MERE</v>
      </c>
      <c r="AE453" s="1" t="str">
        <f ca="1">IFERROR(__xludf.DUMMYFUNCTION("""COMPUTED_VALUE"""),"PERE")</f>
        <v>PERE</v>
      </c>
      <c r="AF453" s="1" t="str">
        <f ca="1">IFERROR(__xludf.DUMMYFUNCTION("""COMPUTED_VALUE"""),"FRANCE")</f>
        <v>FRANCE</v>
      </c>
      <c r="AG453" s="1" t="str">
        <f ca="1">IFERROR(__xludf.DUMMYFUNCTION("""COMPUTED_VALUE"""),"FRANCE")</f>
        <v>FRANCE</v>
      </c>
      <c r="AH453" s="1"/>
      <c r="AI453" s="1" t="str">
        <f ca="1">IFERROR(__xludf.DUMMYFUNCTION("""COMPUTED_VALUE"""),"FRANCE")</f>
        <v>FRANCE</v>
      </c>
      <c r="AJ453" s="1" t="str">
        <f ca="1">IFERROR(__xludf.DUMMYFUNCTION("""COMPUTED_VALUE"""),"F1489")</f>
        <v>F1489</v>
      </c>
      <c r="AK453" s="1" t="str">
        <f ca="1">IFERROR(__xludf.DUMMYFUNCTION("""COMPUTED_VALUE"""),"Marié(e)")</f>
        <v>Marié(e)</v>
      </c>
      <c r="AL453" s="1" t="str">
        <f ca="1">IFERROR(__xludf.DUMMYFUNCTION("""COMPUTED_VALUE"""),"Marié(e)")</f>
        <v>Marié(e)</v>
      </c>
      <c r="AM453" s="1" t="str">
        <f ca="1">IFERROR(__xludf.DUMMYFUNCTION("""COMPUTED_VALUE"""),"F1489")</f>
        <v>F1489</v>
      </c>
    </row>
    <row r="454" spans="1:39" ht="13" x14ac:dyDescent="0.15">
      <c r="A454" s="1" t="str">
        <f ca="1">IFERROR(__xludf.DUMMYFUNCTION("""COMPUTED_VALUE"""),"NGOM Aicha Khoyane")</f>
        <v>NGOM Aicha Khoyane</v>
      </c>
      <c r="B454" s="1" t="str">
        <f ca="1">IFERROR(__xludf.DUMMYFUNCTION("""COMPUTED_VALUE"""),"NGOM")</f>
        <v>NGOM</v>
      </c>
      <c r="C454" s="1" t="str">
        <f ca="1">IFERROR(__xludf.DUMMYFUNCTION("""COMPUTED_VALUE"""),"Aicha Khoyane")</f>
        <v>Aicha Khoyane</v>
      </c>
      <c r="D454" s="1" t="str">
        <f ca="1">IFERROR(__xludf.DUMMYFUNCTION("""COMPUTED_VALUE"""),"1490E1")</f>
        <v>1490E1</v>
      </c>
      <c r="E454" s="2">
        <f ca="1">IFERROR(__xludf.DUMMYFUNCTION("""COMPUTED_VALUE"""),40135)</f>
        <v>40135</v>
      </c>
      <c r="F454" s="1" t="str">
        <f ca="1">IFERROR(__xludf.DUMMYFUNCTION("""COMPUTED_VALUE"""),"1ERE2")</f>
        <v>1ERE2</v>
      </c>
      <c r="G454" s="1" t="str">
        <f ca="1">IFERROR(__xludf.DUMMYFUNCTION("""COMPUTED_VALUE"""),"1ère")</f>
        <v>1ère</v>
      </c>
      <c r="H454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454" s="1" t="str">
        <f ca="1">IFERROR(__xludf.DUMMYFUNCTION("""COMPUTED_VALUE"""),"LVA Anglais")</f>
        <v>LVA Anglais</v>
      </c>
      <c r="J454" s="1" t="str">
        <f ca="1">IFERROR(__xludf.DUMMYFUNCTION("""COMPUTED_VALUE"""),"LVB Espagnol")</f>
        <v>LVB Espagnol</v>
      </c>
      <c r="K454" s="1"/>
      <c r="L454" s="1"/>
      <c r="M454" s="1" t="str">
        <f ca="1">IFERROR(__xludf.DUMMYFUNCTION("""COMPUTED_VALUE"""),"SPE LLCE AMC, SPE MATHS, SPE SES")</f>
        <v>SPE LLCE AMC, SPE MATHS, SPE SES</v>
      </c>
      <c r="N454" s="1" t="str">
        <f ca="1">IFERROR(__xludf.DUMMYFUNCTION("""COMPUTED_VALUE"""),"Fille")</f>
        <v>Fille</v>
      </c>
      <c r="O454" s="1"/>
      <c r="P454" s="1" t="str">
        <f ca="1">IFERROR(__xludf.DUMMYFUNCTION("""COMPUTED_VALUE"""),"SENEGAL")</f>
        <v>SENEGAL</v>
      </c>
      <c r="Q454" s="1"/>
      <c r="R454" s="1" t="str">
        <f ca="1">IFERROR(__xludf.DUMMYFUNCTION("""COMPUTED_VALUE"""),"aicha.ngom@lfjpsaly.org")</f>
        <v>aicha.ngom@lfjpsaly.org</v>
      </c>
      <c r="S454" s="1"/>
      <c r="T454" s="1" t="str">
        <f ca="1">IFERROR(__xludf.DUMMYFUNCTION("""COMPUTED_VALUE"""),"NGOM Ibrahima")</f>
        <v>NGOM Ibrahima</v>
      </c>
      <c r="U454" s="1" t="str">
        <f ca="1">IFERROR(__xludf.DUMMYFUNCTION("""COMPUTED_VALUE"""),"DIOP Léna")</f>
        <v>DIOP Léna</v>
      </c>
      <c r="V454" s="1" t="str">
        <f ca="1">IFERROR(__xludf.DUMMYFUNCTION("""COMPUTED_VALUE"""),"ibrahimangom100@gmail.com")</f>
        <v>ibrahimangom100@gmail.com</v>
      </c>
      <c r="W454" s="1" t="str">
        <f ca="1">IFERROR(__xludf.DUMMYFUNCTION("""COMPUTED_VALUE"""),"lenadiop11@gmail.com")</f>
        <v>lenadiop11@gmail.com</v>
      </c>
      <c r="X454" s="1" t="str">
        <f ca="1">IFERROR(__xludf.DUMMYFUNCTION("""COMPUTED_VALUE"""),"+221 77 450 37 26")</f>
        <v>+221 77 450 37 26</v>
      </c>
      <c r="Y454" s="1" t="str">
        <f ca="1">IFERROR(__xludf.DUMMYFUNCTION("""COMPUTED_VALUE"""),"+221 77 450 37 26")</f>
        <v>+221 77 450 37 26</v>
      </c>
      <c r="Z454" s="1" t="str">
        <f ca="1">IFERROR(__xludf.DUMMYFUNCTION("""COMPUTED_VALUE"""),"+221")</f>
        <v>+221</v>
      </c>
      <c r="AA454" s="1" t="str">
        <f ca="1">IFERROR(__xludf.DUMMYFUNCTION("""COMPUTED_VALUE"""),"+221 71 019 88 88")</f>
        <v>+221 71 019 88 88</v>
      </c>
      <c r="AB454" s="2">
        <f ca="1">IFERROR(__xludf.DUMMYFUNCTION("""COMPUTED_VALUE"""),26225)</f>
        <v>26225</v>
      </c>
      <c r="AC454" s="2">
        <f ca="1">IFERROR(__xludf.DUMMYFUNCTION("""COMPUTED_VALUE"""),28075)</f>
        <v>28075</v>
      </c>
      <c r="AD454" s="1" t="str">
        <f ca="1">IFERROR(__xludf.DUMMYFUNCTION("""COMPUTED_VALUE"""),"PERE")</f>
        <v>PERE</v>
      </c>
      <c r="AE454" s="1" t="str">
        <f ca="1">IFERROR(__xludf.DUMMYFUNCTION("""COMPUTED_VALUE"""),"MERE")</f>
        <v>MERE</v>
      </c>
      <c r="AF454" s="1" t="str">
        <f ca="1">IFERROR(__xludf.DUMMYFUNCTION("""COMPUTED_VALUE"""),"SENEGAL")</f>
        <v>SENEGAL</v>
      </c>
      <c r="AG454" s="1" t="str">
        <f ca="1">IFERROR(__xludf.DUMMYFUNCTION("""COMPUTED_VALUE"""),"SENEGAL")</f>
        <v>SENEGAL</v>
      </c>
      <c r="AH454" s="1" t="str">
        <f ca="1">IFERROR(__xludf.DUMMYFUNCTION("""COMPUTED_VALUE"""),"FRANCE")</f>
        <v>FRANCE</v>
      </c>
      <c r="AI454" s="1"/>
      <c r="AJ454" s="1" t="str">
        <f ca="1">IFERROR(__xludf.DUMMYFUNCTION("""COMPUTED_VALUE"""),"F1490")</f>
        <v>F1490</v>
      </c>
      <c r="AK454" s="1" t="str">
        <f ca="1">IFERROR(__xludf.DUMMYFUNCTION("""COMPUTED_VALUE"""),"Marié(e)")</f>
        <v>Marié(e)</v>
      </c>
      <c r="AL454" s="1" t="str">
        <f ca="1">IFERROR(__xludf.DUMMYFUNCTION("""COMPUTED_VALUE"""),"Marié(e)")</f>
        <v>Marié(e)</v>
      </c>
      <c r="AM454" s="1" t="str">
        <f ca="1">IFERROR(__xludf.DUMMYFUNCTION("""COMPUTED_VALUE"""),"F1490")</f>
        <v>F1490</v>
      </c>
    </row>
    <row r="455" spans="1:39" ht="13" x14ac:dyDescent="0.15">
      <c r="A455" s="1" t="str">
        <f ca="1">IFERROR(__xludf.DUMMYFUNCTION("""COMPUTED_VALUE"""),"NGOM Fatima Zahra")</f>
        <v>NGOM Fatima Zahra</v>
      </c>
      <c r="B455" s="1" t="str">
        <f ca="1">IFERROR(__xludf.DUMMYFUNCTION("""COMPUTED_VALUE"""),"NGOM")</f>
        <v>NGOM</v>
      </c>
      <c r="C455" s="1" t="str">
        <f ca="1">IFERROR(__xludf.DUMMYFUNCTION("""COMPUTED_VALUE"""),"Fatima Zahra")</f>
        <v>Fatima Zahra</v>
      </c>
      <c r="D455" s="1" t="str">
        <f ca="1">IFERROR(__xludf.DUMMYFUNCTION("""COMPUTED_VALUE"""),"1490E2")</f>
        <v>1490E2</v>
      </c>
      <c r="E455" s="2">
        <f ca="1">IFERROR(__xludf.DUMMYFUNCTION("""COMPUTED_VALUE"""),41322)</f>
        <v>41322</v>
      </c>
      <c r="F455" s="1" t="str">
        <f ca="1">IFERROR(__xludf.DUMMYFUNCTION("""COMPUTED_VALUE"""),"5EME1")</f>
        <v>5EME1</v>
      </c>
      <c r="G455" s="1" t="str">
        <f ca="1">IFERROR(__xludf.DUMMYFUNCTION("""COMPUTED_VALUE"""),"5ème")</f>
        <v>5ème</v>
      </c>
      <c r="H455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455" s="1" t="str">
        <f ca="1">IFERROR(__xludf.DUMMYFUNCTION("""COMPUTED_VALUE"""),"LVA Anglais")</f>
        <v>LVA Anglais</v>
      </c>
      <c r="J455" s="1" t="str">
        <f ca="1">IFERROR(__xludf.DUMMYFUNCTION("""COMPUTED_VALUE"""),"LVB Espagnol")</f>
        <v>LVB Espagnol</v>
      </c>
      <c r="K455" s="1"/>
      <c r="L455" s="1"/>
      <c r="M455" s="1"/>
      <c r="N455" s="1" t="str">
        <f ca="1">IFERROR(__xludf.DUMMYFUNCTION("""COMPUTED_VALUE"""),"Fille")</f>
        <v>Fille</v>
      </c>
      <c r="O455" s="1"/>
      <c r="P455" s="1" t="str">
        <f ca="1">IFERROR(__xludf.DUMMYFUNCTION("""COMPUTED_VALUE"""),"SENEGAL")</f>
        <v>SENEGAL</v>
      </c>
      <c r="Q455" s="1"/>
      <c r="R455" s="1" t="str">
        <f ca="1">IFERROR(__xludf.DUMMYFUNCTION("""COMPUTED_VALUE"""),"fatima.ngom@lfjpsaly.org")</f>
        <v>fatima.ngom@lfjpsaly.org</v>
      </c>
      <c r="S455" s="1"/>
      <c r="T455" s="1" t="str">
        <f ca="1">IFERROR(__xludf.DUMMYFUNCTION("""COMPUTED_VALUE"""),"NGOM Ibrahima")</f>
        <v>NGOM Ibrahima</v>
      </c>
      <c r="U455" s="1" t="str">
        <f ca="1">IFERROR(__xludf.DUMMYFUNCTION("""COMPUTED_VALUE"""),"DIOP Léna")</f>
        <v>DIOP Léna</v>
      </c>
      <c r="V455" s="1" t="str">
        <f ca="1">IFERROR(__xludf.DUMMYFUNCTION("""COMPUTED_VALUE"""),"ibrahimangom100@gmail.com")</f>
        <v>ibrahimangom100@gmail.com</v>
      </c>
      <c r="W455" s="1" t="str">
        <f ca="1">IFERROR(__xludf.DUMMYFUNCTION("""COMPUTED_VALUE"""),"lenadiop11@gmail.com")</f>
        <v>lenadiop11@gmail.com</v>
      </c>
      <c r="X455" s="1" t="str">
        <f ca="1">IFERROR(__xludf.DUMMYFUNCTION("""COMPUTED_VALUE"""),"+221 77 450 37 26")</f>
        <v>+221 77 450 37 26</v>
      </c>
      <c r="Y455" s="1" t="str">
        <f ca="1">IFERROR(__xludf.DUMMYFUNCTION("""COMPUTED_VALUE"""),"+221 77 450 37 26")</f>
        <v>+221 77 450 37 26</v>
      </c>
      <c r="Z455" s="1" t="str">
        <f ca="1">IFERROR(__xludf.DUMMYFUNCTION("""COMPUTED_VALUE"""),"+221")</f>
        <v>+221</v>
      </c>
      <c r="AA455" s="1" t="str">
        <f ca="1">IFERROR(__xludf.DUMMYFUNCTION("""COMPUTED_VALUE"""),"+221 71 019 88 88")</f>
        <v>+221 71 019 88 88</v>
      </c>
      <c r="AB455" s="2">
        <f ca="1">IFERROR(__xludf.DUMMYFUNCTION("""COMPUTED_VALUE"""),26225)</f>
        <v>26225</v>
      </c>
      <c r="AC455" s="2">
        <f ca="1">IFERROR(__xludf.DUMMYFUNCTION("""COMPUTED_VALUE"""),28075)</f>
        <v>28075</v>
      </c>
      <c r="AD455" s="1" t="str">
        <f ca="1">IFERROR(__xludf.DUMMYFUNCTION("""COMPUTED_VALUE"""),"PERE")</f>
        <v>PERE</v>
      </c>
      <c r="AE455" s="1" t="str">
        <f ca="1">IFERROR(__xludf.DUMMYFUNCTION("""COMPUTED_VALUE"""),"MERE")</f>
        <v>MERE</v>
      </c>
      <c r="AF455" s="1" t="str">
        <f ca="1">IFERROR(__xludf.DUMMYFUNCTION("""COMPUTED_VALUE"""),"SENEGAL")</f>
        <v>SENEGAL</v>
      </c>
      <c r="AG455" s="1" t="str">
        <f ca="1">IFERROR(__xludf.DUMMYFUNCTION("""COMPUTED_VALUE"""),"SENEGAL")</f>
        <v>SENEGAL</v>
      </c>
      <c r="AH455" s="1" t="str">
        <f ca="1">IFERROR(__xludf.DUMMYFUNCTION("""COMPUTED_VALUE"""),"FRANCE")</f>
        <v>FRANCE</v>
      </c>
      <c r="AI455" s="1"/>
      <c r="AJ455" s="1" t="str">
        <f ca="1">IFERROR(__xludf.DUMMYFUNCTION("""COMPUTED_VALUE"""),"F1490")</f>
        <v>F1490</v>
      </c>
      <c r="AK455" s="1" t="str">
        <f ca="1">IFERROR(__xludf.DUMMYFUNCTION("""COMPUTED_VALUE"""),"Marié(e)")</f>
        <v>Marié(e)</v>
      </c>
      <c r="AL455" s="1" t="str">
        <f ca="1">IFERROR(__xludf.DUMMYFUNCTION("""COMPUTED_VALUE"""),"Marié(e)")</f>
        <v>Marié(e)</v>
      </c>
      <c r="AM455" s="1" t="str">
        <f ca="1">IFERROR(__xludf.DUMMYFUNCTION("""COMPUTED_VALUE"""),"F1490")</f>
        <v>F1490</v>
      </c>
    </row>
    <row r="456" spans="1:39" ht="13" x14ac:dyDescent="0.15">
      <c r="A456" s="1" t="str">
        <f ca="1">IFERROR(__xludf.DUMMYFUNCTION("""COMPUTED_VALUE"""),"NGOM Khadija")</f>
        <v>NGOM Khadija</v>
      </c>
      <c r="B456" s="1" t="str">
        <f ca="1">IFERROR(__xludf.DUMMYFUNCTION("""COMPUTED_VALUE"""),"NGOM")</f>
        <v>NGOM</v>
      </c>
      <c r="C456" s="1" t="str">
        <f ca="1">IFERROR(__xludf.DUMMYFUNCTION("""COMPUTED_VALUE"""),"Khadija")</f>
        <v>Khadija</v>
      </c>
      <c r="D456" s="1" t="str">
        <f ca="1">IFERROR(__xludf.DUMMYFUNCTION("""COMPUTED_VALUE"""),"1490E3")</f>
        <v>1490E3</v>
      </c>
      <c r="E456" s="2">
        <f ca="1">IFERROR(__xludf.DUMMYFUNCTION("""COMPUTED_VALUE"""),39508)</f>
        <v>39508</v>
      </c>
      <c r="F456" s="1" t="str">
        <f ca="1">IFERROR(__xludf.DUMMYFUNCTION("""COMPUTED_VALUE"""),"TERMINALE2")</f>
        <v>TERMINALE2</v>
      </c>
      <c r="G456" s="1" t="str">
        <f ca="1">IFERROR(__xludf.DUMMYFUNCTION("""COMPUTED_VALUE"""),"Terminale")</f>
        <v>Terminale</v>
      </c>
      <c r="H456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456" s="1" t="str">
        <f ca="1">IFERROR(__xludf.DUMMYFUNCTION("""COMPUTED_VALUE"""),"LVA Anglais")</f>
        <v>LVA Anglais</v>
      </c>
      <c r="J456" s="1" t="str">
        <f ca="1">IFERROR(__xludf.DUMMYFUNCTION("""COMPUTED_VALUE"""),"LVB Espagnol")</f>
        <v>LVB Espagnol</v>
      </c>
      <c r="K456" s="1"/>
      <c r="L456" s="1"/>
      <c r="M456" s="1" t="str">
        <f ca="1">IFERROR(__xludf.DUMMYFUNCTION("""COMPUTED_VALUE"""),"SPE HGGSP, SPE LLCE AMC")</f>
        <v>SPE HGGSP, SPE LLCE AMC</v>
      </c>
      <c r="N456" s="1" t="str">
        <f ca="1">IFERROR(__xludf.DUMMYFUNCTION("""COMPUTED_VALUE"""),"Fille")</f>
        <v>Fille</v>
      </c>
      <c r="O456" s="1"/>
      <c r="P456" s="1" t="str">
        <f ca="1">IFERROR(__xludf.DUMMYFUNCTION("""COMPUTED_VALUE"""),"SENEGAL")</f>
        <v>SENEGAL</v>
      </c>
      <c r="Q456" s="1"/>
      <c r="R456" s="1" t="str">
        <f ca="1">IFERROR(__xludf.DUMMYFUNCTION("""COMPUTED_VALUE"""),"khadija.ngom@lfjpsaly.org")</f>
        <v>khadija.ngom@lfjpsaly.org</v>
      </c>
      <c r="S456" s="1"/>
      <c r="T456" s="1" t="str">
        <f ca="1">IFERROR(__xludf.DUMMYFUNCTION("""COMPUTED_VALUE"""),"NGOM Ibrahima")</f>
        <v>NGOM Ibrahima</v>
      </c>
      <c r="U456" s="1" t="str">
        <f ca="1">IFERROR(__xludf.DUMMYFUNCTION("""COMPUTED_VALUE"""),"DIOP Léna")</f>
        <v>DIOP Léna</v>
      </c>
      <c r="V456" s="1" t="str">
        <f ca="1">IFERROR(__xludf.DUMMYFUNCTION("""COMPUTED_VALUE"""),"ibrahimangom100@gmail.com")</f>
        <v>ibrahimangom100@gmail.com</v>
      </c>
      <c r="W456" s="1" t="str">
        <f ca="1">IFERROR(__xludf.DUMMYFUNCTION("""COMPUTED_VALUE"""),"lenadiop11@gmail.com")</f>
        <v>lenadiop11@gmail.com</v>
      </c>
      <c r="X456" s="1" t="str">
        <f ca="1">IFERROR(__xludf.DUMMYFUNCTION("""COMPUTED_VALUE"""),"+221 77 450 37 26")</f>
        <v>+221 77 450 37 26</v>
      </c>
      <c r="Y456" s="1" t="str">
        <f ca="1">IFERROR(__xludf.DUMMYFUNCTION("""COMPUTED_VALUE"""),"+221 77 450 37 26")</f>
        <v>+221 77 450 37 26</v>
      </c>
      <c r="Z456" s="1" t="str">
        <f ca="1">IFERROR(__xludf.DUMMYFUNCTION("""COMPUTED_VALUE"""),"+221")</f>
        <v>+221</v>
      </c>
      <c r="AA456" s="1" t="str">
        <f ca="1">IFERROR(__xludf.DUMMYFUNCTION("""COMPUTED_VALUE"""),"+221 71 019 88 88")</f>
        <v>+221 71 019 88 88</v>
      </c>
      <c r="AB456" s="2">
        <f ca="1">IFERROR(__xludf.DUMMYFUNCTION("""COMPUTED_VALUE"""),26225)</f>
        <v>26225</v>
      </c>
      <c r="AC456" s="2">
        <f ca="1">IFERROR(__xludf.DUMMYFUNCTION("""COMPUTED_VALUE"""),28075)</f>
        <v>28075</v>
      </c>
      <c r="AD456" s="1" t="str">
        <f ca="1">IFERROR(__xludf.DUMMYFUNCTION("""COMPUTED_VALUE"""),"PERE")</f>
        <v>PERE</v>
      </c>
      <c r="AE456" s="1" t="str">
        <f ca="1">IFERROR(__xludf.DUMMYFUNCTION("""COMPUTED_VALUE"""),"MERE")</f>
        <v>MERE</v>
      </c>
      <c r="AF456" s="1" t="str">
        <f ca="1">IFERROR(__xludf.DUMMYFUNCTION("""COMPUTED_VALUE"""),"SENEGAL")</f>
        <v>SENEGAL</v>
      </c>
      <c r="AG456" s="1" t="str">
        <f ca="1">IFERROR(__xludf.DUMMYFUNCTION("""COMPUTED_VALUE"""),"SENEGAL")</f>
        <v>SENEGAL</v>
      </c>
      <c r="AH456" s="1" t="str">
        <f ca="1">IFERROR(__xludf.DUMMYFUNCTION("""COMPUTED_VALUE"""),"FRANCE")</f>
        <v>FRANCE</v>
      </c>
      <c r="AI456" s="1"/>
      <c r="AJ456" s="1" t="str">
        <f ca="1">IFERROR(__xludf.DUMMYFUNCTION("""COMPUTED_VALUE"""),"F1490")</f>
        <v>F1490</v>
      </c>
      <c r="AK456" s="1" t="str">
        <f ca="1">IFERROR(__xludf.DUMMYFUNCTION("""COMPUTED_VALUE"""),"Marié(e)")</f>
        <v>Marié(e)</v>
      </c>
      <c r="AL456" s="1" t="str">
        <f ca="1">IFERROR(__xludf.DUMMYFUNCTION("""COMPUTED_VALUE"""),"Marié(e)")</f>
        <v>Marié(e)</v>
      </c>
      <c r="AM456" s="1" t="str">
        <f ca="1">IFERROR(__xludf.DUMMYFUNCTION("""COMPUTED_VALUE"""),"F1490")</f>
        <v>F1490</v>
      </c>
    </row>
    <row r="457" spans="1:39" ht="13" x14ac:dyDescent="0.15">
      <c r="A457" s="1" t="str">
        <f ca="1">IFERROR(__xludf.DUMMYFUNCTION("""COMPUTED_VALUE"""),"NGOM Khady Meissa")</f>
        <v>NGOM Khady Meissa</v>
      </c>
      <c r="B457" s="1" t="str">
        <f ca="1">IFERROR(__xludf.DUMMYFUNCTION("""COMPUTED_VALUE"""),"NGOM")</f>
        <v>NGOM</v>
      </c>
      <c r="C457" s="1" t="str">
        <f ca="1">IFERROR(__xludf.DUMMYFUNCTION("""COMPUTED_VALUE"""),"Khady Meissa")</f>
        <v>Khady Meissa</v>
      </c>
      <c r="D457" s="1" t="str">
        <f ca="1">IFERROR(__xludf.DUMMYFUNCTION("""COMPUTED_VALUE"""),"1491E1")</f>
        <v>1491E1</v>
      </c>
      <c r="E457" s="2">
        <f ca="1">IFERROR(__xludf.DUMMYFUNCTION("""COMPUTED_VALUE"""),40250)</f>
        <v>40250</v>
      </c>
      <c r="F457" s="1" t="str">
        <f ca="1">IFERROR(__xludf.DUMMYFUNCTION("""COMPUTED_VALUE"""),"3EME1")</f>
        <v>3EME1</v>
      </c>
      <c r="G457" s="1" t="str">
        <f ca="1">IFERROR(__xludf.DUMMYFUNCTION("""COMPUTED_VALUE"""),"3ème")</f>
        <v>3ème</v>
      </c>
      <c r="H457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457" s="1" t="str">
        <f ca="1">IFERROR(__xludf.DUMMYFUNCTION("""COMPUTED_VALUE"""),"LVA Anglais")</f>
        <v>LVA Anglais</v>
      </c>
      <c r="J457" s="1" t="str">
        <f ca="1">IFERROR(__xludf.DUMMYFUNCTION("""COMPUTED_VALUE"""),"LVB Espagnol")</f>
        <v>LVB Espagnol</v>
      </c>
      <c r="K457" s="1"/>
      <c r="L457" s="1"/>
      <c r="M457" s="1"/>
      <c r="N457" s="1" t="str">
        <f ca="1">IFERROR(__xludf.DUMMYFUNCTION("""COMPUTED_VALUE"""),"Fille")</f>
        <v>Fille</v>
      </c>
      <c r="O457" s="1"/>
      <c r="P457" s="1" t="str">
        <f ca="1">IFERROR(__xludf.DUMMYFUNCTION("""COMPUTED_VALUE"""),"SENEGAL")</f>
        <v>SENEGAL</v>
      </c>
      <c r="Q457" s="1"/>
      <c r="R457" s="1" t="str">
        <f ca="1">IFERROR(__xludf.DUMMYFUNCTION("""COMPUTED_VALUE"""),"khady.ngom@lfjpsaly.org")</f>
        <v>khady.ngom@lfjpsaly.org</v>
      </c>
      <c r="S457" s="1" t="str">
        <f ca="1">IFERROR(__xludf.DUMMYFUNCTION("""COMPUTED_VALUE"""),"+221 77 638 46 46")</f>
        <v>+221 77 638 46 46</v>
      </c>
      <c r="T457" s="1" t="str">
        <f ca="1">IFERROR(__xludf.DUMMYFUNCTION("""COMPUTED_VALUE"""),"NGOM Meissa Deguene")</f>
        <v>NGOM Meissa Deguene</v>
      </c>
      <c r="U457" s="1"/>
      <c r="V457" s="1" t="str">
        <f ca="1">IFERROR(__xludf.DUMMYFUNCTION("""COMPUTED_VALUE"""),"mdngom@gmail.com")</f>
        <v>mdngom@gmail.com</v>
      </c>
      <c r="W457" s="1"/>
      <c r="X457" s="1" t="str">
        <f ca="1">IFERROR(__xludf.DUMMYFUNCTION("""COMPUTED_VALUE"""),"+221 77 638 46 46")</f>
        <v>+221 77 638 46 46</v>
      </c>
      <c r="Y457" s="1"/>
      <c r="Z457" s="1" t="str">
        <f ca="1">IFERROR(__xludf.DUMMYFUNCTION("""COMPUTED_VALUE"""),"+221 77 638 46 46")</f>
        <v>+221 77 638 46 46</v>
      </c>
      <c r="AA457" s="1"/>
      <c r="AB457" s="2">
        <f ca="1">IFERROR(__xludf.DUMMYFUNCTION("""COMPUTED_VALUE"""),22360)</f>
        <v>22360</v>
      </c>
      <c r="AC457" s="1"/>
      <c r="AD457" s="1" t="str">
        <f ca="1">IFERROR(__xludf.DUMMYFUNCTION("""COMPUTED_VALUE"""),"PERE")</f>
        <v>PERE</v>
      </c>
      <c r="AE457" s="1"/>
      <c r="AF457" s="1" t="str">
        <f ca="1">IFERROR(__xludf.DUMMYFUNCTION("""COMPUTED_VALUE"""),"SENEGAL")</f>
        <v>SENEGAL</v>
      </c>
      <c r="AG457" s="1"/>
      <c r="AH457" s="1"/>
      <c r="AI457" s="1"/>
      <c r="AJ457" s="1" t="str">
        <f ca="1">IFERROR(__xludf.DUMMYFUNCTION("""COMPUTED_VALUE"""),"F1491")</f>
        <v>F1491</v>
      </c>
      <c r="AK457" s="1" t="str">
        <f ca="1">IFERROR(__xludf.DUMMYFUNCTION("""COMPUTED_VALUE"""),"Divorcée")</f>
        <v>Divorcée</v>
      </c>
      <c r="AL457" s="1"/>
      <c r="AM457" s="1" t="str">
        <f ca="1">IFERROR(__xludf.DUMMYFUNCTION("""COMPUTED_VALUE"""),"F1491")</f>
        <v>F1491</v>
      </c>
    </row>
    <row r="458" spans="1:39" ht="13" x14ac:dyDescent="0.15">
      <c r="A458" s="1" t="str">
        <f ca="1">IFERROR(__xludf.DUMMYFUNCTION("""COMPUTED_VALUE"""),"NGOM Lamia")</f>
        <v>NGOM Lamia</v>
      </c>
      <c r="B458" s="1" t="str">
        <f ca="1">IFERROR(__xludf.DUMMYFUNCTION("""COMPUTED_VALUE"""),"NGOM")</f>
        <v>NGOM</v>
      </c>
      <c r="C458" s="1" t="str">
        <f ca="1">IFERROR(__xludf.DUMMYFUNCTION("""COMPUTED_VALUE"""),"Lamia")</f>
        <v>Lamia</v>
      </c>
      <c r="D458" s="1" t="str">
        <f ca="1">IFERROR(__xludf.DUMMYFUNCTION("""COMPUTED_VALUE"""),"1492E1")</f>
        <v>1492E1</v>
      </c>
      <c r="E458" s="2">
        <f ca="1">IFERROR(__xludf.DUMMYFUNCTION("""COMPUTED_VALUE"""),42430)</f>
        <v>42430</v>
      </c>
      <c r="F458" s="1" t="str">
        <f ca="1">IFERROR(__xludf.DUMMYFUNCTION("""COMPUTED_VALUE"""),"CM1A")</f>
        <v>CM1A</v>
      </c>
      <c r="G458" s="1" t="str">
        <f ca="1">IFERROR(__xludf.DUMMYFUNCTION("""COMPUTED_VALUE"""),"CM1")</f>
        <v>CM1</v>
      </c>
      <c r="H458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458" s="1"/>
      <c r="J458" s="1"/>
      <c r="K458" s="1"/>
      <c r="L458" s="1"/>
      <c r="M458" s="1"/>
      <c r="N458" s="1" t="str">
        <f ca="1">IFERROR(__xludf.DUMMYFUNCTION("""COMPUTED_VALUE"""),"Fille")</f>
        <v>Fille</v>
      </c>
      <c r="O458" s="1"/>
      <c r="P458" s="1" t="str">
        <f ca="1">IFERROR(__xludf.DUMMYFUNCTION("""COMPUTED_VALUE"""),"FRANCE")</f>
        <v>FRANCE</v>
      </c>
      <c r="Q458" s="1"/>
      <c r="R458" s="1"/>
      <c r="S458" s="1"/>
      <c r="T458" s="1" t="str">
        <f ca="1">IFERROR(__xludf.DUMMYFUNCTION("""COMPUTED_VALUE"""),"NGOM Manelle")</f>
        <v>NGOM Manelle</v>
      </c>
      <c r="U458" s="1" t="str">
        <f ca="1">IFERROR(__xludf.DUMMYFUNCTION("""COMPUTED_VALUE"""),"NGOM Abel")</f>
        <v>NGOM Abel</v>
      </c>
      <c r="V458" s="1" t="str">
        <f ca="1">IFERROR(__xludf.DUMMYFUNCTION("""COMPUTED_VALUE"""),"madamengom@yahoo.com")</f>
        <v>madamengom@yahoo.com</v>
      </c>
      <c r="W458" s="1" t="str">
        <f ca="1">IFERROR(__xludf.DUMMYFUNCTION("""COMPUTED_VALUE"""),"abelngom@yahoo.fr")</f>
        <v>abelngom@yahoo.fr</v>
      </c>
      <c r="X458" s="1" t="str">
        <f ca="1">IFERROR(__xludf.DUMMYFUNCTION("""COMPUTED_VALUE"""),"+221 76 252 92 18")</f>
        <v>+221 76 252 92 18</v>
      </c>
      <c r="Y458" s="1" t="str">
        <f ca="1">IFERROR(__xludf.DUMMYFUNCTION("""COMPUTED_VALUE"""),"+221 76 863 57 00")</f>
        <v>+221 76 863 57 00</v>
      </c>
      <c r="Z458" s="1" t="str">
        <f ca="1">IFERROR(__xludf.DUMMYFUNCTION("""COMPUTED_VALUE"""),"+221")</f>
        <v>+221</v>
      </c>
      <c r="AA458" s="1" t="str">
        <f ca="1">IFERROR(__xludf.DUMMYFUNCTION("""COMPUTED_VALUE"""),"+221")</f>
        <v>+221</v>
      </c>
      <c r="AB458" s="2">
        <f ca="1">IFERROR(__xludf.DUMMYFUNCTION("""COMPUTED_VALUE"""),32197)</f>
        <v>32197</v>
      </c>
      <c r="AC458" s="2">
        <f ca="1">IFERROR(__xludf.DUMMYFUNCTION("""COMPUTED_VALUE"""),30349)</f>
        <v>30349</v>
      </c>
      <c r="AD458" s="1" t="str">
        <f ca="1">IFERROR(__xludf.DUMMYFUNCTION("""COMPUTED_VALUE"""),"MERE")</f>
        <v>MERE</v>
      </c>
      <c r="AE458" s="1" t="str">
        <f ca="1">IFERROR(__xludf.DUMMYFUNCTION("""COMPUTED_VALUE"""),"PERE")</f>
        <v>PERE</v>
      </c>
      <c r="AF458" s="1" t="str">
        <f ca="1">IFERROR(__xludf.DUMMYFUNCTION("""COMPUTED_VALUE"""),"FRANCE")</f>
        <v>FRANCE</v>
      </c>
      <c r="AG458" s="1" t="str">
        <f ca="1">IFERROR(__xludf.DUMMYFUNCTION("""COMPUTED_VALUE"""),"SENEGAL")</f>
        <v>SENEGAL</v>
      </c>
      <c r="AH458" s="1"/>
      <c r="AI458" s="1" t="str">
        <f ca="1">IFERROR(__xludf.DUMMYFUNCTION("""COMPUTED_VALUE"""),"FRANCE")</f>
        <v>FRANCE</v>
      </c>
      <c r="AJ458" s="1" t="str">
        <f ca="1">IFERROR(__xludf.DUMMYFUNCTION("""COMPUTED_VALUE"""),"F1492")</f>
        <v>F1492</v>
      </c>
      <c r="AK458" s="1" t="str">
        <f ca="1">IFERROR(__xludf.DUMMYFUNCTION("""COMPUTED_VALUE"""),"Marié(e)")</f>
        <v>Marié(e)</v>
      </c>
      <c r="AL458" s="1" t="str">
        <f ca="1">IFERROR(__xludf.DUMMYFUNCTION("""COMPUTED_VALUE"""),"Marié(e)")</f>
        <v>Marié(e)</v>
      </c>
      <c r="AM458" s="1" t="str">
        <f ca="1">IFERROR(__xludf.DUMMYFUNCTION("""COMPUTED_VALUE"""),"F1492")</f>
        <v>F1492</v>
      </c>
    </row>
    <row r="459" spans="1:39" ht="13" x14ac:dyDescent="0.15">
      <c r="A459" s="1" t="str">
        <f ca="1">IFERROR(__xludf.DUMMYFUNCTION("""COMPUTED_VALUE"""),"NGOM Lamine")</f>
        <v>NGOM Lamine</v>
      </c>
      <c r="B459" s="1" t="str">
        <f ca="1">IFERROR(__xludf.DUMMYFUNCTION("""COMPUTED_VALUE"""),"NGOM")</f>
        <v>NGOM</v>
      </c>
      <c r="C459" s="1" t="str">
        <f ca="1">IFERROR(__xludf.DUMMYFUNCTION("""COMPUTED_VALUE"""),"Lamine")</f>
        <v>Lamine</v>
      </c>
      <c r="D459" s="1" t="str">
        <f ca="1">IFERROR(__xludf.DUMMYFUNCTION("""COMPUTED_VALUE"""),"1492E2")</f>
        <v>1492E2</v>
      </c>
      <c r="E459" s="2">
        <f ca="1">IFERROR(__xludf.DUMMYFUNCTION("""COMPUTED_VALUE"""),41985)</f>
        <v>41985</v>
      </c>
      <c r="F459" s="1" t="str">
        <f ca="1">IFERROR(__xludf.DUMMYFUNCTION("""COMPUTED_VALUE"""),"6EME2")</f>
        <v>6EME2</v>
      </c>
      <c r="G459" s="1" t="str">
        <f ca="1">IFERROR(__xludf.DUMMYFUNCTION("""COMPUTED_VALUE"""),"6ème")</f>
        <v>6ème</v>
      </c>
      <c r="H459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459" s="1" t="str">
        <f ca="1">IFERROR(__xludf.DUMMYFUNCTION("""COMPUTED_VALUE"""),"LVA Anglais")</f>
        <v>LVA Anglais</v>
      </c>
      <c r="J459" s="1" t="str">
        <f ca="1">IFERROR(__xludf.DUMMYFUNCTION("""COMPUTED_VALUE"""),"LVB Espagnol")</f>
        <v>LVB Espagnol</v>
      </c>
      <c r="K459" s="1"/>
      <c r="L459" s="1"/>
      <c r="M459" s="1"/>
      <c r="N459" s="1" t="str">
        <f ca="1">IFERROR(__xludf.DUMMYFUNCTION("""COMPUTED_VALUE"""),"Garçon")</f>
        <v>Garçon</v>
      </c>
      <c r="O459" s="1"/>
      <c r="P459" s="1" t="str">
        <f ca="1">IFERROR(__xludf.DUMMYFUNCTION("""COMPUTED_VALUE"""),"FRANCE")</f>
        <v>FRANCE</v>
      </c>
      <c r="Q459" s="1"/>
      <c r="R459" s="1" t="str">
        <f ca="1">IFERROR(__xludf.DUMMYFUNCTION("""COMPUTED_VALUE"""),"lamine.ngom@lfjpsaly.org")</f>
        <v>lamine.ngom@lfjpsaly.org</v>
      </c>
      <c r="S459" s="1" t="str">
        <f ca="1">IFERROR(__xludf.DUMMYFUNCTION("""COMPUTED_VALUE"""),"+221 76 252 92 18")</f>
        <v>+221 76 252 92 18</v>
      </c>
      <c r="T459" s="1" t="str">
        <f ca="1">IFERROR(__xludf.DUMMYFUNCTION("""COMPUTED_VALUE"""),"NGOM Manelle")</f>
        <v>NGOM Manelle</v>
      </c>
      <c r="U459" s="1" t="str">
        <f ca="1">IFERROR(__xludf.DUMMYFUNCTION("""COMPUTED_VALUE"""),"NGOM Abel")</f>
        <v>NGOM Abel</v>
      </c>
      <c r="V459" s="1" t="str">
        <f ca="1">IFERROR(__xludf.DUMMYFUNCTION("""COMPUTED_VALUE"""),"madamengom@yahoo.com")</f>
        <v>madamengom@yahoo.com</v>
      </c>
      <c r="W459" s="1" t="str">
        <f ca="1">IFERROR(__xludf.DUMMYFUNCTION("""COMPUTED_VALUE"""),"abelngom@yahoo.fr")</f>
        <v>abelngom@yahoo.fr</v>
      </c>
      <c r="X459" s="1" t="str">
        <f ca="1">IFERROR(__xludf.DUMMYFUNCTION("""COMPUTED_VALUE"""),"+221 76 252 92 18")</f>
        <v>+221 76 252 92 18</v>
      </c>
      <c r="Y459" s="1" t="str">
        <f ca="1">IFERROR(__xludf.DUMMYFUNCTION("""COMPUTED_VALUE"""),"+221 76 863 57 00")</f>
        <v>+221 76 863 57 00</v>
      </c>
      <c r="Z459" s="1" t="str">
        <f ca="1">IFERROR(__xludf.DUMMYFUNCTION("""COMPUTED_VALUE"""),"+221")</f>
        <v>+221</v>
      </c>
      <c r="AA459" s="1" t="str">
        <f ca="1">IFERROR(__xludf.DUMMYFUNCTION("""COMPUTED_VALUE"""),"+221")</f>
        <v>+221</v>
      </c>
      <c r="AB459" s="2">
        <f ca="1">IFERROR(__xludf.DUMMYFUNCTION("""COMPUTED_VALUE"""),32197)</f>
        <v>32197</v>
      </c>
      <c r="AC459" s="2">
        <f ca="1">IFERROR(__xludf.DUMMYFUNCTION("""COMPUTED_VALUE"""),30349)</f>
        <v>30349</v>
      </c>
      <c r="AD459" s="1" t="str">
        <f ca="1">IFERROR(__xludf.DUMMYFUNCTION("""COMPUTED_VALUE"""),"MERE")</f>
        <v>MERE</v>
      </c>
      <c r="AE459" s="1" t="str">
        <f ca="1">IFERROR(__xludf.DUMMYFUNCTION("""COMPUTED_VALUE"""),"PERE")</f>
        <v>PERE</v>
      </c>
      <c r="AF459" s="1" t="str">
        <f ca="1">IFERROR(__xludf.DUMMYFUNCTION("""COMPUTED_VALUE"""),"FRANCE")</f>
        <v>FRANCE</v>
      </c>
      <c r="AG459" s="1" t="str">
        <f ca="1">IFERROR(__xludf.DUMMYFUNCTION("""COMPUTED_VALUE"""),"SENEGAL")</f>
        <v>SENEGAL</v>
      </c>
      <c r="AH459" s="1"/>
      <c r="AI459" s="1" t="str">
        <f ca="1">IFERROR(__xludf.DUMMYFUNCTION("""COMPUTED_VALUE"""),"FRANCE")</f>
        <v>FRANCE</v>
      </c>
      <c r="AJ459" s="1" t="str">
        <f ca="1">IFERROR(__xludf.DUMMYFUNCTION("""COMPUTED_VALUE"""),"F1492")</f>
        <v>F1492</v>
      </c>
      <c r="AK459" s="1" t="str">
        <f ca="1">IFERROR(__xludf.DUMMYFUNCTION("""COMPUTED_VALUE"""),"Marié(e)")</f>
        <v>Marié(e)</v>
      </c>
      <c r="AL459" s="1" t="str">
        <f ca="1">IFERROR(__xludf.DUMMYFUNCTION("""COMPUTED_VALUE"""),"Marié(e)")</f>
        <v>Marié(e)</v>
      </c>
      <c r="AM459" s="1" t="str">
        <f ca="1">IFERROR(__xludf.DUMMYFUNCTION("""COMPUTED_VALUE"""),"F1492")</f>
        <v>F1492</v>
      </c>
    </row>
    <row r="460" spans="1:39" ht="13" x14ac:dyDescent="0.15">
      <c r="A460" s="1" t="str">
        <f ca="1">IFERROR(__xludf.DUMMYFUNCTION("""COMPUTED_VALUE"""),"NGOM Lia")</f>
        <v>NGOM Lia</v>
      </c>
      <c r="B460" s="1" t="str">
        <f ca="1">IFERROR(__xludf.DUMMYFUNCTION("""COMPUTED_VALUE"""),"NGOM")</f>
        <v>NGOM</v>
      </c>
      <c r="C460" s="1" t="str">
        <f ca="1">IFERROR(__xludf.DUMMYFUNCTION("""COMPUTED_VALUE"""),"Lia")</f>
        <v>Lia</v>
      </c>
      <c r="D460" s="1" t="str">
        <f ca="1">IFERROR(__xludf.DUMMYFUNCTION("""COMPUTED_VALUE"""),"1492E3")</f>
        <v>1492E3</v>
      </c>
      <c r="E460" s="2">
        <f ca="1">IFERROR(__xludf.DUMMYFUNCTION("""COMPUTED_VALUE"""),43650)</f>
        <v>43650</v>
      </c>
      <c r="F460" s="1" t="str">
        <f ca="1">IFERROR(__xludf.DUMMYFUNCTION("""COMPUTED_VALUE"""),"CP-CE2")</f>
        <v>CP-CE2</v>
      </c>
      <c r="G460" s="1" t="str">
        <f ca="1">IFERROR(__xludf.DUMMYFUNCTION("""COMPUTED_VALUE"""),"CP")</f>
        <v>CP</v>
      </c>
      <c r="H460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460" s="1"/>
      <c r="J460" s="1"/>
      <c r="K460" s="1"/>
      <c r="L460" s="1"/>
      <c r="M460" s="1"/>
      <c r="N460" s="1" t="str">
        <f ca="1">IFERROR(__xludf.DUMMYFUNCTION("""COMPUTED_VALUE"""),"Fille")</f>
        <v>Fille</v>
      </c>
      <c r="O460" s="1"/>
      <c r="P460" s="1" t="str">
        <f ca="1">IFERROR(__xludf.DUMMYFUNCTION("""COMPUTED_VALUE"""),"FRANCE")</f>
        <v>FRANCE</v>
      </c>
      <c r="Q460" s="1"/>
      <c r="R460" s="1"/>
      <c r="S460" s="1"/>
      <c r="T460" s="1" t="str">
        <f ca="1">IFERROR(__xludf.DUMMYFUNCTION("""COMPUTED_VALUE"""),"NGOM Manelle")</f>
        <v>NGOM Manelle</v>
      </c>
      <c r="U460" s="1" t="str">
        <f ca="1">IFERROR(__xludf.DUMMYFUNCTION("""COMPUTED_VALUE"""),"NGOM Abel")</f>
        <v>NGOM Abel</v>
      </c>
      <c r="V460" s="1" t="str">
        <f ca="1">IFERROR(__xludf.DUMMYFUNCTION("""COMPUTED_VALUE"""),"madamengom@yahoo.com")</f>
        <v>madamengom@yahoo.com</v>
      </c>
      <c r="W460" s="1" t="str">
        <f ca="1">IFERROR(__xludf.DUMMYFUNCTION("""COMPUTED_VALUE"""),"abelngom@yahoo.fr")</f>
        <v>abelngom@yahoo.fr</v>
      </c>
      <c r="X460" s="1" t="str">
        <f ca="1">IFERROR(__xludf.DUMMYFUNCTION("""COMPUTED_VALUE"""),"+221 76 252 92 18")</f>
        <v>+221 76 252 92 18</v>
      </c>
      <c r="Y460" s="1" t="str">
        <f ca="1">IFERROR(__xludf.DUMMYFUNCTION("""COMPUTED_VALUE"""),"+221 76 863 57 00")</f>
        <v>+221 76 863 57 00</v>
      </c>
      <c r="Z460" s="1" t="str">
        <f ca="1">IFERROR(__xludf.DUMMYFUNCTION("""COMPUTED_VALUE"""),"+221")</f>
        <v>+221</v>
      </c>
      <c r="AA460" s="1" t="str">
        <f ca="1">IFERROR(__xludf.DUMMYFUNCTION("""COMPUTED_VALUE"""),"+221")</f>
        <v>+221</v>
      </c>
      <c r="AB460" s="2">
        <f ca="1">IFERROR(__xludf.DUMMYFUNCTION("""COMPUTED_VALUE"""),32197)</f>
        <v>32197</v>
      </c>
      <c r="AC460" s="2">
        <f ca="1">IFERROR(__xludf.DUMMYFUNCTION("""COMPUTED_VALUE"""),30349)</f>
        <v>30349</v>
      </c>
      <c r="AD460" s="1" t="str">
        <f ca="1">IFERROR(__xludf.DUMMYFUNCTION("""COMPUTED_VALUE"""),"PERE")</f>
        <v>PERE</v>
      </c>
      <c r="AE460" s="1" t="str">
        <f ca="1">IFERROR(__xludf.DUMMYFUNCTION("""COMPUTED_VALUE"""),"MERE")</f>
        <v>MERE</v>
      </c>
      <c r="AF460" s="1" t="str">
        <f ca="1">IFERROR(__xludf.DUMMYFUNCTION("""COMPUTED_VALUE"""),"FRANCE")</f>
        <v>FRANCE</v>
      </c>
      <c r="AG460" s="1" t="str">
        <f ca="1">IFERROR(__xludf.DUMMYFUNCTION("""COMPUTED_VALUE"""),"SENEGAL")</f>
        <v>SENEGAL</v>
      </c>
      <c r="AH460" s="1"/>
      <c r="AI460" s="1" t="str">
        <f ca="1">IFERROR(__xludf.DUMMYFUNCTION("""COMPUTED_VALUE"""),"FRANCE")</f>
        <v>FRANCE</v>
      </c>
      <c r="AJ460" s="1" t="str">
        <f ca="1">IFERROR(__xludf.DUMMYFUNCTION("""COMPUTED_VALUE"""),"F1492")</f>
        <v>F1492</v>
      </c>
      <c r="AK460" s="1" t="str">
        <f ca="1">IFERROR(__xludf.DUMMYFUNCTION("""COMPUTED_VALUE"""),"Marié(e)")</f>
        <v>Marié(e)</v>
      </c>
      <c r="AL460" s="1" t="str">
        <f ca="1">IFERROR(__xludf.DUMMYFUNCTION("""COMPUTED_VALUE"""),"Marié(e)")</f>
        <v>Marié(e)</v>
      </c>
      <c r="AM460" s="1" t="str">
        <f ca="1">IFERROR(__xludf.DUMMYFUNCTION("""COMPUTED_VALUE"""),"F1492")</f>
        <v>F1492</v>
      </c>
    </row>
    <row r="461" spans="1:39" ht="13" x14ac:dyDescent="0.15">
      <c r="A461" s="1" t="str">
        <f ca="1">IFERROR(__xludf.DUMMYFUNCTION("""COMPUTED_VALUE"""),"NGOM Mouhamed")</f>
        <v>NGOM Mouhamed</v>
      </c>
      <c r="B461" s="1" t="str">
        <f ca="1">IFERROR(__xludf.DUMMYFUNCTION("""COMPUTED_VALUE"""),"NGOM")</f>
        <v>NGOM</v>
      </c>
      <c r="C461" s="1" t="str">
        <f ca="1">IFERROR(__xludf.DUMMYFUNCTION("""COMPUTED_VALUE"""),"Mouhamed")</f>
        <v>Mouhamed</v>
      </c>
      <c r="D461" s="1" t="str">
        <f ca="1">IFERROR(__xludf.DUMMYFUNCTION("""COMPUTED_VALUE"""),"1491E2")</f>
        <v>1491E2</v>
      </c>
      <c r="E461" s="2">
        <f ca="1">IFERROR(__xludf.DUMMYFUNCTION("""COMPUTED_VALUE"""),41150)</f>
        <v>41150</v>
      </c>
      <c r="F461" s="1" t="str">
        <f ca="1">IFERROR(__xludf.DUMMYFUNCTION("""COMPUTED_VALUE"""),"5EME1")</f>
        <v>5EME1</v>
      </c>
      <c r="G461" s="1" t="str">
        <f ca="1">IFERROR(__xludf.DUMMYFUNCTION("""COMPUTED_VALUE"""),"5ème")</f>
        <v>5ème</v>
      </c>
      <c r="H461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461" s="1" t="str">
        <f ca="1">IFERROR(__xludf.DUMMYFUNCTION("""COMPUTED_VALUE"""),"LVA Anglais")</f>
        <v>LVA Anglais</v>
      </c>
      <c r="J461" s="1" t="str">
        <f ca="1">IFERROR(__xludf.DUMMYFUNCTION("""COMPUTED_VALUE"""),"LVB Espagnol")</f>
        <v>LVB Espagnol</v>
      </c>
      <c r="K461" s="1"/>
      <c r="L461" s="1"/>
      <c r="M461" s="1"/>
      <c r="N461" s="1" t="str">
        <f ca="1">IFERROR(__xludf.DUMMYFUNCTION("""COMPUTED_VALUE"""),"Garçon")</f>
        <v>Garçon</v>
      </c>
      <c r="O461" s="1"/>
      <c r="P461" s="1" t="str">
        <f ca="1">IFERROR(__xludf.DUMMYFUNCTION("""COMPUTED_VALUE"""),"SENEGAL")</f>
        <v>SENEGAL</v>
      </c>
      <c r="Q461" s="1"/>
      <c r="R461" s="1" t="str">
        <f ca="1">IFERROR(__xludf.DUMMYFUNCTION("""COMPUTED_VALUE"""),"mouhamed.ngom@lfjpsaly.org")</f>
        <v>mouhamed.ngom@lfjpsaly.org</v>
      </c>
      <c r="S461" s="1" t="str">
        <f ca="1">IFERROR(__xludf.DUMMYFUNCTION("""COMPUTED_VALUE"""),"+221 77 638 46 46")</f>
        <v>+221 77 638 46 46</v>
      </c>
      <c r="T461" s="1" t="str">
        <f ca="1">IFERROR(__xludf.DUMMYFUNCTION("""COMPUTED_VALUE"""),"NGOM Meissa Deguene")</f>
        <v>NGOM Meissa Deguene</v>
      </c>
      <c r="U461" s="1"/>
      <c r="V461" s="1" t="str">
        <f ca="1">IFERROR(__xludf.DUMMYFUNCTION("""COMPUTED_VALUE"""),"mdngom@gmail.com")</f>
        <v>mdngom@gmail.com</v>
      </c>
      <c r="W461" s="1"/>
      <c r="X461" s="1" t="str">
        <f ca="1">IFERROR(__xludf.DUMMYFUNCTION("""COMPUTED_VALUE"""),"+221 77 638 46 46")</f>
        <v>+221 77 638 46 46</v>
      </c>
      <c r="Y461" s="1"/>
      <c r="Z461" s="1" t="str">
        <f ca="1">IFERROR(__xludf.DUMMYFUNCTION("""COMPUTED_VALUE"""),"+221 77 638 46 46")</f>
        <v>+221 77 638 46 46</v>
      </c>
      <c r="AA461" s="1"/>
      <c r="AB461" s="2">
        <f ca="1">IFERROR(__xludf.DUMMYFUNCTION("""COMPUTED_VALUE"""),22360)</f>
        <v>22360</v>
      </c>
      <c r="AC461" s="1"/>
      <c r="AD461" s="1" t="str">
        <f ca="1">IFERROR(__xludf.DUMMYFUNCTION("""COMPUTED_VALUE"""),"PERE")</f>
        <v>PERE</v>
      </c>
      <c r="AE461" s="1"/>
      <c r="AF461" s="1" t="str">
        <f ca="1">IFERROR(__xludf.DUMMYFUNCTION("""COMPUTED_VALUE"""),"SENEGAL")</f>
        <v>SENEGAL</v>
      </c>
      <c r="AG461" s="1"/>
      <c r="AH461" s="1"/>
      <c r="AI461" s="1"/>
      <c r="AJ461" s="1" t="str">
        <f ca="1">IFERROR(__xludf.DUMMYFUNCTION("""COMPUTED_VALUE"""),"F1491")</f>
        <v>F1491</v>
      </c>
      <c r="AK461" s="1" t="str">
        <f ca="1">IFERROR(__xludf.DUMMYFUNCTION("""COMPUTED_VALUE"""),"Divorcée")</f>
        <v>Divorcée</v>
      </c>
      <c r="AL461" s="1"/>
      <c r="AM461" s="1" t="str">
        <f ca="1">IFERROR(__xludf.DUMMYFUNCTION("""COMPUTED_VALUE"""),"F1491")</f>
        <v>F1491</v>
      </c>
    </row>
    <row r="462" spans="1:39" ht="13" x14ac:dyDescent="0.15">
      <c r="A462" s="1" t="str">
        <f ca="1">IFERROR(__xludf.DUMMYFUNCTION("""COMPUTED_VALUE"""),"NGOM Mouhamed Saliou")</f>
        <v>NGOM Mouhamed Saliou</v>
      </c>
      <c r="B462" s="1" t="str">
        <f ca="1">IFERROR(__xludf.DUMMYFUNCTION("""COMPUTED_VALUE"""),"NGOM")</f>
        <v>NGOM</v>
      </c>
      <c r="C462" s="1" t="str">
        <f ca="1">IFERROR(__xludf.DUMMYFUNCTION("""COMPUTED_VALUE"""),"Mouhamed Saliou")</f>
        <v>Mouhamed Saliou</v>
      </c>
      <c r="D462" s="1" t="str">
        <f ca="1">IFERROR(__xludf.DUMMYFUNCTION("""COMPUTED_VALUE"""),"1490E4")</f>
        <v>1490E4</v>
      </c>
      <c r="E462" s="2">
        <f ca="1">IFERROR(__xludf.DUMMYFUNCTION("""COMPUTED_VALUE"""),42147)</f>
        <v>42147</v>
      </c>
      <c r="F462" s="1" t="str">
        <f ca="1">IFERROR(__xludf.DUMMYFUNCTION("""COMPUTED_VALUE"""),"CM1A")</f>
        <v>CM1A</v>
      </c>
      <c r="G462" s="1" t="str">
        <f ca="1">IFERROR(__xludf.DUMMYFUNCTION("""COMPUTED_VALUE"""),"CM1")</f>
        <v>CM1</v>
      </c>
      <c r="H462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462" s="1"/>
      <c r="J462" s="1"/>
      <c r="K462" s="1"/>
      <c r="L462" s="1"/>
      <c r="M462" s="1"/>
      <c r="N462" s="1" t="str">
        <f ca="1">IFERROR(__xludf.DUMMYFUNCTION("""COMPUTED_VALUE"""),"Garçon")</f>
        <v>Garçon</v>
      </c>
      <c r="O462" s="1"/>
      <c r="P462" s="1" t="str">
        <f ca="1">IFERROR(__xludf.DUMMYFUNCTION("""COMPUTED_VALUE"""),"SENEGAL")</f>
        <v>SENEGAL</v>
      </c>
      <c r="Q462" s="1"/>
      <c r="R462" s="1"/>
      <c r="S462" s="1"/>
      <c r="T462" s="1" t="str">
        <f ca="1">IFERROR(__xludf.DUMMYFUNCTION("""COMPUTED_VALUE"""),"NGOM Ibrahima")</f>
        <v>NGOM Ibrahima</v>
      </c>
      <c r="U462" s="1" t="str">
        <f ca="1">IFERROR(__xludf.DUMMYFUNCTION("""COMPUTED_VALUE"""),"DIOP Léna")</f>
        <v>DIOP Léna</v>
      </c>
      <c r="V462" s="1" t="str">
        <f ca="1">IFERROR(__xludf.DUMMYFUNCTION("""COMPUTED_VALUE"""),"ibrahimangom100@gmail.com")</f>
        <v>ibrahimangom100@gmail.com</v>
      </c>
      <c r="W462" s="1" t="str">
        <f ca="1">IFERROR(__xludf.DUMMYFUNCTION("""COMPUTED_VALUE"""),"lenadiop11@gmail.com")</f>
        <v>lenadiop11@gmail.com</v>
      </c>
      <c r="X462" s="1" t="str">
        <f ca="1">IFERROR(__xludf.DUMMYFUNCTION("""COMPUTED_VALUE"""),"+221 77 450 37 26")</f>
        <v>+221 77 450 37 26</v>
      </c>
      <c r="Y462" s="1" t="str">
        <f ca="1">IFERROR(__xludf.DUMMYFUNCTION("""COMPUTED_VALUE"""),"+221 77 450 37 26")</f>
        <v>+221 77 450 37 26</v>
      </c>
      <c r="Z462" s="1" t="str">
        <f ca="1">IFERROR(__xludf.DUMMYFUNCTION("""COMPUTED_VALUE"""),"+221")</f>
        <v>+221</v>
      </c>
      <c r="AA462" s="1" t="str">
        <f ca="1">IFERROR(__xludf.DUMMYFUNCTION("""COMPUTED_VALUE"""),"+221 71 019 88 88")</f>
        <v>+221 71 019 88 88</v>
      </c>
      <c r="AB462" s="2">
        <f ca="1">IFERROR(__xludf.DUMMYFUNCTION("""COMPUTED_VALUE"""),26225)</f>
        <v>26225</v>
      </c>
      <c r="AC462" s="2">
        <f ca="1">IFERROR(__xludf.DUMMYFUNCTION("""COMPUTED_VALUE"""),28075)</f>
        <v>28075</v>
      </c>
      <c r="AD462" s="1" t="str">
        <f ca="1">IFERROR(__xludf.DUMMYFUNCTION("""COMPUTED_VALUE"""),"PERE")</f>
        <v>PERE</v>
      </c>
      <c r="AE462" s="1" t="str">
        <f ca="1">IFERROR(__xludf.DUMMYFUNCTION("""COMPUTED_VALUE"""),"MERE")</f>
        <v>MERE</v>
      </c>
      <c r="AF462" s="1" t="str">
        <f ca="1">IFERROR(__xludf.DUMMYFUNCTION("""COMPUTED_VALUE"""),"SENEGAL")</f>
        <v>SENEGAL</v>
      </c>
      <c r="AG462" s="1" t="str">
        <f ca="1">IFERROR(__xludf.DUMMYFUNCTION("""COMPUTED_VALUE"""),"SENEGAL")</f>
        <v>SENEGAL</v>
      </c>
      <c r="AH462" s="1" t="str">
        <f ca="1">IFERROR(__xludf.DUMMYFUNCTION("""COMPUTED_VALUE"""),"FRANCE")</f>
        <v>FRANCE</v>
      </c>
      <c r="AI462" s="1"/>
      <c r="AJ462" s="1" t="str">
        <f ca="1">IFERROR(__xludf.DUMMYFUNCTION("""COMPUTED_VALUE"""),"F1490")</f>
        <v>F1490</v>
      </c>
      <c r="AK462" s="1" t="str">
        <f ca="1">IFERROR(__xludf.DUMMYFUNCTION("""COMPUTED_VALUE"""),"Marié(e)")</f>
        <v>Marié(e)</v>
      </c>
      <c r="AL462" s="1" t="str">
        <f ca="1">IFERROR(__xludf.DUMMYFUNCTION("""COMPUTED_VALUE"""),"Marié(e)")</f>
        <v>Marié(e)</v>
      </c>
      <c r="AM462" s="1" t="str">
        <f ca="1">IFERROR(__xludf.DUMMYFUNCTION("""COMPUTED_VALUE"""),"F1490")</f>
        <v>F1490</v>
      </c>
    </row>
    <row r="463" spans="1:39" ht="13" x14ac:dyDescent="0.15">
      <c r="A463" s="1" t="str">
        <f ca="1">IFERROR(__xludf.DUMMYFUNCTION("""COMPUTED_VALUE"""),"NIABA Muhammad Ali")</f>
        <v>NIABA Muhammad Ali</v>
      </c>
      <c r="B463" s="1" t="str">
        <f ca="1">IFERROR(__xludf.DUMMYFUNCTION("""COMPUTED_VALUE"""),"NIABA")</f>
        <v>NIABA</v>
      </c>
      <c r="C463" s="1" t="str">
        <f ca="1">IFERROR(__xludf.DUMMYFUNCTION("""COMPUTED_VALUE"""),"Muhammad Ali")</f>
        <v>Muhammad Ali</v>
      </c>
      <c r="D463" s="1" t="str">
        <f ca="1">IFERROR(__xludf.DUMMYFUNCTION("""COMPUTED_VALUE"""),"1680E1")</f>
        <v>1680E1</v>
      </c>
      <c r="E463" s="2">
        <f ca="1">IFERROR(__xludf.DUMMYFUNCTION("""COMPUTED_VALUE"""),44271)</f>
        <v>44271</v>
      </c>
      <c r="F463" s="1" t="str">
        <f ca="1">IFERROR(__xludf.DUMMYFUNCTION("""COMPUTED_VALUE"""),"Mat 2")</f>
        <v>Mat 2</v>
      </c>
      <c r="G463" s="1" t="str">
        <f ca="1">IFERROR(__xludf.DUMMYFUNCTION("""COMPUTED_VALUE"""),"MS")</f>
        <v>MS</v>
      </c>
      <c r="H463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463" s="1"/>
      <c r="J463" s="1"/>
      <c r="K463" s="1"/>
      <c r="L463" s="1"/>
      <c r="M463" s="1"/>
      <c r="N463" s="1" t="str">
        <f ca="1">IFERROR(__xludf.DUMMYFUNCTION("""COMPUTED_VALUE"""),"Garçon")</f>
        <v>Garçon</v>
      </c>
      <c r="O463" s="1"/>
      <c r="P463" s="1" t="str">
        <f ca="1">IFERROR(__xludf.DUMMYFUNCTION("""COMPUTED_VALUE"""),"SENEGAL")</f>
        <v>SENEGAL</v>
      </c>
      <c r="Q463" s="1"/>
      <c r="R463" s="1"/>
      <c r="S463" s="1"/>
      <c r="T463" s="1" t="str">
        <f ca="1">IFERROR(__xludf.DUMMYFUNCTION("""COMPUTED_VALUE"""),"NIABA Jean Marc")</f>
        <v>NIABA Jean Marc</v>
      </c>
      <c r="U463" s="1" t="str">
        <f ca="1">IFERROR(__xludf.DUMMYFUNCTION("""COMPUTED_VALUE"""),"NIABA Adja Sarata")</f>
        <v>NIABA Adja Sarata</v>
      </c>
      <c r="V463" s="1" t="str">
        <f ca="1">IFERROR(__xludf.DUMMYFUNCTION("""COMPUTED_VALUE"""),"jmsniaba@gmail.com")</f>
        <v>jmsniaba@gmail.com</v>
      </c>
      <c r="W463" s="1" t="str">
        <f ca="1">IFERROR(__xludf.DUMMYFUNCTION("""COMPUTED_VALUE"""),"jmsniaba@gmail.com")</f>
        <v>jmsniaba@gmail.com</v>
      </c>
      <c r="X463" s="1" t="str">
        <f ca="1">IFERROR(__xludf.DUMMYFUNCTION("""COMPUTED_VALUE"""),"+221 77 626 42 23")</f>
        <v>+221 77 626 42 23</v>
      </c>
      <c r="Y463" s="1" t="str">
        <f ca="1">IFERROR(__xludf.DUMMYFUNCTION("""COMPUTED_VALUE"""),"781334764")</f>
        <v>781334764</v>
      </c>
      <c r="Z463" s="1" t="str">
        <f ca="1">IFERROR(__xludf.DUMMYFUNCTION("""COMPUTED_VALUE"""),"+221 77 132 41 74")</f>
        <v>+221 77 132 41 74</v>
      </c>
      <c r="AA463" s="1" t="str">
        <f ca="1">IFERROR(__xludf.DUMMYFUNCTION("""COMPUTED_VALUE"""),"+221 77 132 41 74")</f>
        <v>+221 77 132 41 74</v>
      </c>
      <c r="AB463" s="2">
        <f ca="1">IFERROR(__xludf.DUMMYFUNCTION("""COMPUTED_VALUE"""),28349)</f>
        <v>28349</v>
      </c>
      <c r="AC463" s="2">
        <f ca="1">IFERROR(__xludf.DUMMYFUNCTION("""COMPUTED_VALUE"""),33715)</f>
        <v>33715</v>
      </c>
      <c r="AD463" s="1" t="str">
        <f ca="1">IFERROR(__xludf.DUMMYFUNCTION("""COMPUTED_VALUE"""),"PERE")</f>
        <v>PERE</v>
      </c>
      <c r="AE463" s="1" t="str">
        <f ca="1">IFERROR(__xludf.DUMMYFUNCTION("""COMPUTED_VALUE"""),"MERE")</f>
        <v>MERE</v>
      </c>
      <c r="AF463" s="1" t="str">
        <f ca="1">IFERROR(__xludf.DUMMYFUNCTION("""COMPUTED_VALUE"""),"SENEGAL")</f>
        <v>SENEGAL</v>
      </c>
      <c r="AG463" s="1" t="str">
        <f ca="1">IFERROR(__xludf.DUMMYFUNCTION("""COMPUTED_VALUE"""),"SENEGAL")</f>
        <v>SENEGAL</v>
      </c>
      <c r="AH463" s="1"/>
      <c r="AI463" s="1"/>
      <c r="AJ463" s="1" t="str">
        <f ca="1">IFERROR(__xludf.DUMMYFUNCTION("""COMPUTED_VALUE"""),"F1680")</f>
        <v>F1680</v>
      </c>
      <c r="AK463" s="1" t="str">
        <f ca="1">IFERROR(__xludf.DUMMYFUNCTION("""COMPUTED_VALUE"""),"Marié(e)")</f>
        <v>Marié(e)</v>
      </c>
      <c r="AL463" s="1" t="str">
        <f ca="1">IFERROR(__xludf.DUMMYFUNCTION("""COMPUTED_VALUE"""),"Marié(e)")</f>
        <v>Marié(e)</v>
      </c>
      <c r="AM463" s="1" t="str">
        <f ca="1">IFERROR(__xludf.DUMMYFUNCTION("""COMPUTED_VALUE"""),"F1680")</f>
        <v>F1680</v>
      </c>
    </row>
    <row r="464" spans="1:39" ht="13" x14ac:dyDescent="0.15">
      <c r="A464" s="1" t="str">
        <f ca="1">IFERROR(__xludf.DUMMYFUNCTION("""COMPUTED_VALUE"""),"NIANG Abdoulaye El Moustapha")</f>
        <v>NIANG Abdoulaye El Moustapha</v>
      </c>
      <c r="B464" s="1" t="str">
        <f ca="1">IFERROR(__xludf.DUMMYFUNCTION("""COMPUTED_VALUE"""),"NIANG")</f>
        <v>NIANG</v>
      </c>
      <c r="C464" s="1" t="str">
        <f ca="1">IFERROR(__xludf.DUMMYFUNCTION("""COMPUTED_VALUE"""),"Abdoulaye El Moustapha")</f>
        <v>Abdoulaye El Moustapha</v>
      </c>
      <c r="D464" s="1" t="str">
        <f ca="1">IFERROR(__xludf.DUMMYFUNCTION("""COMPUTED_VALUE"""),"1494E1")</f>
        <v>1494E1</v>
      </c>
      <c r="E464" s="2">
        <f ca="1">IFERROR(__xludf.DUMMYFUNCTION("""COMPUTED_VALUE"""),41134)</f>
        <v>41134</v>
      </c>
      <c r="F464" s="1" t="str">
        <f ca="1">IFERROR(__xludf.DUMMYFUNCTION("""COMPUTED_VALUE"""),"4EME2")</f>
        <v>4EME2</v>
      </c>
      <c r="G464" s="1" t="str">
        <f ca="1">IFERROR(__xludf.DUMMYFUNCTION("""COMPUTED_VALUE"""),"4ème")</f>
        <v>4ème</v>
      </c>
      <c r="H464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464" s="1" t="str">
        <f ca="1">IFERROR(__xludf.DUMMYFUNCTION("""COMPUTED_VALUE"""),"LVA Anglais")</f>
        <v>LVA Anglais</v>
      </c>
      <c r="J464" s="1" t="str">
        <f ca="1">IFERROR(__xludf.DUMMYFUNCTION("""COMPUTED_VALUE"""),"LVB Espagnol")</f>
        <v>LVB Espagnol</v>
      </c>
      <c r="K464" s="1"/>
      <c r="L464" s="1"/>
      <c r="M464" s="1"/>
      <c r="N464" s="1" t="str">
        <f ca="1">IFERROR(__xludf.DUMMYFUNCTION("""COMPUTED_VALUE"""),"Garçon")</f>
        <v>Garçon</v>
      </c>
      <c r="O464" s="1"/>
      <c r="P464" s="1" t="str">
        <f ca="1">IFERROR(__xludf.DUMMYFUNCTION("""COMPUTED_VALUE"""),"FRANCE")</f>
        <v>FRANCE</v>
      </c>
      <c r="Q464" s="1" t="str">
        <f ca="1">IFERROR(__xludf.DUMMYFUNCTION("""COMPUTED_VALUE"""),"SENEGAL")</f>
        <v>SENEGAL</v>
      </c>
      <c r="R464" s="1" t="str">
        <f ca="1">IFERROR(__xludf.DUMMYFUNCTION("""COMPUTED_VALUE"""),"abdoulaye.niang@lfjpsaly.org")</f>
        <v>abdoulaye.niang@lfjpsaly.org</v>
      </c>
      <c r="S464" s="1" t="str">
        <f ca="1">IFERROR(__xludf.DUMMYFUNCTION("""COMPUTED_VALUE"""),"+221 77 553 44 41")</f>
        <v>+221 77 553 44 41</v>
      </c>
      <c r="T464" s="1" t="str">
        <f ca="1">IFERROR(__xludf.DUMMYFUNCTION("""COMPUTED_VALUE"""),"NIANG Mamadou")</f>
        <v>NIANG Mamadou</v>
      </c>
      <c r="U464" s="1" t="str">
        <f ca="1">IFERROR(__xludf.DUMMYFUNCTION("""COMPUTED_VALUE"""),"NIANG Pourmera Fall")</f>
        <v>NIANG Pourmera Fall</v>
      </c>
      <c r="V464" s="1" t="str">
        <f ca="1">IFERROR(__xludf.DUMMYFUNCTION("""COMPUTED_VALUE"""),"n_mamadou@hotmail.com")</f>
        <v>n_mamadou@hotmail.com</v>
      </c>
      <c r="W464" s="1" t="str">
        <f ca="1">IFERROR(__xludf.DUMMYFUNCTION("""COMPUTED_VALUE"""),"pourkikiniang@gmail.com")</f>
        <v>pourkikiniang@gmail.com</v>
      </c>
      <c r="X464" s="1" t="str">
        <f ca="1">IFERROR(__xludf.DUMMYFUNCTION("""COMPUTED_VALUE"""),"+221 77 560 97 25")</f>
        <v>+221 77 560 97 25</v>
      </c>
      <c r="Y464" s="1" t="str">
        <f ca="1">IFERROR(__xludf.DUMMYFUNCTION("""COMPUTED_VALUE"""),"+221 77 630 66 80")</f>
        <v>+221 77 630 66 80</v>
      </c>
      <c r="Z464" s="1" t="str">
        <f ca="1">IFERROR(__xludf.DUMMYFUNCTION("""COMPUTED_VALUE"""),"+221")</f>
        <v>+221</v>
      </c>
      <c r="AA464" s="1"/>
      <c r="AB464" s="2">
        <f ca="1">IFERROR(__xludf.DUMMYFUNCTION("""COMPUTED_VALUE"""),20020)</f>
        <v>20020</v>
      </c>
      <c r="AC464" s="2">
        <f ca="1">IFERROR(__xludf.DUMMYFUNCTION("""COMPUTED_VALUE"""),26229)</f>
        <v>26229</v>
      </c>
      <c r="AD464" s="1" t="str">
        <f ca="1">IFERROR(__xludf.DUMMYFUNCTION("""COMPUTED_VALUE"""),"PERE")</f>
        <v>PERE</v>
      </c>
      <c r="AE464" s="1" t="str">
        <f ca="1">IFERROR(__xludf.DUMMYFUNCTION("""COMPUTED_VALUE"""),"MERE")</f>
        <v>MERE</v>
      </c>
      <c r="AF464" s="1" t="str">
        <f ca="1">IFERROR(__xludf.DUMMYFUNCTION("""COMPUTED_VALUE"""),"FRANCE")</f>
        <v>FRANCE</v>
      </c>
      <c r="AG464" s="1" t="str">
        <f ca="1">IFERROR(__xludf.DUMMYFUNCTION("""COMPUTED_VALUE"""),"SENEGAL")</f>
        <v>SENEGAL</v>
      </c>
      <c r="AH464" s="1" t="str">
        <f ca="1">IFERROR(__xludf.DUMMYFUNCTION("""COMPUTED_VALUE"""),"SENEGAL")</f>
        <v>SENEGAL</v>
      </c>
      <c r="AI464" s="1"/>
      <c r="AJ464" s="1" t="str">
        <f ca="1">IFERROR(__xludf.DUMMYFUNCTION("""COMPUTED_VALUE"""),"F1494")</f>
        <v>F1494</v>
      </c>
      <c r="AK464" s="1" t="str">
        <f ca="1">IFERROR(__xludf.DUMMYFUNCTION("""COMPUTED_VALUE"""),"Marié(e)")</f>
        <v>Marié(e)</v>
      </c>
      <c r="AL464" s="1" t="str">
        <f ca="1">IFERROR(__xludf.DUMMYFUNCTION("""COMPUTED_VALUE"""),"Marié(e)")</f>
        <v>Marié(e)</v>
      </c>
      <c r="AM464" s="1" t="str">
        <f ca="1">IFERROR(__xludf.DUMMYFUNCTION("""COMPUTED_VALUE"""),"F1494")</f>
        <v>F1494</v>
      </c>
    </row>
    <row r="465" spans="1:39" ht="13" x14ac:dyDescent="0.15">
      <c r="A465" s="1" t="str">
        <f ca="1">IFERROR(__xludf.DUMMYFUNCTION("""COMPUTED_VALUE"""),"NIANG Fatoumata Bintou Cheikh")</f>
        <v>NIANG Fatoumata Bintou Cheikh</v>
      </c>
      <c r="B465" s="1" t="str">
        <f ca="1">IFERROR(__xludf.DUMMYFUNCTION("""COMPUTED_VALUE"""),"NIANG")</f>
        <v>NIANG</v>
      </c>
      <c r="C465" s="1" t="str">
        <f ca="1">IFERROR(__xludf.DUMMYFUNCTION("""COMPUTED_VALUE"""),"Fatoumata Bintou Cheikh")</f>
        <v>Fatoumata Bintou Cheikh</v>
      </c>
      <c r="D465" s="1" t="str">
        <f ca="1">IFERROR(__xludf.DUMMYFUNCTION("""COMPUTED_VALUE"""),"1496E2")</f>
        <v>1496E2</v>
      </c>
      <c r="E465" s="2">
        <f ca="1">IFERROR(__xludf.DUMMYFUNCTION("""COMPUTED_VALUE"""),40911)</f>
        <v>40911</v>
      </c>
      <c r="F465" s="1" t="str">
        <f ca="1">IFERROR(__xludf.DUMMYFUNCTION("""COMPUTED_VALUE"""),"4EME2")</f>
        <v>4EME2</v>
      </c>
      <c r="G465" s="1" t="str">
        <f ca="1">IFERROR(__xludf.DUMMYFUNCTION("""COMPUTED_VALUE"""),"4ème")</f>
        <v>4ème</v>
      </c>
      <c r="H465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465" s="1" t="str">
        <f ca="1">IFERROR(__xludf.DUMMYFUNCTION("""COMPUTED_VALUE"""),"LVA Anglais")</f>
        <v>LVA Anglais</v>
      </c>
      <c r="J465" s="1" t="str">
        <f ca="1">IFERROR(__xludf.DUMMYFUNCTION("""COMPUTED_VALUE"""),"LVB Espagnol")</f>
        <v>LVB Espagnol</v>
      </c>
      <c r="K465" s="1"/>
      <c r="L465" s="1"/>
      <c r="M465" s="1"/>
      <c r="N465" s="1" t="str">
        <f ca="1">IFERROR(__xludf.DUMMYFUNCTION("""COMPUTED_VALUE"""),"Fille")</f>
        <v>Fille</v>
      </c>
      <c r="O465" s="1"/>
      <c r="P465" s="1" t="str">
        <f ca="1">IFERROR(__xludf.DUMMYFUNCTION("""COMPUTED_VALUE"""),"SENEGAL")</f>
        <v>SENEGAL</v>
      </c>
      <c r="Q465" s="1"/>
      <c r="R465" s="1" t="str">
        <f ca="1">IFERROR(__xludf.DUMMYFUNCTION("""COMPUTED_VALUE"""),"fatoumatabintou.niang@lfjpsaly.org")</f>
        <v>fatoumatabintou.niang@lfjpsaly.org</v>
      </c>
      <c r="S465" s="1" t="str">
        <f ca="1">IFERROR(__xludf.DUMMYFUNCTION("""COMPUTED_VALUE"""),"+221 78 651 07 07")</f>
        <v>+221 78 651 07 07</v>
      </c>
      <c r="T465" s="1" t="str">
        <f ca="1">IFERROR(__xludf.DUMMYFUNCTION("""COMPUTED_VALUE"""),"NIANG Cheikh Tidiane")</f>
        <v>NIANG Cheikh Tidiane</v>
      </c>
      <c r="U465" s="1"/>
      <c r="V465" s="1" t="str">
        <f ca="1">IFERROR(__xludf.DUMMYFUNCTION("""COMPUTED_VALUE"""),"niangcheikh93@gmail.com")</f>
        <v>niangcheikh93@gmail.com</v>
      </c>
      <c r="W465" s="1"/>
      <c r="X465" s="1" t="str">
        <f ca="1">IFERROR(__xludf.DUMMYFUNCTION("""COMPUTED_VALUE"""),"+221 78 651 07 07")</f>
        <v>+221 78 651 07 07</v>
      </c>
      <c r="Y465" s="1"/>
      <c r="Z465" s="1" t="str">
        <f ca="1">IFERROR(__xludf.DUMMYFUNCTION("""COMPUTED_VALUE"""),"+60 11-2101 9883")</f>
        <v>+60 11-2101 9883</v>
      </c>
      <c r="AA465" s="1"/>
      <c r="AB465" s="2">
        <f ca="1">IFERROR(__xludf.DUMMYFUNCTION("""COMPUTED_VALUE"""),29285)</f>
        <v>29285</v>
      </c>
      <c r="AC465" s="1"/>
      <c r="AD465" s="1" t="str">
        <f ca="1">IFERROR(__xludf.DUMMYFUNCTION("""COMPUTED_VALUE"""),"PERE")</f>
        <v>PERE</v>
      </c>
      <c r="AE465" s="1"/>
      <c r="AF465" s="1" t="str">
        <f ca="1">IFERROR(__xludf.DUMMYFUNCTION("""COMPUTED_VALUE"""),"SENEGAL")</f>
        <v>SENEGAL</v>
      </c>
      <c r="AG465" s="1"/>
      <c r="AH465" s="1"/>
      <c r="AI465" s="1"/>
      <c r="AJ465" s="1" t="str">
        <f ca="1">IFERROR(__xludf.DUMMYFUNCTION("""COMPUTED_VALUE"""),"F1496")</f>
        <v>F1496</v>
      </c>
      <c r="AK465" s="1" t="str">
        <f ca="1">IFERROR(__xludf.DUMMYFUNCTION("""COMPUTED_VALUE"""),"Marié(e)")</f>
        <v>Marié(e)</v>
      </c>
      <c r="AL465" s="1"/>
      <c r="AM465" s="1" t="str">
        <f ca="1">IFERROR(__xludf.DUMMYFUNCTION("""COMPUTED_VALUE"""),"F1496")</f>
        <v>F1496</v>
      </c>
    </row>
    <row r="466" spans="1:39" ht="13" x14ac:dyDescent="0.15">
      <c r="A466" s="1" t="str">
        <f ca="1">IFERROR(__xludf.DUMMYFUNCTION("""COMPUTED_VALUE"""),"NIANG Fatoumata Helene Semou")</f>
        <v>NIANG Fatoumata Helene Semou</v>
      </c>
      <c r="B466" s="1" t="str">
        <f ca="1">IFERROR(__xludf.DUMMYFUNCTION("""COMPUTED_VALUE"""),"NIANG")</f>
        <v>NIANG</v>
      </c>
      <c r="C466" s="1" t="str">
        <f ca="1">IFERROR(__xludf.DUMMYFUNCTION("""COMPUTED_VALUE"""),"Fatoumata Helene Semou")</f>
        <v>Fatoumata Helene Semou</v>
      </c>
      <c r="D466" s="1" t="str">
        <f ca="1">IFERROR(__xludf.DUMMYFUNCTION("""COMPUTED_VALUE"""),"1494E2")</f>
        <v>1494E2</v>
      </c>
      <c r="E466" s="2">
        <f ca="1">IFERROR(__xludf.DUMMYFUNCTION("""COMPUTED_VALUE"""),40055)</f>
        <v>40055</v>
      </c>
      <c r="F466" s="1" t="str">
        <f ca="1">IFERROR(__xludf.DUMMYFUNCTION("""COMPUTED_VALUE"""),"1ERE2")</f>
        <v>1ERE2</v>
      </c>
      <c r="G466" s="1" t="str">
        <f ca="1">IFERROR(__xludf.DUMMYFUNCTION("""COMPUTED_VALUE"""),"1ère")</f>
        <v>1ère</v>
      </c>
      <c r="H466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466" s="1" t="str">
        <f ca="1">IFERROR(__xludf.DUMMYFUNCTION("""COMPUTED_VALUE"""),"LVA Anglais")</f>
        <v>LVA Anglais</v>
      </c>
      <c r="J466" s="1" t="str">
        <f ca="1">IFERROR(__xludf.DUMMYFUNCTION("""COMPUTED_VALUE"""),"LVB Espagnol")</f>
        <v>LVB Espagnol</v>
      </c>
      <c r="K466" s="1"/>
      <c r="L466" s="1"/>
      <c r="M466" s="1" t="str">
        <f ca="1">IFERROR(__xludf.DUMMYFUNCTION("""COMPUTED_VALUE"""),"SPE HGGSP, SPE LLCE AMC, SPE MATHS")</f>
        <v>SPE HGGSP, SPE LLCE AMC, SPE MATHS</v>
      </c>
      <c r="N466" s="1" t="str">
        <f ca="1">IFERROR(__xludf.DUMMYFUNCTION("""COMPUTED_VALUE"""),"Fille")</f>
        <v>Fille</v>
      </c>
      <c r="O466" s="1"/>
      <c r="P466" s="1" t="str">
        <f ca="1">IFERROR(__xludf.DUMMYFUNCTION("""COMPUTED_VALUE"""),"FRANCE")</f>
        <v>FRANCE</v>
      </c>
      <c r="Q466" s="1" t="str">
        <f ca="1">IFERROR(__xludf.DUMMYFUNCTION("""COMPUTED_VALUE"""),"SENEGAL")</f>
        <v>SENEGAL</v>
      </c>
      <c r="R466" s="1" t="str">
        <f ca="1">IFERROR(__xludf.DUMMYFUNCTION("""COMPUTED_VALUE"""),"fatoumata.niang@lfjpsaly.org")</f>
        <v>fatoumata.niang@lfjpsaly.org</v>
      </c>
      <c r="S466" s="1" t="str">
        <f ca="1">IFERROR(__xludf.DUMMYFUNCTION("""COMPUTED_VALUE"""),"+221 76 756 50 20")</f>
        <v>+221 76 756 50 20</v>
      </c>
      <c r="T466" s="1" t="str">
        <f ca="1">IFERROR(__xludf.DUMMYFUNCTION("""COMPUTED_VALUE"""),"NIANG Mamadou")</f>
        <v>NIANG Mamadou</v>
      </c>
      <c r="U466" s="1" t="str">
        <f ca="1">IFERROR(__xludf.DUMMYFUNCTION("""COMPUTED_VALUE"""),"NIANG Pourmera Fall")</f>
        <v>NIANG Pourmera Fall</v>
      </c>
      <c r="V466" s="1" t="str">
        <f ca="1">IFERROR(__xludf.DUMMYFUNCTION("""COMPUTED_VALUE"""),"n_mamadou@hotmail.com")</f>
        <v>n_mamadou@hotmail.com</v>
      </c>
      <c r="W466" s="1" t="str">
        <f ca="1">IFERROR(__xludf.DUMMYFUNCTION("""COMPUTED_VALUE"""),"pourkikiniang@gmail.com")</f>
        <v>pourkikiniang@gmail.com</v>
      </c>
      <c r="X466" s="1" t="str">
        <f ca="1">IFERROR(__xludf.DUMMYFUNCTION("""COMPUTED_VALUE"""),"+221 77 560 97 25")</f>
        <v>+221 77 560 97 25</v>
      </c>
      <c r="Y466" s="1" t="str">
        <f ca="1">IFERROR(__xludf.DUMMYFUNCTION("""COMPUTED_VALUE"""),"+221 77 630 66 80")</f>
        <v>+221 77 630 66 80</v>
      </c>
      <c r="Z466" s="1" t="str">
        <f ca="1">IFERROR(__xludf.DUMMYFUNCTION("""COMPUTED_VALUE"""),"+221")</f>
        <v>+221</v>
      </c>
      <c r="AA466" s="1"/>
      <c r="AB466" s="2">
        <f ca="1">IFERROR(__xludf.DUMMYFUNCTION("""COMPUTED_VALUE"""),20020)</f>
        <v>20020</v>
      </c>
      <c r="AC466" s="2">
        <f ca="1">IFERROR(__xludf.DUMMYFUNCTION("""COMPUTED_VALUE"""),26229)</f>
        <v>26229</v>
      </c>
      <c r="AD466" s="1" t="str">
        <f ca="1">IFERROR(__xludf.DUMMYFUNCTION("""COMPUTED_VALUE"""),"PERE")</f>
        <v>PERE</v>
      </c>
      <c r="AE466" s="1" t="str">
        <f ca="1">IFERROR(__xludf.DUMMYFUNCTION("""COMPUTED_VALUE"""),"MERE")</f>
        <v>MERE</v>
      </c>
      <c r="AF466" s="1" t="str">
        <f ca="1">IFERROR(__xludf.DUMMYFUNCTION("""COMPUTED_VALUE"""),"FRANCE")</f>
        <v>FRANCE</v>
      </c>
      <c r="AG466" s="1" t="str">
        <f ca="1">IFERROR(__xludf.DUMMYFUNCTION("""COMPUTED_VALUE"""),"SENEGAL")</f>
        <v>SENEGAL</v>
      </c>
      <c r="AH466" s="1" t="str">
        <f ca="1">IFERROR(__xludf.DUMMYFUNCTION("""COMPUTED_VALUE"""),"SENEGAL")</f>
        <v>SENEGAL</v>
      </c>
      <c r="AI466" s="1"/>
      <c r="AJ466" s="1" t="str">
        <f ca="1">IFERROR(__xludf.DUMMYFUNCTION("""COMPUTED_VALUE"""),"F1494")</f>
        <v>F1494</v>
      </c>
      <c r="AK466" s="1" t="str">
        <f ca="1">IFERROR(__xludf.DUMMYFUNCTION("""COMPUTED_VALUE"""),"Marié(e)")</f>
        <v>Marié(e)</v>
      </c>
      <c r="AL466" s="1" t="str">
        <f ca="1">IFERROR(__xludf.DUMMYFUNCTION("""COMPUTED_VALUE"""),"Marié(e)")</f>
        <v>Marié(e)</v>
      </c>
      <c r="AM466" s="1" t="str">
        <f ca="1">IFERROR(__xludf.DUMMYFUNCTION("""COMPUTED_VALUE"""),"F1494")</f>
        <v>F1494</v>
      </c>
    </row>
    <row r="467" spans="1:39" ht="13" x14ac:dyDescent="0.15">
      <c r="A467" s="1" t="str">
        <f ca="1">IFERROR(__xludf.DUMMYFUNCTION("""COMPUTED_VALUE"""),"NIANG Jean Dione Seydina")</f>
        <v>NIANG Jean Dione Seydina</v>
      </c>
      <c r="B467" s="1" t="str">
        <f ca="1">IFERROR(__xludf.DUMMYFUNCTION("""COMPUTED_VALUE"""),"NIANG")</f>
        <v>NIANG</v>
      </c>
      <c r="C467" s="1" t="str">
        <f ca="1">IFERROR(__xludf.DUMMYFUNCTION("""COMPUTED_VALUE"""),"Jean Dione Seydina")</f>
        <v>Jean Dione Seydina</v>
      </c>
      <c r="D467" s="1" t="str">
        <f ca="1">IFERROR(__xludf.DUMMYFUNCTION("""COMPUTED_VALUE"""),"1495E1")</f>
        <v>1495E1</v>
      </c>
      <c r="E467" s="2">
        <f ca="1">IFERROR(__xludf.DUMMYFUNCTION("""COMPUTED_VALUE"""),42149)</f>
        <v>42149</v>
      </c>
      <c r="F467" s="1" t="str">
        <f ca="1">IFERROR(__xludf.DUMMYFUNCTION("""COMPUTED_VALUE"""),"CM1A")</f>
        <v>CM1A</v>
      </c>
      <c r="G467" s="1" t="str">
        <f ca="1">IFERROR(__xludf.DUMMYFUNCTION("""COMPUTED_VALUE"""),"CM1")</f>
        <v>CM1</v>
      </c>
      <c r="H467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467" s="1"/>
      <c r="J467" s="1"/>
      <c r="K467" s="1"/>
      <c r="L467" s="1"/>
      <c r="M467" s="1"/>
      <c r="N467" s="1" t="str">
        <f ca="1">IFERROR(__xludf.DUMMYFUNCTION("""COMPUTED_VALUE"""),"Garçon")</f>
        <v>Garçon</v>
      </c>
      <c r="O467" s="1"/>
      <c r="P467" s="1" t="str">
        <f ca="1">IFERROR(__xludf.DUMMYFUNCTION("""COMPUTED_VALUE"""),"FRANCE")</f>
        <v>FRANCE</v>
      </c>
      <c r="Q467" s="1" t="str">
        <f ca="1">IFERROR(__xludf.DUMMYFUNCTION("""COMPUTED_VALUE"""),"SENEGAL")</f>
        <v>SENEGAL</v>
      </c>
      <c r="R467" s="1"/>
      <c r="S467" s="1"/>
      <c r="T467" s="1" t="str">
        <f ca="1">IFERROR(__xludf.DUMMYFUNCTION("""COMPUTED_VALUE"""),"NIANG Joseph")</f>
        <v>NIANG Joseph</v>
      </c>
      <c r="U467" s="1" t="str">
        <f ca="1">IFERROR(__xludf.DUMMYFUNCTION("""COMPUTED_VALUE"""),"THIANDOUM Khady")</f>
        <v>THIANDOUM Khady</v>
      </c>
      <c r="V467" s="1" t="str">
        <f ca="1">IFERROR(__xludf.DUMMYFUNCTION("""COMPUTED_VALUE"""),"niang_joseph@yahoo.com")</f>
        <v>niang_joseph@yahoo.com</v>
      </c>
      <c r="W467" s="1" t="str">
        <f ca="1">IFERROR(__xludf.DUMMYFUNCTION("""COMPUTED_VALUE"""),"niang_joseph@yahoo.com")</f>
        <v>niang_joseph@yahoo.com</v>
      </c>
      <c r="X467" s="1" t="str">
        <f ca="1">IFERROR(__xludf.DUMMYFUNCTION("""COMPUTED_VALUE"""),"775340267")</f>
        <v>775340267</v>
      </c>
      <c r="Y467" s="1" t="str">
        <f ca="1">IFERROR(__xludf.DUMMYFUNCTION("""COMPUTED_VALUE"""),"784866804")</f>
        <v>784866804</v>
      </c>
      <c r="Z467" s="1" t="str">
        <f ca="1">IFERROR(__xludf.DUMMYFUNCTION("""COMPUTED_VALUE"""),"+221 77 534 02 67")</f>
        <v>+221 77 534 02 67</v>
      </c>
      <c r="AA467" s="1"/>
      <c r="AB467" s="2">
        <f ca="1">IFERROR(__xludf.DUMMYFUNCTION("""COMPUTED_VALUE"""),16931)</f>
        <v>16931</v>
      </c>
      <c r="AC467" s="2">
        <f ca="1">IFERROR(__xludf.DUMMYFUNCTION("""COMPUTED_VALUE"""),28988)</f>
        <v>28988</v>
      </c>
      <c r="AD467" s="1" t="str">
        <f ca="1">IFERROR(__xludf.DUMMYFUNCTION("""COMPUTED_VALUE"""),"PERE")</f>
        <v>PERE</v>
      </c>
      <c r="AE467" s="1" t="str">
        <f ca="1">IFERROR(__xludf.DUMMYFUNCTION("""COMPUTED_VALUE"""),"MERE")</f>
        <v>MERE</v>
      </c>
      <c r="AF467" s="1" t="str">
        <f ca="1">IFERROR(__xludf.DUMMYFUNCTION("""COMPUTED_VALUE"""),"FRANCE")</f>
        <v>FRANCE</v>
      </c>
      <c r="AG467" s="1" t="str">
        <f ca="1">IFERROR(__xludf.DUMMYFUNCTION("""COMPUTED_VALUE"""),"SENEGAL")</f>
        <v>SENEGAL</v>
      </c>
      <c r="AH467" s="1" t="str">
        <f ca="1">IFERROR(__xludf.DUMMYFUNCTION("""COMPUTED_VALUE"""),"SENEGAL")</f>
        <v>SENEGAL</v>
      </c>
      <c r="AI467" s="1"/>
      <c r="AJ467" s="1" t="str">
        <f ca="1">IFERROR(__xludf.DUMMYFUNCTION("""COMPUTED_VALUE"""),"F1495")</f>
        <v>F1495</v>
      </c>
      <c r="AK467" s="1" t="str">
        <f ca="1">IFERROR(__xludf.DUMMYFUNCTION("""COMPUTED_VALUE"""),"Marié(e)")</f>
        <v>Marié(e)</v>
      </c>
      <c r="AL467" s="1" t="str">
        <f ca="1">IFERROR(__xludf.DUMMYFUNCTION("""COMPUTED_VALUE"""),"Marié(e)")</f>
        <v>Marié(e)</v>
      </c>
      <c r="AM467" s="1" t="str">
        <f ca="1">IFERROR(__xludf.DUMMYFUNCTION("""COMPUTED_VALUE"""),"F1495")</f>
        <v>F1495</v>
      </c>
    </row>
    <row r="468" spans="1:39" ht="13" x14ac:dyDescent="0.15">
      <c r="A468" s="1" t="str">
        <f ca="1">IFERROR(__xludf.DUMMYFUNCTION("""COMPUTED_VALUE"""),"NIANG Khadija Aminata Cheikh")</f>
        <v>NIANG Khadija Aminata Cheikh</v>
      </c>
      <c r="B468" s="1" t="str">
        <f ca="1">IFERROR(__xludf.DUMMYFUNCTION("""COMPUTED_VALUE"""),"NIANG")</f>
        <v>NIANG</v>
      </c>
      <c r="C468" s="1" t="str">
        <f ca="1">IFERROR(__xludf.DUMMYFUNCTION("""COMPUTED_VALUE"""),"Khadija Aminata Cheikh")</f>
        <v>Khadija Aminata Cheikh</v>
      </c>
      <c r="D468" s="1" t="str">
        <f ca="1">IFERROR(__xludf.DUMMYFUNCTION("""COMPUTED_VALUE"""),"1496E1")</f>
        <v>1496E1</v>
      </c>
      <c r="E468" s="2">
        <f ca="1">IFERROR(__xludf.DUMMYFUNCTION("""COMPUTED_VALUE"""),44433)</f>
        <v>44433</v>
      </c>
      <c r="F468" s="1" t="str">
        <f ca="1">IFERROR(__xludf.DUMMYFUNCTION("""COMPUTED_VALUE"""),"Mat 3")</f>
        <v>Mat 3</v>
      </c>
      <c r="G468" s="1" t="str">
        <f ca="1">IFERROR(__xludf.DUMMYFUNCTION("""COMPUTED_VALUE"""),"MS")</f>
        <v>MS</v>
      </c>
      <c r="H468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468" s="1"/>
      <c r="J468" s="1"/>
      <c r="K468" s="1"/>
      <c r="L468" s="1"/>
      <c r="M468" s="1"/>
      <c r="N468" s="1" t="str">
        <f ca="1">IFERROR(__xludf.DUMMYFUNCTION("""COMPUTED_VALUE"""),"Fille")</f>
        <v>Fille</v>
      </c>
      <c r="O468" s="1"/>
      <c r="P468" s="1" t="str">
        <f ca="1">IFERROR(__xludf.DUMMYFUNCTION("""COMPUTED_VALUE"""),"SENEGAL")</f>
        <v>SENEGAL</v>
      </c>
      <c r="Q468" s="1"/>
      <c r="R468" s="1"/>
      <c r="S468" s="1"/>
      <c r="T468" s="1" t="str">
        <f ca="1">IFERROR(__xludf.DUMMYFUNCTION("""COMPUTED_VALUE"""),"NIANG Cheikh Tidiane")</f>
        <v>NIANG Cheikh Tidiane</v>
      </c>
      <c r="U468" s="1"/>
      <c r="V468" s="1" t="str">
        <f ca="1">IFERROR(__xludf.DUMMYFUNCTION("""COMPUTED_VALUE"""),"niangcheikh93@gmail.com")</f>
        <v>niangcheikh93@gmail.com</v>
      </c>
      <c r="W468" s="1"/>
      <c r="X468" s="1" t="str">
        <f ca="1">IFERROR(__xludf.DUMMYFUNCTION("""COMPUTED_VALUE"""),"+221 78 651 07 07")</f>
        <v>+221 78 651 07 07</v>
      </c>
      <c r="Y468" s="1"/>
      <c r="Z468" s="1" t="str">
        <f ca="1">IFERROR(__xludf.DUMMYFUNCTION("""COMPUTED_VALUE"""),"+60 11-2101 9883")</f>
        <v>+60 11-2101 9883</v>
      </c>
      <c r="AA468" s="1"/>
      <c r="AB468" s="2">
        <f ca="1">IFERROR(__xludf.DUMMYFUNCTION("""COMPUTED_VALUE"""),29285)</f>
        <v>29285</v>
      </c>
      <c r="AC468" s="1"/>
      <c r="AD468" s="1" t="str">
        <f ca="1">IFERROR(__xludf.DUMMYFUNCTION("""COMPUTED_VALUE"""),"PERE")</f>
        <v>PERE</v>
      </c>
      <c r="AE468" s="1"/>
      <c r="AF468" s="1" t="str">
        <f ca="1">IFERROR(__xludf.DUMMYFUNCTION("""COMPUTED_VALUE"""),"SENEGAL")</f>
        <v>SENEGAL</v>
      </c>
      <c r="AG468" s="1"/>
      <c r="AH468" s="1"/>
      <c r="AI468" s="1"/>
      <c r="AJ468" s="1" t="str">
        <f ca="1">IFERROR(__xludf.DUMMYFUNCTION("""COMPUTED_VALUE"""),"F1496")</f>
        <v>F1496</v>
      </c>
      <c r="AK468" s="1" t="str">
        <f ca="1">IFERROR(__xludf.DUMMYFUNCTION("""COMPUTED_VALUE"""),"Marié(e)")</f>
        <v>Marié(e)</v>
      </c>
      <c r="AL468" s="1"/>
      <c r="AM468" s="1" t="str">
        <f ca="1">IFERROR(__xludf.DUMMYFUNCTION("""COMPUTED_VALUE"""),"F1496")</f>
        <v>F1496</v>
      </c>
    </row>
    <row r="469" spans="1:39" ht="13" x14ac:dyDescent="0.15">
      <c r="A469" s="1" t="str">
        <f ca="1">IFERROR(__xludf.DUMMYFUNCTION("""COMPUTED_VALUE"""),"NIANG Marème")</f>
        <v>NIANG Marème</v>
      </c>
      <c r="B469" s="1" t="str">
        <f ca="1">IFERROR(__xludf.DUMMYFUNCTION("""COMPUTED_VALUE"""),"NIANG")</f>
        <v>NIANG</v>
      </c>
      <c r="C469" s="1" t="str">
        <f ca="1">IFERROR(__xludf.DUMMYFUNCTION("""COMPUTED_VALUE"""),"Marème")</f>
        <v>Marème</v>
      </c>
      <c r="D469" s="1" t="str">
        <f ca="1">IFERROR(__xludf.DUMMYFUNCTION("""COMPUTED_VALUE"""),"1493E2")</f>
        <v>1493E2</v>
      </c>
      <c r="E469" s="2">
        <f ca="1">IFERROR(__xludf.DUMMYFUNCTION("""COMPUTED_VALUE"""),40380)</f>
        <v>40380</v>
      </c>
      <c r="F469" s="1" t="str">
        <f ca="1">IFERROR(__xludf.DUMMYFUNCTION("""COMPUTED_VALUE"""),"2NDE1 COOP")</f>
        <v>2NDE1 COOP</v>
      </c>
      <c r="G469" s="1" t="str">
        <f ca="1">IFERROR(__xludf.DUMMYFUNCTION("""COMPUTED_VALUE"""),"2nde")</f>
        <v>2nde</v>
      </c>
      <c r="H469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469" s="1" t="str">
        <f ca="1">IFERROR(__xludf.DUMMYFUNCTION("""COMPUTED_VALUE"""),"LVA Anglais")</f>
        <v>LVA Anglais</v>
      </c>
      <c r="J469" s="1" t="str">
        <f ca="1">IFERROR(__xludf.DUMMYFUNCTION("""COMPUTED_VALUE"""),"LVB Espagnol")</f>
        <v>LVB Espagnol</v>
      </c>
      <c r="K469" s="1"/>
      <c r="L469" s="1"/>
      <c r="M469" s="1"/>
      <c r="N469" s="1" t="str">
        <f ca="1">IFERROR(__xludf.DUMMYFUNCTION("""COMPUTED_VALUE"""),"Fille")</f>
        <v>Fille</v>
      </c>
      <c r="O469" s="1"/>
      <c r="P469" s="1" t="str">
        <f ca="1">IFERROR(__xludf.DUMMYFUNCTION("""COMPUTED_VALUE"""),"SENEGAL")</f>
        <v>SENEGAL</v>
      </c>
      <c r="Q469" s="1"/>
      <c r="R469" s="1" t="str">
        <f ca="1">IFERROR(__xludf.DUMMYFUNCTION("""COMPUTED_VALUE"""),"mareme.niang@lfjpsaly.org")</f>
        <v>mareme.niang@lfjpsaly.org</v>
      </c>
      <c r="S469" s="1"/>
      <c r="T469" s="1" t="str">
        <f ca="1">IFERROR(__xludf.DUMMYFUNCTION("""COMPUTED_VALUE"""),"SOSSEH NIANG Khady")</f>
        <v>SOSSEH NIANG Khady</v>
      </c>
      <c r="U469" s="1" t="str">
        <f ca="1">IFERROR(__xludf.DUMMYFUNCTION("""COMPUTED_VALUE"""),"NIANG Ousseynou")</f>
        <v>NIANG Ousseynou</v>
      </c>
      <c r="V469" s="1" t="str">
        <f ca="1">IFERROR(__xludf.DUMMYFUNCTION("""COMPUTED_VALUE"""),"ksniang@notairesaly.sn")</f>
        <v>ksniang@notairesaly.sn</v>
      </c>
      <c r="W469" s="1" t="str">
        <f ca="1">IFERROR(__xludf.DUMMYFUNCTION("""COMPUTED_VALUE"""),"zeinouniang@yahoo.fr")</f>
        <v>zeinouniang@yahoo.fr</v>
      </c>
      <c r="X469" s="1" t="str">
        <f ca="1">IFERROR(__xludf.DUMMYFUNCTION("""COMPUTED_VALUE"""),"+221 77 644 31 32")</f>
        <v>+221 77 644 31 32</v>
      </c>
      <c r="Y469" s="1" t="str">
        <f ca="1">IFERROR(__xludf.DUMMYFUNCTION("""COMPUTED_VALUE"""),"+221 77 639 00 35")</f>
        <v>+221 77 639 00 35</v>
      </c>
      <c r="Z469" s="1" t="str">
        <f ca="1">IFERROR(__xludf.DUMMYFUNCTION("""COMPUTED_VALUE"""),"+221")</f>
        <v>+221</v>
      </c>
      <c r="AA469" s="1" t="str">
        <f ca="1">IFERROR(__xludf.DUMMYFUNCTION("""COMPUTED_VALUE"""),"+221")</f>
        <v>+221</v>
      </c>
      <c r="AB469" s="2">
        <f ca="1">IFERROR(__xludf.DUMMYFUNCTION("""COMPUTED_VALUE"""),24594)</f>
        <v>24594</v>
      </c>
      <c r="AC469" s="2">
        <f ca="1">IFERROR(__xludf.DUMMYFUNCTION("""COMPUTED_VALUE"""),21948)</f>
        <v>21948</v>
      </c>
      <c r="AD469" s="1" t="str">
        <f ca="1">IFERROR(__xludf.DUMMYFUNCTION("""COMPUTED_VALUE"""),"MERE")</f>
        <v>MERE</v>
      </c>
      <c r="AE469" s="1" t="str">
        <f ca="1">IFERROR(__xludf.DUMMYFUNCTION("""COMPUTED_VALUE"""),"PERE")</f>
        <v>PERE</v>
      </c>
      <c r="AF469" s="1" t="str">
        <f ca="1">IFERROR(__xludf.DUMMYFUNCTION("""COMPUTED_VALUE"""),"SENEGAL")</f>
        <v>SENEGAL</v>
      </c>
      <c r="AG469" s="1" t="str">
        <f ca="1">IFERROR(__xludf.DUMMYFUNCTION("""COMPUTED_VALUE"""),"SENEGAL")</f>
        <v>SENEGAL</v>
      </c>
      <c r="AH469" s="1" t="str">
        <f ca="1">IFERROR(__xludf.DUMMYFUNCTION("""COMPUTED_VALUE"""),"GAMBIE")</f>
        <v>GAMBIE</v>
      </c>
      <c r="AI469" s="1"/>
      <c r="AJ469" s="1" t="str">
        <f ca="1">IFERROR(__xludf.DUMMYFUNCTION("""COMPUTED_VALUE"""),"F1493")</f>
        <v>F1493</v>
      </c>
      <c r="AK469" s="1" t="str">
        <f ca="1">IFERROR(__xludf.DUMMYFUNCTION("""COMPUTED_VALUE"""),"Marié(e)")</f>
        <v>Marié(e)</v>
      </c>
      <c r="AL469" s="1" t="str">
        <f ca="1">IFERROR(__xludf.DUMMYFUNCTION("""COMPUTED_VALUE"""),"Marié(e)")</f>
        <v>Marié(e)</v>
      </c>
      <c r="AM469" s="1" t="str">
        <f ca="1">IFERROR(__xludf.DUMMYFUNCTION("""COMPUTED_VALUE"""),"F1493")</f>
        <v>F1493</v>
      </c>
    </row>
    <row r="470" spans="1:39" ht="13" x14ac:dyDescent="0.15">
      <c r="A470" s="1" t="str">
        <f ca="1">IFERROR(__xludf.DUMMYFUNCTION("""COMPUTED_VALUE"""),"NIANG Mouhamed Rassoul Cheikh")</f>
        <v>NIANG Mouhamed Rassoul Cheikh</v>
      </c>
      <c r="B470" s="1" t="str">
        <f ca="1">IFERROR(__xludf.DUMMYFUNCTION("""COMPUTED_VALUE"""),"NIANG")</f>
        <v>NIANG</v>
      </c>
      <c r="C470" s="1" t="str">
        <f ca="1">IFERROR(__xludf.DUMMYFUNCTION("""COMPUTED_VALUE"""),"Mouhamed Rassoul Cheikh")</f>
        <v>Mouhamed Rassoul Cheikh</v>
      </c>
      <c r="D470" s="1" t="str">
        <f ca="1">IFERROR(__xludf.DUMMYFUNCTION("""COMPUTED_VALUE"""),"1496E3")</f>
        <v>1496E3</v>
      </c>
      <c r="E470" s="2">
        <f ca="1">IFERROR(__xludf.DUMMYFUNCTION("""COMPUTED_VALUE"""),42594)</f>
        <v>42594</v>
      </c>
      <c r="F470" s="1" t="str">
        <f ca="1">IFERROR(__xludf.DUMMYFUNCTION("""COMPUTED_VALUE"""),"CM1B")</f>
        <v>CM1B</v>
      </c>
      <c r="G470" s="1" t="str">
        <f ca="1">IFERROR(__xludf.DUMMYFUNCTION("""COMPUTED_VALUE"""),"CM1")</f>
        <v>CM1</v>
      </c>
      <c r="H470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470" s="1"/>
      <c r="J470" s="1"/>
      <c r="K470" s="1"/>
      <c r="L470" s="1"/>
      <c r="M470" s="1"/>
      <c r="N470" s="1" t="str">
        <f ca="1">IFERROR(__xludf.DUMMYFUNCTION("""COMPUTED_VALUE"""),"Garçon")</f>
        <v>Garçon</v>
      </c>
      <c r="O470" s="1"/>
      <c r="P470" s="1" t="str">
        <f ca="1">IFERROR(__xludf.DUMMYFUNCTION("""COMPUTED_VALUE"""),"SENEGAL")</f>
        <v>SENEGAL</v>
      </c>
      <c r="Q470" s="1"/>
      <c r="R470" s="1"/>
      <c r="S470" s="1"/>
      <c r="T470" s="1" t="str">
        <f ca="1">IFERROR(__xludf.DUMMYFUNCTION("""COMPUTED_VALUE"""),"NIANG Cheikh Tidiane")</f>
        <v>NIANG Cheikh Tidiane</v>
      </c>
      <c r="U470" s="1"/>
      <c r="V470" s="1" t="str">
        <f ca="1">IFERROR(__xludf.DUMMYFUNCTION("""COMPUTED_VALUE"""),"niangcheikh93@gmail.com")</f>
        <v>niangcheikh93@gmail.com</v>
      </c>
      <c r="W470" s="1"/>
      <c r="X470" s="1" t="str">
        <f ca="1">IFERROR(__xludf.DUMMYFUNCTION("""COMPUTED_VALUE"""),"+221 78 651 07 07")</f>
        <v>+221 78 651 07 07</v>
      </c>
      <c r="Y470" s="1"/>
      <c r="Z470" s="1" t="str">
        <f ca="1">IFERROR(__xludf.DUMMYFUNCTION("""COMPUTED_VALUE"""),"+60 11-2101 9883")</f>
        <v>+60 11-2101 9883</v>
      </c>
      <c r="AA470" s="1"/>
      <c r="AB470" s="2">
        <f ca="1">IFERROR(__xludf.DUMMYFUNCTION("""COMPUTED_VALUE"""),29285)</f>
        <v>29285</v>
      </c>
      <c r="AC470" s="1"/>
      <c r="AD470" s="1" t="str">
        <f ca="1">IFERROR(__xludf.DUMMYFUNCTION("""COMPUTED_VALUE"""),"PERE")</f>
        <v>PERE</v>
      </c>
      <c r="AE470" s="1"/>
      <c r="AF470" s="1" t="str">
        <f ca="1">IFERROR(__xludf.DUMMYFUNCTION("""COMPUTED_VALUE"""),"SENEGAL")</f>
        <v>SENEGAL</v>
      </c>
      <c r="AG470" s="1"/>
      <c r="AH470" s="1"/>
      <c r="AI470" s="1"/>
      <c r="AJ470" s="1" t="str">
        <f ca="1">IFERROR(__xludf.DUMMYFUNCTION("""COMPUTED_VALUE"""),"F1496")</f>
        <v>F1496</v>
      </c>
      <c r="AK470" s="1" t="str">
        <f ca="1">IFERROR(__xludf.DUMMYFUNCTION("""COMPUTED_VALUE"""),"Marié(e)")</f>
        <v>Marié(e)</v>
      </c>
      <c r="AL470" s="1"/>
      <c r="AM470" s="1" t="str">
        <f ca="1">IFERROR(__xludf.DUMMYFUNCTION("""COMPUTED_VALUE"""),"F1496")</f>
        <v>F1496</v>
      </c>
    </row>
    <row r="471" spans="1:39" ht="13" x14ac:dyDescent="0.15">
      <c r="A471" s="1" t="str">
        <f ca="1">IFERROR(__xludf.DUMMYFUNCTION("""COMPUTED_VALUE"""),"NIANG Papa Ibrahima Cheikh")</f>
        <v>NIANG Papa Ibrahima Cheikh</v>
      </c>
      <c r="B471" s="1" t="str">
        <f ca="1">IFERROR(__xludf.DUMMYFUNCTION("""COMPUTED_VALUE"""),"NIANG")</f>
        <v>NIANG</v>
      </c>
      <c r="C471" s="1" t="str">
        <f ca="1">IFERROR(__xludf.DUMMYFUNCTION("""COMPUTED_VALUE"""),"Papa Ibrahima Cheikh")</f>
        <v>Papa Ibrahima Cheikh</v>
      </c>
      <c r="D471" s="1" t="str">
        <f ca="1">IFERROR(__xludf.DUMMYFUNCTION("""COMPUTED_VALUE"""),"1496E4")</f>
        <v>1496E4</v>
      </c>
      <c r="E471" s="2">
        <f ca="1">IFERROR(__xludf.DUMMYFUNCTION("""COMPUTED_VALUE"""),39497)</f>
        <v>39497</v>
      </c>
      <c r="F471" s="1" t="str">
        <f ca="1">IFERROR(__xludf.DUMMYFUNCTION("""COMPUTED_VALUE"""),"TERMINALE1")</f>
        <v>TERMINALE1</v>
      </c>
      <c r="G471" s="1" t="str">
        <f ca="1">IFERROR(__xludf.DUMMYFUNCTION("""COMPUTED_VALUE"""),"Terminale")</f>
        <v>Terminale</v>
      </c>
      <c r="H471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471" s="1" t="str">
        <f ca="1">IFERROR(__xludf.DUMMYFUNCTION("""COMPUTED_VALUE"""),"LVA Anglais")</f>
        <v>LVA Anglais</v>
      </c>
      <c r="J471" s="1" t="str">
        <f ca="1">IFERROR(__xludf.DUMMYFUNCTION("""COMPUTED_VALUE"""),"LVB Espagnol")</f>
        <v>LVB Espagnol</v>
      </c>
      <c r="K471" s="1"/>
      <c r="L471" s="1"/>
      <c r="M471" s="1" t="str">
        <f ca="1">IFERROR(__xludf.DUMMYFUNCTION("""COMPUTED_VALUE"""),"SPE MATHS, SPE SPC")</f>
        <v>SPE MATHS, SPE SPC</v>
      </c>
      <c r="N471" s="1" t="str">
        <f ca="1">IFERROR(__xludf.DUMMYFUNCTION("""COMPUTED_VALUE"""),"Garçon")</f>
        <v>Garçon</v>
      </c>
      <c r="O471" s="1"/>
      <c r="P471" s="1" t="str">
        <f ca="1">IFERROR(__xludf.DUMMYFUNCTION("""COMPUTED_VALUE"""),"SENEGAL")</f>
        <v>SENEGAL</v>
      </c>
      <c r="Q471" s="1"/>
      <c r="R471" s="1" t="str">
        <f ca="1">IFERROR(__xludf.DUMMYFUNCTION("""COMPUTED_VALUE"""),"papa.niang@lfjpsaly.org")</f>
        <v>papa.niang@lfjpsaly.org</v>
      </c>
      <c r="S471" s="1"/>
      <c r="T471" s="1" t="str">
        <f ca="1">IFERROR(__xludf.DUMMYFUNCTION("""COMPUTED_VALUE"""),"NIANG Cheikh Tidiane")</f>
        <v>NIANG Cheikh Tidiane</v>
      </c>
      <c r="U471" s="1"/>
      <c r="V471" s="1" t="str">
        <f ca="1">IFERROR(__xludf.DUMMYFUNCTION("""COMPUTED_VALUE"""),"niangcheikh93@gmail.com")</f>
        <v>niangcheikh93@gmail.com</v>
      </c>
      <c r="W471" s="1"/>
      <c r="X471" s="1" t="str">
        <f ca="1">IFERROR(__xludf.DUMMYFUNCTION("""COMPUTED_VALUE"""),"+221 78 651 07 07")</f>
        <v>+221 78 651 07 07</v>
      </c>
      <c r="Y471" s="1"/>
      <c r="Z471" s="1" t="str">
        <f ca="1">IFERROR(__xludf.DUMMYFUNCTION("""COMPUTED_VALUE"""),"+60 11-2101 9883")</f>
        <v>+60 11-2101 9883</v>
      </c>
      <c r="AA471" s="1"/>
      <c r="AB471" s="2">
        <f ca="1">IFERROR(__xludf.DUMMYFUNCTION("""COMPUTED_VALUE"""),29285)</f>
        <v>29285</v>
      </c>
      <c r="AC471" s="1"/>
      <c r="AD471" s="1" t="str">
        <f ca="1">IFERROR(__xludf.DUMMYFUNCTION("""COMPUTED_VALUE"""),"PERE")</f>
        <v>PERE</v>
      </c>
      <c r="AE471" s="1"/>
      <c r="AF471" s="1" t="str">
        <f ca="1">IFERROR(__xludf.DUMMYFUNCTION("""COMPUTED_VALUE"""),"SENEGAL")</f>
        <v>SENEGAL</v>
      </c>
      <c r="AG471" s="1"/>
      <c r="AH471" s="1"/>
      <c r="AI471" s="1"/>
      <c r="AJ471" s="1" t="str">
        <f ca="1">IFERROR(__xludf.DUMMYFUNCTION("""COMPUTED_VALUE"""),"F1496")</f>
        <v>F1496</v>
      </c>
      <c r="AK471" s="1" t="str">
        <f ca="1">IFERROR(__xludf.DUMMYFUNCTION("""COMPUTED_VALUE"""),"Marié(e)")</f>
        <v>Marié(e)</v>
      </c>
      <c r="AL471" s="1"/>
      <c r="AM471" s="1" t="str">
        <f ca="1">IFERROR(__xludf.DUMMYFUNCTION("""COMPUTED_VALUE"""),"F1496")</f>
        <v>F1496</v>
      </c>
    </row>
    <row r="472" spans="1:39" ht="13" x14ac:dyDescent="0.15">
      <c r="A472" s="1" t="str">
        <f ca="1">IFERROR(__xludf.DUMMYFUNCTION("""COMPUTED_VALUE"""),"NIANG Yaye Awa")</f>
        <v>NIANG Yaye Awa</v>
      </c>
      <c r="B472" s="1" t="str">
        <f ca="1">IFERROR(__xludf.DUMMYFUNCTION("""COMPUTED_VALUE"""),"NIANG")</f>
        <v>NIANG</v>
      </c>
      <c r="C472" s="1" t="str">
        <f ca="1">IFERROR(__xludf.DUMMYFUNCTION("""COMPUTED_VALUE"""),"Yaye Awa")</f>
        <v>Yaye Awa</v>
      </c>
      <c r="D472" s="1" t="str">
        <f ca="1">IFERROR(__xludf.DUMMYFUNCTION("""COMPUTED_VALUE"""),"1535E1")</f>
        <v>1535E1</v>
      </c>
      <c r="E472" s="2">
        <f ca="1">IFERROR(__xludf.DUMMYFUNCTION("""COMPUTED_VALUE"""),40477)</f>
        <v>40477</v>
      </c>
      <c r="F472" s="1" t="str">
        <f ca="1">IFERROR(__xludf.DUMMYFUNCTION("""COMPUTED_VALUE"""),"2NDE2")</f>
        <v>2NDE2</v>
      </c>
      <c r="G472" s="1" t="str">
        <f ca="1">IFERROR(__xludf.DUMMYFUNCTION("""COMPUTED_VALUE"""),"2nde")</f>
        <v>2nde</v>
      </c>
      <c r="H472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472" s="1" t="str">
        <f ca="1">IFERROR(__xludf.DUMMYFUNCTION("""COMPUTED_VALUE"""),"LVA Anglais")</f>
        <v>LVA Anglais</v>
      </c>
      <c r="J472" s="1" t="str">
        <f ca="1">IFERROR(__xludf.DUMMYFUNCTION("""COMPUTED_VALUE"""),"LVB Espagnol")</f>
        <v>LVB Espagnol</v>
      </c>
      <c r="K472" s="1"/>
      <c r="L472" s="1"/>
      <c r="M472" s="1"/>
      <c r="N472" s="1" t="str">
        <f ca="1">IFERROR(__xludf.DUMMYFUNCTION("""COMPUTED_VALUE"""),"Fille")</f>
        <v>Fille</v>
      </c>
      <c r="O472" s="1"/>
      <c r="P472" s="1" t="str">
        <f ca="1">IFERROR(__xludf.DUMMYFUNCTION("""COMPUTED_VALUE"""),"SENEGAL")</f>
        <v>SENEGAL</v>
      </c>
      <c r="Q472" s="1"/>
      <c r="R472" s="1" t="str">
        <f ca="1">IFERROR(__xludf.DUMMYFUNCTION("""COMPUTED_VALUE"""),"yaye.niang@lfjpsaly.org")</f>
        <v>yaye.niang@lfjpsaly.org</v>
      </c>
      <c r="S472" s="1"/>
      <c r="T472" s="1" t="str">
        <f ca="1">IFERROR(__xludf.DUMMYFUNCTION("""COMPUTED_VALUE"""),"RAGUIN Volimata")</f>
        <v>RAGUIN Volimata</v>
      </c>
      <c r="U472" s="1" t="str">
        <f ca="1">IFERROR(__xludf.DUMMYFUNCTION("""COMPUTED_VALUE"""),"RAGUIN Philippe")</f>
        <v>RAGUIN Philippe</v>
      </c>
      <c r="V472" s="1" t="str">
        <f ca="1">IFERROR(__xludf.DUMMYFUNCTION("""COMPUTED_VALUE"""),"volycreation@hotmail.com")</f>
        <v>volycreation@hotmail.com</v>
      </c>
      <c r="W472" s="1" t="str">
        <f ca="1">IFERROR(__xludf.DUMMYFUNCTION("""COMPUTED_VALUE"""),"afrobonsai29@hotmail.com")</f>
        <v>afrobonsai29@hotmail.com</v>
      </c>
      <c r="X472" s="1" t="str">
        <f ca="1">IFERROR(__xludf.DUMMYFUNCTION("""COMPUTED_VALUE"""),"+221 77 540 97 73")</f>
        <v>+221 77 540 97 73</v>
      </c>
      <c r="Y472" s="1" t="str">
        <f ca="1">IFERROR(__xludf.DUMMYFUNCTION("""COMPUTED_VALUE"""),"+221 77 512 85 45")</f>
        <v>+221 77 512 85 45</v>
      </c>
      <c r="Z472" s="1"/>
      <c r="AA472" s="1"/>
      <c r="AB472" s="2">
        <f ca="1">IFERROR(__xludf.DUMMYFUNCTION("""COMPUTED_VALUE"""),28057)</f>
        <v>28057</v>
      </c>
      <c r="AC472" s="2">
        <f ca="1">IFERROR(__xludf.DUMMYFUNCTION("""COMPUTED_VALUE"""),22087)</f>
        <v>22087</v>
      </c>
      <c r="AD472" s="1" t="str">
        <f ca="1">IFERROR(__xludf.DUMMYFUNCTION("""COMPUTED_VALUE"""),"TANTE")</f>
        <v>TANTE</v>
      </c>
      <c r="AE472" s="1" t="str">
        <f ca="1">IFERROR(__xludf.DUMMYFUNCTION("""COMPUTED_VALUE"""),"AUTRE FAM.")</f>
        <v>AUTRE FAM.</v>
      </c>
      <c r="AF472" s="1" t="str">
        <f ca="1">IFERROR(__xludf.DUMMYFUNCTION("""COMPUTED_VALUE"""),"SENEGAL")</f>
        <v>SENEGAL</v>
      </c>
      <c r="AG472" s="1" t="str">
        <f ca="1">IFERROR(__xludf.DUMMYFUNCTION("""COMPUTED_VALUE"""),"FRANCE")</f>
        <v>FRANCE</v>
      </c>
      <c r="AH472" s="1" t="str">
        <f ca="1">IFERROR(__xludf.DUMMYFUNCTION("""COMPUTED_VALUE"""),"FRANCE")</f>
        <v>FRANCE</v>
      </c>
      <c r="AI472" s="1" t="str">
        <f ca="1">IFERROR(__xludf.DUMMYFUNCTION("""COMPUTED_VALUE"""),"SENEGAL")</f>
        <v>SENEGAL</v>
      </c>
      <c r="AJ472" s="1" t="str">
        <f ca="1">IFERROR(__xludf.DUMMYFUNCTION("""COMPUTED_VALUE"""),"F1535")</f>
        <v>F1535</v>
      </c>
      <c r="AK472" s="1" t="str">
        <f ca="1">IFERROR(__xludf.DUMMYFUNCTION("""COMPUTED_VALUE"""),"Marié(e)")</f>
        <v>Marié(e)</v>
      </c>
      <c r="AL472" s="1" t="str">
        <f ca="1">IFERROR(__xludf.DUMMYFUNCTION("""COMPUTED_VALUE"""),"Marié(e)")</f>
        <v>Marié(e)</v>
      </c>
      <c r="AM472" s="1" t="str">
        <f ca="1">IFERROR(__xludf.DUMMYFUNCTION("""COMPUTED_VALUE"""),"F1535")</f>
        <v>F1535</v>
      </c>
    </row>
    <row r="473" spans="1:39" ht="13" x14ac:dyDescent="0.15">
      <c r="A473" s="1" t="str">
        <f ca="1">IFERROR(__xludf.DUMMYFUNCTION("""COMPUTED_VALUE"""),"NOAILLY Maé")</f>
        <v>NOAILLY Maé</v>
      </c>
      <c r="B473" s="1" t="str">
        <f ca="1">IFERROR(__xludf.DUMMYFUNCTION("""COMPUTED_VALUE"""),"NOAILLY")</f>
        <v>NOAILLY</v>
      </c>
      <c r="C473" s="1" t="str">
        <f ca="1">IFERROR(__xludf.DUMMYFUNCTION("""COMPUTED_VALUE"""),"Maé")</f>
        <v>Maé</v>
      </c>
      <c r="D473" s="1" t="str">
        <f ca="1">IFERROR(__xludf.DUMMYFUNCTION("""COMPUTED_VALUE"""),"1499E2")</f>
        <v>1499E2</v>
      </c>
      <c r="E473" s="2">
        <f ca="1">IFERROR(__xludf.DUMMYFUNCTION("""COMPUTED_VALUE"""),42337)</f>
        <v>42337</v>
      </c>
      <c r="F473" s="1" t="str">
        <f ca="1">IFERROR(__xludf.DUMMYFUNCTION("""COMPUTED_VALUE"""),"CM2A")</f>
        <v>CM2A</v>
      </c>
      <c r="G473" s="1" t="str">
        <f ca="1">IFERROR(__xludf.DUMMYFUNCTION("""COMPUTED_VALUE"""),"CM2")</f>
        <v>CM2</v>
      </c>
      <c r="H473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473" s="1"/>
      <c r="J473" s="1"/>
      <c r="K473" s="1"/>
      <c r="L473" s="1"/>
      <c r="M473" s="1"/>
      <c r="N473" s="1" t="str">
        <f ca="1">IFERROR(__xludf.DUMMYFUNCTION("""COMPUTED_VALUE"""),"Fille")</f>
        <v>Fille</v>
      </c>
      <c r="O473" s="1"/>
      <c r="P473" s="1" t="str">
        <f ca="1">IFERROR(__xludf.DUMMYFUNCTION("""COMPUTED_VALUE"""),"FRANCE")</f>
        <v>FRANCE</v>
      </c>
      <c r="Q473" s="1"/>
      <c r="R473" s="1"/>
      <c r="S473" s="1" t="str">
        <f ca="1">IFERROR(__xludf.DUMMYFUNCTION("""COMPUTED_VALUE"""),"+221 77 122 19 83")</f>
        <v>+221 77 122 19 83</v>
      </c>
      <c r="T473" s="1" t="str">
        <f ca="1">IFERROR(__xludf.DUMMYFUNCTION("""COMPUTED_VALUE"""),"BESNARD Elodie")</f>
        <v>BESNARD Elodie</v>
      </c>
      <c r="U473" s="1" t="str">
        <f ca="1">IFERROR(__xludf.DUMMYFUNCTION("""COMPUTED_VALUE"""),"NOAILLY Julien")</f>
        <v>NOAILLY Julien</v>
      </c>
      <c r="V473" s="1" t="str">
        <f ca="1">IFERROR(__xludf.DUMMYFUNCTION("""COMPUTED_VALUE"""),"elodiebesnard101190@hotmail.fr")</f>
        <v>elodiebesnard101190@hotmail.fr</v>
      </c>
      <c r="W473" s="1" t="str">
        <f ca="1">IFERROR(__xludf.DUMMYFUNCTION("""COMPUTED_VALUE"""),"julien.noailly@gmail.com")</f>
        <v>julien.noailly@gmail.com</v>
      </c>
      <c r="X473" s="1" t="str">
        <f ca="1">IFERROR(__xludf.DUMMYFUNCTION("""COMPUTED_VALUE"""),"+221 77 122 19 83")</f>
        <v>+221 77 122 19 83</v>
      </c>
      <c r="Y473" s="1" t="str">
        <f ca="1">IFERROR(__xludf.DUMMYFUNCTION("""COMPUTED_VALUE"""),"+221 78 115 03 45")</f>
        <v>+221 78 115 03 45</v>
      </c>
      <c r="Z473" s="1" t="str">
        <f ca="1">IFERROR(__xludf.DUMMYFUNCTION("""COMPUTED_VALUE"""),"+221")</f>
        <v>+221</v>
      </c>
      <c r="AA473" s="1" t="str">
        <f ca="1">IFERROR(__xludf.DUMMYFUNCTION("""COMPUTED_VALUE"""),"+221")</f>
        <v>+221</v>
      </c>
      <c r="AB473" s="2">
        <f ca="1">IFERROR(__xludf.DUMMYFUNCTION("""COMPUTED_VALUE"""),33187)</f>
        <v>33187</v>
      </c>
      <c r="AC473" s="2">
        <f ca="1">IFERROR(__xludf.DUMMYFUNCTION("""COMPUTED_VALUE"""),31897)</f>
        <v>31897</v>
      </c>
      <c r="AD473" s="1" t="str">
        <f ca="1">IFERROR(__xludf.DUMMYFUNCTION("""COMPUTED_VALUE"""),"MERE")</f>
        <v>MERE</v>
      </c>
      <c r="AE473" s="1" t="str">
        <f ca="1">IFERROR(__xludf.DUMMYFUNCTION("""COMPUTED_VALUE"""),"PERE")</f>
        <v>PERE</v>
      </c>
      <c r="AF473" s="1" t="str">
        <f ca="1">IFERROR(__xludf.DUMMYFUNCTION("""COMPUTED_VALUE"""),"FRANCE")</f>
        <v>FRANCE</v>
      </c>
      <c r="AG473" s="1" t="str">
        <f ca="1">IFERROR(__xludf.DUMMYFUNCTION("""COMPUTED_VALUE"""),"FRANCE")</f>
        <v>FRANCE</v>
      </c>
      <c r="AH473" s="1"/>
      <c r="AI473" s="1"/>
      <c r="AJ473" s="1" t="str">
        <f ca="1">IFERROR(__xludf.DUMMYFUNCTION("""COMPUTED_VALUE"""),"F1499")</f>
        <v>F1499</v>
      </c>
      <c r="AK473" s="1" t="str">
        <f ca="1">IFERROR(__xludf.DUMMYFUNCTION("""COMPUTED_VALUE"""),"CONCUBINAGE")</f>
        <v>CONCUBINAGE</v>
      </c>
      <c r="AL473" s="1" t="str">
        <f ca="1">IFERROR(__xludf.DUMMYFUNCTION("""COMPUTED_VALUE"""),"CONCUBINAGE")</f>
        <v>CONCUBINAGE</v>
      </c>
      <c r="AM473" s="1" t="str">
        <f ca="1">IFERROR(__xludf.DUMMYFUNCTION("""COMPUTED_VALUE"""),"F1499")</f>
        <v>F1499</v>
      </c>
    </row>
    <row r="474" spans="1:39" ht="13" x14ac:dyDescent="0.15">
      <c r="A474" s="1" t="str">
        <f ca="1">IFERROR(__xludf.DUMMYFUNCTION("""COMPUTED_VALUE"""),"NOAILLY Taïs")</f>
        <v>NOAILLY Taïs</v>
      </c>
      <c r="B474" s="1" t="str">
        <f ca="1">IFERROR(__xludf.DUMMYFUNCTION("""COMPUTED_VALUE"""),"NOAILLY")</f>
        <v>NOAILLY</v>
      </c>
      <c r="C474" s="1" t="str">
        <f ca="1">IFERROR(__xludf.DUMMYFUNCTION("""COMPUTED_VALUE"""),"Taïs")</f>
        <v>Taïs</v>
      </c>
      <c r="D474" s="1" t="str">
        <f ca="1">IFERROR(__xludf.DUMMYFUNCTION("""COMPUTED_VALUE"""),"1499E1")</f>
        <v>1499E1</v>
      </c>
      <c r="E474" s="2">
        <f ca="1">IFERROR(__xludf.DUMMYFUNCTION("""COMPUTED_VALUE"""),40970)</f>
        <v>40970</v>
      </c>
      <c r="F474" s="1" t="str">
        <f ca="1">IFERROR(__xludf.DUMMYFUNCTION("""COMPUTED_VALUE"""),"4EME2")</f>
        <v>4EME2</v>
      </c>
      <c r="G474" s="1" t="str">
        <f ca="1">IFERROR(__xludf.DUMMYFUNCTION("""COMPUTED_VALUE"""),"4ème")</f>
        <v>4ème</v>
      </c>
      <c r="H474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474" s="1" t="str">
        <f ca="1">IFERROR(__xludf.DUMMYFUNCTION("""COMPUTED_VALUE"""),"LVA Anglais")</f>
        <v>LVA Anglais</v>
      </c>
      <c r="J474" s="1" t="str">
        <f ca="1">IFERROR(__xludf.DUMMYFUNCTION("""COMPUTED_VALUE"""),"LVB Espagnol")</f>
        <v>LVB Espagnol</v>
      </c>
      <c r="K474" s="1"/>
      <c r="L474" s="1"/>
      <c r="M474" s="1"/>
      <c r="N474" s="1" t="str">
        <f ca="1">IFERROR(__xludf.DUMMYFUNCTION("""COMPUTED_VALUE"""),"Fille")</f>
        <v>Fille</v>
      </c>
      <c r="O474" s="1"/>
      <c r="P474" s="1" t="str">
        <f ca="1">IFERROR(__xludf.DUMMYFUNCTION("""COMPUTED_VALUE"""),"FRANCE")</f>
        <v>FRANCE</v>
      </c>
      <c r="Q474" s="1"/>
      <c r="R474" s="1" t="str">
        <f ca="1">IFERROR(__xludf.DUMMYFUNCTION("""COMPUTED_VALUE"""),"tais.noailly@lfjpsaly.org")</f>
        <v>tais.noailly@lfjpsaly.org</v>
      </c>
      <c r="S474" s="1" t="str">
        <f ca="1">IFERROR(__xludf.DUMMYFUNCTION("""COMPUTED_VALUE"""),"+221 76 452 26 44")</f>
        <v>+221 76 452 26 44</v>
      </c>
      <c r="T474" s="1" t="str">
        <f ca="1">IFERROR(__xludf.DUMMYFUNCTION("""COMPUTED_VALUE"""),"NOAILLY Julien")</f>
        <v>NOAILLY Julien</v>
      </c>
      <c r="U474" s="1" t="str">
        <f ca="1">IFERROR(__xludf.DUMMYFUNCTION("""COMPUTED_VALUE"""),"BESNARD Elodie")</f>
        <v>BESNARD Elodie</v>
      </c>
      <c r="V474" s="1" t="str">
        <f ca="1">IFERROR(__xludf.DUMMYFUNCTION("""COMPUTED_VALUE"""),"julien.noailly@gmail.com")</f>
        <v>julien.noailly@gmail.com</v>
      </c>
      <c r="W474" s="1" t="str">
        <f ca="1">IFERROR(__xludf.DUMMYFUNCTION("""COMPUTED_VALUE"""),"elodiebesnard101190@hotmail.fr")</f>
        <v>elodiebesnard101190@hotmail.fr</v>
      </c>
      <c r="X474" s="1" t="str">
        <f ca="1">IFERROR(__xludf.DUMMYFUNCTION("""COMPUTED_VALUE"""),"+221 78 115 03 45")</f>
        <v>+221 78 115 03 45</v>
      </c>
      <c r="Y474" s="1" t="str">
        <f ca="1">IFERROR(__xludf.DUMMYFUNCTION("""COMPUTED_VALUE"""),"+221 77 122 19 83")</f>
        <v>+221 77 122 19 83</v>
      </c>
      <c r="Z474" s="1" t="str">
        <f ca="1">IFERROR(__xludf.DUMMYFUNCTION("""COMPUTED_VALUE"""),"+221")</f>
        <v>+221</v>
      </c>
      <c r="AA474" s="1" t="str">
        <f ca="1">IFERROR(__xludf.DUMMYFUNCTION("""COMPUTED_VALUE"""),"+221")</f>
        <v>+221</v>
      </c>
      <c r="AB474" s="2">
        <f ca="1">IFERROR(__xludf.DUMMYFUNCTION("""COMPUTED_VALUE"""),31897)</f>
        <v>31897</v>
      </c>
      <c r="AC474" s="2">
        <f ca="1">IFERROR(__xludf.DUMMYFUNCTION("""COMPUTED_VALUE"""),33187)</f>
        <v>33187</v>
      </c>
      <c r="AD474" s="1" t="str">
        <f ca="1">IFERROR(__xludf.DUMMYFUNCTION("""COMPUTED_VALUE"""),"PERE")</f>
        <v>PERE</v>
      </c>
      <c r="AE474" s="1" t="str">
        <f ca="1">IFERROR(__xludf.DUMMYFUNCTION("""COMPUTED_VALUE"""),"MERE")</f>
        <v>MERE</v>
      </c>
      <c r="AF474" s="1" t="str">
        <f ca="1">IFERROR(__xludf.DUMMYFUNCTION("""COMPUTED_VALUE"""),"FRANCE")</f>
        <v>FRANCE</v>
      </c>
      <c r="AG474" s="1" t="str">
        <f ca="1">IFERROR(__xludf.DUMMYFUNCTION("""COMPUTED_VALUE"""),"FRANCE")</f>
        <v>FRANCE</v>
      </c>
      <c r="AH474" s="1"/>
      <c r="AI474" s="1"/>
      <c r="AJ474" s="1" t="str">
        <f ca="1">IFERROR(__xludf.DUMMYFUNCTION("""COMPUTED_VALUE"""),"F1499")</f>
        <v>F1499</v>
      </c>
      <c r="AK474" s="1" t="str">
        <f ca="1">IFERROR(__xludf.DUMMYFUNCTION("""COMPUTED_VALUE"""),"CONCUBINAGE")</f>
        <v>CONCUBINAGE</v>
      </c>
      <c r="AL474" s="1" t="str">
        <f ca="1">IFERROR(__xludf.DUMMYFUNCTION("""COMPUTED_VALUE"""),"CONCUBINAGE")</f>
        <v>CONCUBINAGE</v>
      </c>
      <c r="AM474" s="1" t="str">
        <f ca="1">IFERROR(__xludf.DUMMYFUNCTION("""COMPUTED_VALUE"""),"F1499")</f>
        <v>F1499</v>
      </c>
    </row>
    <row r="475" spans="1:39" ht="13" x14ac:dyDescent="0.15">
      <c r="A475" s="1" t="str">
        <f ca="1">IFERROR(__xludf.DUMMYFUNCTION("""COMPUTED_VALUE"""),"NOUHANDO ROD Ezechiel Gildas")</f>
        <v>NOUHANDO ROD Ezechiel Gildas</v>
      </c>
      <c r="B475" s="1" t="str">
        <f ca="1">IFERROR(__xludf.DUMMYFUNCTION("""COMPUTED_VALUE"""),"NOUHANDO ROD")</f>
        <v>NOUHANDO ROD</v>
      </c>
      <c r="C475" s="1" t="str">
        <f ca="1">IFERROR(__xludf.DUMMYFUNCTION("""COMPUTED_VALUE"""),"Ezechiel Gildas")</f>
        <v>Ezechiel Gildas</v>
      </c>
      <c r="D475" s="1" t="str">
        <f ca="1">IFERROR(__xludf.DUMMYFUNCTION("""COMPUTED_VALUE"""),"1502E1")</f>
        <v>1502E1</v>
      </c>
      <c r="E475" s="2">
        <f ca="1">IFERROR(__xludf.DUMMYFUNCTION("""COMPUTED_VALUE"""),40803)</f>
        <v>40803</v>
      </c>
      <c r="F475" s="1" t="str">
        <f ca="1">IFERROR(__xludf.DUMMYFUNCTION("""COMPUTED_VALUE"""),"3EME1")</f>
        <v>3EME1</v>
      </c>
      <c r="G475" s="1" t="str">
        <f ca="1">IFERROR(__xludf.DUMMYFUNCTION("""COMPUTED_VALUE"""),"3ème")</f>
        <v>3ème</v>
      </c>
      <c r="H475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475" s="1" t="str">
        <f ca="1">IFERROR(__xludf.DUMMYFUNCTION("""COMPUTED_VALUE"""),"LVA Anglais")</f>
        <v>LVA Anglais</v>
      </c>
      <c r="J475" s="1" t="str">
        <f ca="1">IFERROR(__xludf.DUMMYFUNCTION("""COMPUTED_VALUE"""),"LVB Espagnol")</f>
        <v>LVB Espagnol</v>
      </c>
      <c r="K475" s="1"/>
      <c r="L475" s="1"/>
      <c r="M475" s="1"/>
      <c r="N475" s="1" t="str">
        <f ca="1">IFERROR(__xludf.DUMMYFUNCTION("""COMPUTED_VALUE"""),"Garçon")</f>
        <v>Garçon</v>
      </c>
      <c r="O475" s="1"/>
      <c r="P475" s="1" t="str">
        <f ca="1">IFERROR(__xludf.DUMMYFUNCTION("""COMPUTED_VALUE"""),"GABON")</f>
        <v>GABON</v>
      </c>
      <c r="Q475" s="1"/>
      <c r="R475" s="1" t="str">
        <f ca="1">IFERROR(__xludf.DUMMYFUNCTION("""COMPUTED_VALUE"""),"ezechiel.nouhandorod@lfjpsaly.org")</f>
        <v>ezechiel.nouhandorod@lfjpsaly.org</v>
      </c>
      <c r="S475" s="1" t="str">
        <f ca="1">IFERROR(__xludf.DUMMYFUNCTION("""COMPUTED_VALUE"""),"+221 77 392 03 13")</f>
        <v>+221 77 392 03 13</v>
      </c>
      <c r="T475" s="1" t="str">
        <f ca="1">IFERROR(__xludf.DUMMYFUNCTION("""COMPUTED_VALUE"""),"NOUHANDO Prisca")</f>
        <v>NOUHANDO Prisca</v>
      </c>
      <c r="U475" s="1" t="str">
        <f ca="1">IFERROR(__xludf.DUMMYFUNCTION("""COMPUTED_VALUE"""),"NOUHANDO Rodrigue")</f>
        <v>NOUHANDO Rodrigue</v>
      </c>
      <c r="V475" s="1" t="str">
        <f ca="1">IFERROR(__xludf.DUMMYFUNCTION("""COMPUTED_VALUE"""),"priscanouhando@gmail.com")</f>
        <v>priscanouhando@gmail.com</v>
      </c>
      <c r="W475" s="1" t="str">
        <f ca="1">IFERROR(__xludf.DUMMYFUNCTION("""COMPUTED_VALUE"""),"rodrigue.nouhando@assalaenergy.com")</f>
        <v>rodrigue.nouhando@assalaenergy.com</v>
      </c>
      <c r="X475" s="1" t="str">
        <f ca="1">IFERROR(__xludf.DUMMYFUNCTION("""COMPUTED_VALUE"""),"+221 77 092 39 10")</f>
        <v>+221 77 092 39 10</v>
      </c>
      <c r="Y475" s="1" t="str">
        <f ca="1">IFERROR(__xludf.DUMMYFUNCTION("""COMPUTED_VALUE"""),"+221 77 092 39 10")</f>
        <v>+221 77 092 39 10</v>
      </c>
      <c r="Z475" s="1" t="str">
        <f ca="1">IFERROR(__xludf.DUMMYFUNCTION("""COMPUTED_VALUE"""),"+221 77 092 39 10")</f>
        <v>+221 77 092 39 10</v>
      </c>
      <c r="AA475" s="1" t="str">
        <f ca="1">IFERROR(__xludf.DUMMYFUNCTION("""COMPUTED_VALUE"""),"+221")</f>
        <v>+221</v>
      </c>
      <c r="AB475" s="2">
        <f ca="1">IFERROR(__xludf.DUMMYFUNCTION("""COMPUTED_VALUE"""),29180)</f>
        <v>29180</v>
      </c>
      <c r="AC475" s="2">
        <f ca="1">IFERROR(__xludf.DUMMYFUNCTION("""COMPUTED_VALUE"""),26048)</f>
        <v>26048</v>
      </c>
      <c r="AD475" s="1" t="str">
        <f ca="1">IFERROR(__xludf.DUMMYFUNCTION("""COMPUTED_VALUE"""),"MERE")</f>
        <v>MERE</v>
      </c>
      <c r="AE475" s="1" t="str">
        <f ca="1">IFERROR(__xludf.DUMMYFUNCTION("""COMPUTED_VALUE"""),"PERE")</f>
        <v>PERE</v>
      </c>
      <c r="AF475" s="1" t="str">
        <f ca="1">IFERROR(__xludf.DUMMYFUNCTION("""COMPUTED_VALUE"""),"GABON")</f>
        <v>GABON</v>
      </c>
      <c r="AG475" s="1" t="str">
        <f ca="1">IFERROR(__xludf.DUMMYFUNCTION("""COMPUTED_VALUE"""),"GABON")</f>
        <v>GABON</v>
      </c>
      <c r="AH475" s="1"/>
      <c r="AI475" s="1"/>
      <c r="AJ475" s="1" t="str">
        <f ca="1">IFERROR(__xludf.DUMMYFUNCTION("""COMPUTED_VALUE"""),"F1502")</f>
        <v>F1502</v>
      </c>
      <c r="AK475" s="1" t="str">
        <f ca="1">IFERROR(__xludf.DUMMYFUNCTION("""COMPUTED_VALUE"""),"Marié(e)")</f>
        <v>Marié(e)</v>
      </c>
      <c r="AL475" s="1" t="str">
        <f ca="1">IFERROR(__xludf.DUMMYFUNCTION("""COMPUTED_VALUE"""),"Marié(e)")</f>
        <v>Marié(e)</v>
      </c>
      <c r="AM475" s="1" t="str">
        <f ca="1">IFERROR(__xludf.DUMMYFUNCTION("""COMPUTED_VALUE"""),"F1502")</f>
        <v>F1502</v>
      </c>
    </row>
    <row r="476" spans="1:39" ht="13" x14ac:dyDescent="0.15">
      <c r="A476" s="1" t="str">
        <f ca="1">IFERROR(__xludf.DUMMYFUNCTION("""COMPUTED_VALUE"""),"NOUHANDO ROD Orient")</f>
        <v>NOUHANDO ROD Orient</v>
      </c>
      <c r="B476" s="1" t="str">
        <f ca="1">IFERROR(__xludf.DUMMYFUNCTION("""COMPUTED_VALUE"""),"NOUHANDO ROD")</f>
        <v>NOUHANDO ROD</v>
      </c>
      <c r="C476" s="1" t="str">
        <f ca="1">IFERROR(__xludf.DUMMYFUNCTION("""COMPUTED_VALUE"""),"Orient")</f>
        <v>Orient</v>
      </c>
      <c r="D476" s="1" t="str">
        <f ca="1">IFERROR(__xludf.DUMMYFUNCTION("""COMPUTED_VALUE"""),"1502E3")</f>
        <v>1502E3</v>
      </c>
      <c r="E476" s="2">
        <f ca="1">IFERROR(__xludf.DUMMYFUNCTION("""COMPUTED_VALUE"""),39828)</f>
        <v>39828</v>
      </c>
      <c r="F476" s="1" t="str">
        <f ca="1">IFERROR(__xludf.DUMMYFUNCTION("""COMPUTED_VALUE"""),"1ERE2")</f>
        <v>1ERE2</v>
      </c>
      <c r="G476" s="1" t="str">
        <f ca="1">IFERROR(__xludf.DUMMYFUNCTION("""COMPUTED_VALUE"""),"1ère")</f>
        <v>1ère</v>
      </c>
      <c r="H476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476" s="1" t="str">
        <f ca="1">IFERROR(__xludf.DUMMYFUNCTION("""COMPUTED_VALUE"""),"LVA Anglais")</f>
        <v>LVA Anglais</v>
      </c>
      <c r="J476" s="1" t="str">
        <f ca="1">IFERROR(__xludf.DUMMYFUNCTION("""COMPUTED_VALUE"""),"LVB Espagnol")</f>
        <v>LVB Espagnol</v>
      </c>
      <c r="K476" s="1"/>
      <c r="L476" s="1"/>
      <c r="M476" s="1" t="str">
        <f ca="1">IFERROR(__xludf.DUMMYFUNCTION("""COMPUTED_VALUE"""),"SPE MATHS, SPE SES, SPE SPC")</f>
        <v>SPE MATHS, SPE SES, SPE SPC</v>
      </c>
      <c r="N476" s="1" t="str">
        <f ca="1">IFERROR(__xludf.DUMMYFUNCTION("""COMPUTED_VALUE"""),"Garçon")</f>
        <v>Garçon</v>
      </c>
      <c r="O476" s="1"/>
      <c r="P476" s="1" t="str">
        <f ca="1">IFERROR(__xludf.DUMMYFUNCTION("""COMPUTED_VALUE"""),"GABON")</f>
        <v>GABON</v>
      </c>
      <c r="Q476" s="1"/>
      <c r="R476" s="1" t="str">
        <f ca="1">IFERROR(__xludf.DUMMYFUNCTION("""COMPUTED_VALUE"""),"orient.nouhandorod@lfjpsaly.org")</f>
        <v>orient.nouhandorod@lfjpsaly.org</v>
      </c>
      <c r="S476" s="1" t="str">
        <f ca="1">IFERROR(__xludf.DUMMYFUNCTION("""COMPUTED_VALUE"""),"+221 78 592 46 33")</f>
        <v>+221 78 592 46 33</v>
      </c>
      <c r="T476" s="1" t="str">
        <f ca="1">IFERROR(__xludf.DUMMYFUNCTION("""COMPUTED_VALUE"""),"NOUHANDO Prisca")</f>
        <v>NOUHANDO Prisca</v>
      </c>
      <c r="U476" s="1" t="str">
        <f ca="1">IFERROR(__xludf.DUMMYFUNCTION("""COMPUTED_VALUE"""),"NOUHANDO Rodrigue")</f>
        <v>NOUHANDO Rodrigue</v>
      </c>
      <c r="V476" s="1" t="str">
        <f ca="1">IFERROR(__xludf.DUMMYFUNCTION("""COMPUTED_VALUE"""),"priscanouhando@gmail.com")</f>
        <v>priscanouhando@gmail.com</v>
      </c>
      <c r="W476" s="1" t="str">
        <f ca="1">IFERROR(__xludf.DUMMYFUNCTION("""COMPUTED_VALUE"""),"rodrigue.nouhando@assalaenergy.com")</f>
        <v>rodrigue.nouhando@assalaenergy.com</v>
      </c>
      <c r="X476" s="1" t="str">
        <f ca="1">IFERROR(__xludf.DUMMYFUNCTION("""COMPUTED_VALUE"""),"+221 77 092 39 10")</f>
        <v>+221 77 092 39 10</v>
      </c>
      <c r="Y476" s="1" t="str">
        <f ca="1">IFERROR(__xludf.DUMMYFUNCTION("""COMPUTED_VALUE"""),"+221 77 092 39 10")</f>
        <v>+221 77 092 39 10</v>
      </c>
      <c r="Z476" s="1" t="str">
        <f ca="1">IFERROR(__xludf.DUMMYFUNCTION("""COMPUTED_VALUE"""),"+221 77 092 39 10")</f>
        <v>+221 77 092 39 10</v>
      </c>
      <c r="AA476" s="1" t="str">
        <f ca="1">IFERROR(__xludf.DUMMYFUNCTION("""COMPUTED_VALUE"""),"+221")</f>
        <v>+221</v>
      </c>
      <c r="AB476" s="2">
        <f ca="1">IFERROR(__xludf.DUMMYFUNCTION("""COMPUTED_VALUE"""),29180)</f>
        <v>29180</v>
      </c>
      <c r="AC476" s="2">
        <f ca="1">IFERROR(__xludf.DUMMYFUNCTION("""COMPUTED_VALUE"""),26048)</f>
        <v>26048</v>
      </c>
      <c r="AD476" s="1" t="str">
        <f ca="1">IFERROR(__xludf.DUMMYFUNCTION("""COMPUTED_VALUE"""),"MERE")</f>
        <v>MERE</v>
      </c>
      <c r="AE476" s="1" t="str">
        <f ca="1">IFERROR(__xludf.DUMMYFUNCTION("""COMPUTED_VALUE"""),"PERE")</f>
        <v>PERE</v>
      </c>
      <c r="AF476" s="1" t="str">
        <f ca="1">IFERROR(__xludf.DUMMYFUNCTION("""COMPUTED_VALUE"""),"GABON")</f>
        <v>GABON</v>
      </c>
      <c r="AG476" s="1" t="str">
        <f ca="1">IFERROR(__xludf.DUMMYFUNCTION("""COMPUTED_VALUE"""),"GABON")</f>
        <v>GABON</v>
      </c>
      <c r="AH476" s="1"/>
      <c r="AI476" s="1"/>
      <c r="AJ476" s="1" t="str">
        <f ca="1">IFERROR(__xludf.DUMMYFUNCTION("""COMPUTED_VALUE"""),"F1502")</f>
        <v>F1502</v>
      </c>
      <c r="AK476" s="1" t="str">
        <f ca="1">IFERROR(__xludf.DUMMYFUNCTION("""COMPUTED_VALUE"""),"Marié(e)")</f>
        <v>Marié(e)</v>
      </c>
      <c r="AL476" s="1" t="str">
        <f ca="1">IFERROR(__xludf.DUMMYFUNCTION("""COMPUTED_VALUE"""),"Marié(e)")</f>
        <v>Marié(e)</v>
      </c>
      <c r="AM476" s="1" t="str">
        <f ca="1">IFERROR(__xludf.DUMMYFUNCTION("""COMPUTED_VALUE"""),"F1502")</f>
        <v>F1502</v>
      </c>
    </row>
    <row r="477" spans="1:39" ht="13" x14ac:dyDescent="0.15">
      <c r="A477" s="1" t="str">
        <f ca="1">IFERROR(__xludf.DUMMYFUNCTION("""COMPUTED_VALUE"""),"NOUHANDO ROD Sidney Nicole")</f>
        <v>NOUHANDO ROD Sidney Nicole</v>
      </c>
      <c r="B477" s="1" t="str">
        <f ca="1">IFERROR(__xludf.DUMMYFUNCTION("""COMPUTED_VALUE"""),"NOUHANDO ROD")</f>
        <v>NOUHANDO ROD</v>
      </c>
      <c r="C477" s="1" t="str">
        <f ca="1">IFERROR(__xludf.DUMMYFUNCTION("""COMPUTED_VALUE"""),"Sidney Nicole")</f>
        <v>Sidney Nicole</v>
      </c>
      <c r="D477" s="1" t="str">
        <f ca="1">IFERROR(__xludf.DUMMYFUNCTION("""COMPUTED_VALUE"""),"11193S2221")</f>
        <v>11193S2221</v>
      </c>
      <c r="E477" s="2">
        <f ca="1">IFERROR(__xludf.DUMMYFUNCTION("""COMPUTED_VALUE"""),42151)</f>
        <v>42151</v>
      </c>
      <c r="F477" s="1" t="str">
        <f ca="1">IFERROR(__xludf.DUMMYFUNCTION("""COMPUTED_VALUE"""),"CM2B")</f>
        <v>CM2B</v>
      </c>
      <c r="G477" s="1" t="str">
        <f ca="1">IFERROR(__xludf.DUMMYFUNCTION("""COMPUTED_VALUE"""),"CM2")</f>
        <v>CM2</v>
      </c>
      <c r="H477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477" s="1"/>
      <c r="J477" s="1"/>
      <c r="K477" s="1"/>
      <c r="L477" s="1"/>
      <c r="M477" s="1"/>
      <c r="N477" s="1" t="str">
        <f ca="1">IFERROR(__xludf.DUMMYFUNCTION("""COMPUTED_VALUE"""),"Fille")</f>
        <v>Fille</v>
      </c>
      <c r="O477" s="1"/>
      <c r="P477" s="1" t="str">
        <f ca="1">IFERROR(__xludf.DUMMYFUNCTION("""COMPUTED_VALUE"""),"GABON")</f>
        <v>GABON</v>
      </c>
      <c r="Q477" s="1"/>
      <c r="R477" s="1"/>
      <c r="S477" s="1"/>
      <c r="T477" s="1" t="str">
        <f ca="1">IFERROR(__xludf.DUMMYFUNCTION("""COMPUTED_VALUE"""),"NOUHANDO Prisca")</f>
        <v>NOUHANDO Prisca</v>
      </c>
      <c r="U477" s="1" t="str">
        <f ca="1">IFERROR(__xludf.DUMMYFUNCTION("""COMPUTED_VALUE"""),"NOUHANDO Rodrigue")</f>
        <v>NOUHANDO Rodrigue</v>
      </c>
      <c r="V477" s="1" t="str">
        <f ca="1">IFERROR(__xludf.DUMMYFUNCTION("""COMPUTED_VALUE"""),"priscanouhando@gmail.com")</f>
        <v>priscanouhando@gmail.com</v>
      </c>
      <c r="W477" s="1" t="str">
        <f ca="1">IFERROR(__xludf.DUMMYFUNCTION("""COMPUTED_VALUE"""),"rodrigue.nouhando@assalaenergy.com")</f>
        <v>rodrigue.nouhando@assalaenergy.com</v>
      </c>
      <c r="X477" s="1" t="str">
        <f ca="1">IFERROR(__xludf.DUMMYFUNCTION("""COMPUTED_VALUE"""),"+221 77 092 39 10")</f>
        <v>+221 77 092 39 10</v>
      </c>
      <c r="Y477" s="1" t="str">
        <f ca="1">IFERROR(__xludf.DUMMYFUNCTION("""COMPUTED_VALUE"""),"+221 77 092 39 10")</f>
        <v>+221 77 092 39 10</v>
      </c>
      <c r="Z477" s="1" t="str">
        <f ca="1">IFERROR(__xludf.DUMMYFUNCTION("""COMPUTED_VALUE"""),"+221 77 092 39 10")</f>
        <v>+221 77 092 39 10</v>
      </c>
      <c r="AA477" s="1" t="str">
        <f ca="1">IFERROR(__xludf.DUMMYFUNCTION("""COMPUTED_VALUE"""),"+221")</f>
        <v>+221</v>
      </c>
      <c r="AB477" s="2">
        <f ca="1">IFERROR(__xludf.DUMMYFUNCTION("""COMPUTED_VALUE"""),29180)</f>
        <v>29180</v>
      </c>
      <c r="AC477" s="2">
        <f ca="1">IFERROR(__xludf.DUMMYFUNCTION("""COMPUTED_VALUE"""),26048)</f>
        <v>26048</v>
      </c>
      <c r="AD477" s="1" t="str">
        <f ca="1">IFERROR(__xludf.DUMMYFUNCTION("""COMPUTED_VALUE"""),"MERE")</f>
        <v>MERE</v>
      </c>
      <c r="AE477" s="1" t="str">
        <f ca="1">IFERROR(__xludf.DUMMYFUNCTION("""COMPUTED_VALUE"""),"PERE")</f>
        <v>PERE</v>
      </c>
      <c r="AF477" s="1" t="str">
        <f ca="1">IFERROR(__xludf.DUMMYFUNCTION("""COMPUTED_VALUE"""),"GABON")</f>
        <v>GABON</v>
      </c>
      <c r="AG477" s="1" t="str">
        <f ca="1">IFERROR(__xludf.DUMMYFUNCTION("""COMPUTED_VALUE"""),"GABON")</f>
        <v>GABON</v>
      </c>
      <c r="AH477" s="1"/>
      <c r="AI477" s="1"/>
      <c r="AJ477" s="1" t="str">
        <f ca="1">IFERROR(__xludf.DUMMYFUNCTION("""COMPUTED_VALUE"""),"F1502")</f>
        <v>F1502</v>
      </c>
      <c r="AK477" s="1" t="str">
        <f ca="1">IFERROR(__xludf.DUMMYFUNCTION("""COMPUTED_VALUE"""),"Marié(e)")</f>
        <v>Marié(e)</v>
      </c>
      <c r="AL477" s="1" t="str">
        <f ca="1">IFERROR(__xludf.DUMMYFUNCTION("""COMPUTED_VALUE"""),"Marié(e)")</f>
        <v>Marié(e)</v>
      </c>
      <c r="AM477" s="1" t="str">
        <f ca="1">IFERROR(__xludf.DUMMYFUNCTION("""COMPUTED_VALUE"""),"F1502")</f>
        <v>F1502</v>
      </c>
    </row>
    <row r="478" spans="1:39" ht="13" x14ac:dyDescent="0.15">
      <c r="A478" s="1" t="str">
        <f ca="1">IFERROR(__xludf.DUMMYFUNCTION("""COMPUTED_VALUE"""),"NUSS Paulette Thiaba")</f>
        <v>NUSS Paulette Thiaba</v>
      </c>
      <c r="B478" s="1" t="str">
        <f ca="1">IFERROR(__xludf.DUMMYFUNCTION("""COMPUTED_VALUE"""),"NUSS")</f>
        <v>NUSS</v>
      </c>
      <c r="C478" s="1" t="str">
        <f ca="1">IFERROR(__xludf.DUMMYFUNCTION("""COMPUTED_VALUE"""),"Paulette Thiaba")</f>
        <v>Paulette Thiaba</v>
      </c>
      <c r="D478" s="1" t="str">
        <f ca="1">IFERROR(__xludf.DUMMYFUNCTION("""COMPUTED_VALUE"""),"1503E1")</f>
        <v>1503E1</v>
      </c>
      <c r="E478" s="2">
        <f ca="1">IFERROR(__xludf.DUMMYFUNCTION("""COMPUTED_VALUE"""),40745)</f>
        <v>40745</v>
      </c>
      <c r="F478" s="1" t="str">
        <f ca="1">IFERROR(__xludf.DUMMYFUNCTION("""COMPUTED_VALUE"""),"3EME1")</f>
        <v>3EME1</v>
      </c>
      <c r="G478" s="1" t="str">
        <f ca="1">IFERROR(__xludf.DUMMYFUNCTION("""COMPUTED_VALUE"""),"3ème")</f>
        <v>3ème</v>
      </c>
      <c r="H478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478" s="1" t="str">
        <f ca="1">IFERROR(__xludf.DUMMYFUNCTION("""COMPUTED_VALUE"""),"LVA Anglais")</f>
        <v>LVA Anglais</v>
      </c>
      <c r="J478" s="1" t="str">
        <f ca="1">IFERROR(__xludf.DUMMYFUNCTION("""COMPUTED_VALUE"""),"LVB Espagnol")</f>
        <v>LVB Espagnol</v>
      </c>
      <c r="K478" s="1"/>
      <c r="L478" s="1"/>
      <c r="M478" s="1"/>
      <c r="N478" s="1" t="str">
        <f ca="1">IFERROR(__xludf.DUMMYFUNCTION("""COMPUTED_VALUE"""),"Fille")</f>
        <v>Fille</v>
      </c>
      <c r="O478" s="1"/>
      <c r="P478" s="1" t="str">
        <f ca="1">IFERROR(__xludf.DUMMYFUNCTION("""COMPUTED_VALUE"""),"FRANCE")</f>
        <v>FRANCE</v>
      </c>
      <c r="Q478" s="1"/>
      <c r="R478" s="1" t="str">
        <f ca="1">IFERROR(__xludf.DUMMYFUNCTION("""COMPUTED_VALUE"""),"paulette.nuss@lfjpsaly.org")</f>
        <v>paulette.nuss@lfjpsaly.org</v>
      </c>
      <c r="S478" s="1"/>
      <c r="T478" s="1" t="str">
        <f ca="1">IFERROR(__xludf.DUMMYFUNCTION("""COMPUTED_VALUE"""),"DIAW Ndeye Aïssatou")</f>
        <v>DIAW Ndeye Aïssatou</v>
      </c>
      <c r="U478" s="1"/>
      <c r="V478" s="1" t="str">
        <f ca="1">IFERROR(__xludf.DUMMYFUNCTION("""COMPUTED_VALUE"""),"ledomainedegandigal@yahoo.fr")</f>
        <v>ledomainedegandigal@yahoo.fr</v>
      </c>
      <c r="W478" s="1"/>
      <c r="X478" s="1" t="str">
        <f ca="1">IFERROR(__xludf.DUMMYFUNCTION("""COMPUTED_VALUE"""),"+221 77 351 20 61")</f>
        <v>+221 77 351 20 61</v>
      </c>
      <c r="Y478" s="1"/>
      <c r="Z478" s="1" t="str">
        <f ca="1">IFERROR(__xludf.DUMMYFUNCTION("""COMPUTED_VALUE"""),"+221 77 746 93 12")</f>
        <v>+221 77 746 93 12</v>
      </c>
      <c r="AA478" s="1"/>
      <c r="AB478" s="2">
        <f ca="1">IFERROR(__xludf.DUMMYFUNCTION("""COMPUTED_VALUE"""),28316)</f>
        <v>28316</v>
      </c>
      <c r="AC478" s="1"/>
      <c r="AD478" s="1" t="str">
        <f ca="1">IFERROR(__xludf.DUMMYFUNCTION("""COMPUTED_VALUE"""),"MERE")</f>
        <v>MERE</v>
      </c>
      <c r="AE478" s="1"/>
      <c r="AF478" s="1" t="str">
        <f ca="1">IFERROR(__xludf.DUMMYFUNCTION("""COMPUTED_VALUE"""),"SENEGAL")</f>
        <v>SENEGAL</v>
      </c>
      <c r="AG478" s="1"/>
      <c r="AH478" s="1"/>
      <c r="AI478" s="1"/>
      <c r="AJ478" s="1" t="str">
        <f ca="1">IFERROR(__xludf.DUMMYFUNCTION("""COMPUTED_VALUE"""),"F1503")</f>
        <v>F1503</v>
      </c>
      <c r="AK478" s="1" t="str">
        <f ca="1">IFERROR(__xludf.DUMMYFUNCTION("""COMPUTED_VALUE"""),"Veuf(ve)")</f>
        <v>Veuf(ve)</v>
      </c>
      <c r="AL478" s="1"/>
      <c r="AM478" s="1" t="str">
        <f ca="1">IFERROR(__xludf.DUMMYFUNCTION("""COMPUTED_VALUE"""),"F1503")</f>
        <v>F1503</v>
      </c>
    </row>
    <row r="479" spans="1:39" ht="13" x14ac:dyDescent="0.15">
      <c r="A479" s="1" t="str">
        <f ca="1">IFERROR(__xludf.DUMMYFUNCTION("""COMPUTED_VALUE"""),"OUBOUAMEUR Adam")</f>
        <v>OUBOUAMEUR Adam</v>
      </c>
      <c r="B479" s="1" t="str">
        <f ca="1">IFERROR(__xludf.DUMMYFUNCTION("""COMPUTED_VALUE"""),"OUBOUAMEUR")</f>
        <v>OUBOUAMEUR</v>
      </c>
      <c r="C479" s="1" t="str">
        <f ca="1">IFERROR(__xludf.DUMMYFUNCTION("""COMPUTED_VALUE"""),"Adam")</f>
        <v>Adam</v>
      </c>
      <c r="D479" s="1" t="str">
        <f ca="1">IFERROR(__xludf.DUMMYFUNCTION("""COMPUTED_VALUE"""),"11562S2771")</f>
        <v>11562S2771</v>
      </c>
      <c r="E479" s="2">
        <f ca="1">IFERROR(__xludf.DUMMYFUNCTION("""COMPUTED_VALUE"""),44935)</f>
        <v>44935</v>
      </c>
      <c r="F479" s="1" t="str">
        <f ca="1">IFERROR(__xludf.DUMMYFUNCTION("""COMPUTED_VALUE"""),"Mat 1")</f>
        <v>Mat 1</v>
      </c>
      <c r="G479" s="1" t="str">
        <f ca="1">IFERROR(__xludf.DUMMYFUNCTION("""COMPUTED_VALUE"""),"TPS")</f>
        <v>TPS</v>
      </c>
      <c r="H479" s="1" t="str">
        <f ca="1">IFERROR(__xludf.DUMMYFUNCTION("""COMPUTED_VALUE"""),"Lycée Français Jacques Prévert de Saly » Maternelle » TPS » Générale")</f>
        <v>Lycée Français Jacques Prévert de Saly » Maternelle » TPS » Générale</v>
      </c>
      <c r="I479" s="1"/>
      <c r="J479" s="1"/>
      <c r="K479" s="1"/>
      <c r="L479" s="1"/>
      <c r="M479" s="1"/>
      <c r="N479" s="1" t="str">
        <f ca="1">IFERROR(__xludf.DUMMYFUNCTION("""COMPUTED_VALUE"""),"Garçon")</f>
        <v>Garçon</v>
      </c>
      <c r="O479" s="1"/>
      <c r="P479" s="1" t="str">
        <f ca="1">IFERROR(__xludf.DUMMYFUNCTION("""COMPUTED_VALUE"""),"MAROC")</f>
        <v>MAROC</v>
      </c>
      <c r="Q479" s="1"/>
      <c r="R479" s="1"/>
      <c r="S479" s="1" t="str">
        <f ca="1">IFERROR(__xludf.DUMMYFUNCTION("""COMPUTED_VALUE"""),"+221")</f>
        <v>+221</v>
      </c>
      <c r="T479" s="1" t="str">
        <f ca="1">IFERROR(__xludf.DUMMYFUNCTION("""COMPUTED_VALUE"""),"OUBOUAMEUR Zouhir")</f>
        <v>OUBOUAMEUR Zouhir</v>
      </c>
      <c r="U479" s="1" t="str">
        <f ca="1">IFERROR(__xludf.DUMMYFUNCTION("""COMPUTED_VALUE"""),"ESSAFI Hayat")</f>
        <v>ESSAFI Hayat</v>
      </c>
      <c r="V479" s="1" t="str">
        <f ca="1">IFERROR(__xludf.DUMMYFUNCTION("""COMPUTED_VALUE"""),"zouhiroubouameur@gmail.com")</f>
        <v>zouhiroubouameur@gmail.com</v>
      </c>
      <c r="W479" s="1" t="str">
        <f ca="1">IFERROR(__xludf.DUMMYFUNCTION("""COMPUTED_VALUE"""),"hayatessafi2026@gmail.com")</f>
        <v>hayatessafi2026@gmail.com</v>
      </c>
      <c r="X479" s="1" t="str">
        <f ca="1">IFERROR(__xludf.DUMMYFUNCTION("""COMPUTED_VALUE"""),"+221 77 619 35 29")</f>
        <v>+221 77 619 35 29</v>
      </c>
      <c r="Y479" s="1" t="str">
        <f ca="1">IFERROR(__xludf.DUMMYFUNCTION("""COMPUTED_VALUE"""),"+221 77 292 22 70")</f>
        <v>+221 77 292 22 70</v>
      </c>
      <c r="Z479" s="1" t="str">
        <f ca="1">IFERROR(__xludf.DUMMYFUNCTION("""COMPUTED_VALUE"""),"+221")</f>
        <v>+221</v>
      </c>
      <c r="AA479" s="1" t="str">
        <f ca="1">IFERROR(__xludf.DUMMYFUNCTION("""COMPUTED_VALUE"""),"+221")</f>
        <v>+221</v>
      </c>
      <c r="AB479" s="2">
        <f ca="1">IFERROR(__xludf.DUMMYFUNCTION("""COMPUTED_VALUE"""),33476)</f>
        <v>33476</v>
      </c>
      <c r="AC479" s="2">
        <f ca="1">IFERROR(__xludf.DUMMYFUNCTION("""COMPUTED_VALUE"""),33358)</f>
        <v>33358</v>
      </c>
      <c r="AD479" s="1" t="str">
        <f ca="1">IFERROR(__xludf.DUMMYFUNCTION("""COMPUTED_VALUE"""),"PERE")</f>
        <v>PERE</v>
      </c>
      <c r="AE479" s="1" t="str">
        <f ca="1">IFERROR(__xludf.DUMMYFUNCTION("""COMPUTED_VALUE"""),"MERE")</f>
        <v>MERE</v>
      </c>
      <c r="AF479" s="1" t="str">
        <f ca="1">IFERROR(__xludf.DUMMYFUNCTION("""COMPUTED_VALUE"""),"MAROC")</f>
        <v>MAROC</v>
      </c>
      <c r="AG479" s="1" t="str">
        <f ca="1">IFERROR(__xludf.DUMMYFUNCTION("""COMPUTED_VALUE"""),"MAROC")</f>
        <v>MAROC</v>
      </c>
      <c r="AH479" s="1"/>
      <c r="AI479" s="1"/>
      <c r="AJ479" s="1" t="str">
        <f ca="1">IFERROR(__xludf.DUMMYFUNCTION("""COMPUTED_VALUE"""),"F1506")</f>
        <v>F1506</v>
      </c>
      <c r="AK479" s="1" t="str">
        <f ca="1">IFERROR(__xludf.DUMMYFUNCTION("""COMPUTED_VALUE"""),"Marié(e)")</f>
        <v>Marié(e)</v>
      </c>
      <c r="AL479" s="1" t="str">
        <f ca="1">IFERROR(__xludf.DUMMYFUNCTION("""COMPUTED_VALUE"""),"Marié(e)")</f>
        <v>Marié(e)</v>
      </c>
      <c r="AM479" s="1" t="str">
        <f ca="1">IFERROR(__xludf.DUMMYFUNCTION("""COMPUTED_VALUE"""),"F1506")</f>
        <v>F1506</v>
      </c>
    </row>
    <row r="480" spans="1:39" ht="13" x14ac:dyDescent="0.15">
      <c r="A480" s="1" t="str">
        <f ca="1">IFERROR(__xludf.DUMMYFUNCTION("""COMPUTED_VALUE"""),"OUBOUAMEUR Jinane")</f>
        <v>OUBOUAMEUR Jinane</v>
      </c>
      <c r="B480" s="1" t="str">
        <f ca="1">IFERROR(__xludf.DUMMYFUNCTION("""COMPUTED_VALUE"""),"OUBOUAMEUR")</f>
        <v>OUBOUAMEUR</v>
      </c>
      <c r="C480" s="1" t="str">
        <f ca="1">IFERROR(__xludf.DUMMYFUNCTION("""COMPUTED_VALUE"""),"Jinane")</f>
        <v>Jinane</v>
      </c>
      <c r="D480" s="1" t="str">
        <f ca="1">IFERROR(__xludf.DUMMYFUNCTION("""COMPUTED_VALUE"""),"1506E1")</f>
        <v>1506E1</v>
      </c>
      <c r="E480" s="2">
        <f ca="1">IFERROR(__xludf.DUMMYFUNCTION("""COMPUTED_VALUE"""),43307)</f>
        <v>43307</v>
      </c>
      <c r="F480" s="1" t="str">
        <f ca="1">IFERROR(__xludf.DUMMYFUNCTION("""COMPUTED_VALUE"""),"CE1B")</f>
        <v>CE1B</v>
      </c>
      <c r="G480" s="1" t="str">
        <f ca="1">IFERROR(__xludf.DUMMYFUNCTION("""COMPUTED_VALUE"""),"CE1")</f>
        <v>CE1</v>
      </c>
      <c r="H480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480" s="1"/>
      <c r="J480" s="1"/>
      <c r="K480" s="1"/>
      <c r="L480" s="1"/>
      <c r="M480" s="1"/>
      <c r="N480" s="1" t="str">
        <f ca="1">IFERROR(__xludf.DUMMYFUNCTION("""COMPUTED_VALUE"""),"Fille")</f>
        <v>Fille</v>
      </c>
      <c r="O480" s="1"/>
      <c r="P480" s="1" t="str">
        <f ca="1">IFERROR(__xludf.DUMMYFUNCTION("""COMPUTED_VALUE"""),"MAROC")</f>
        <v>MAROC</v>
      </c>
      <c r="Q480" s="1"/>
      <c r="R480" s="1"/>
      <c r="S480" s="1"/>
      <c r="T480" s="1" t="str">
        <f ca="1">IFERROR(__xludf.DUMMYFUNCTION("""COMPUTED_VALUE"""),"OUBOUAMEUR Zouhir")</f>
        <v>OUBOUAMEUR Zouhir</v>
      </c>
      <c r="U480" s="1" t="str">
        <f ca="1">IFERROR(__xludf.DUMMYFUNCTION("""COMPUTED_VALUE"""),"ESSAFI Hayat")</f>
        <v>ESSAFI Hayat</v>
      </c>
      <c r="V480" s="1" t="str">
        <f ca="1">IFERROR(__xludf.DUMMYFUNCTION("""COMPUTED_VALUE"""),"zouhiroubouameur@gmail.com")</f>
        <v>zouhiroubouameur@gmail.com</v>
      </c>
      <c r="W480" s="1" t="str">
        <f ca="1">IFERROR(__xludf.DUMMYFUNCTION("""COMPUTED_VALUE"""),"hayatessafi2026@gmail.com")</f>
        <v>hayatessafi2026@gmail.com</v>
      </c>
      <c r="X480" s="1" t="str">
        <f ca="1">IFERROR(__xludf.DUMMYFUNCTION("""COMPUTED_VALUE"""),"+221 77 619 35 29")</f>
        <v>+221 77 619 35 29</v>
      </c>
      <c r="Y480" s="1" t="str">
        <f ca="1">IFERROR(__xludf.DUMMYFUNCTION("""COMPUTED_VALUE"""),"+221 77 292 22 70")</f>
        <v>+221 77 292 22 70</v>
      </c>
      <c r="Z480" s="1" t="str">
        <f ca="1">IFERROR(__xludf.DUMMYFUNCTION("""COMPUTED_VALUE"""),"+221")</f>
        <v>+221</v>
      </c>
      <c r="AA480" s="1" t="str">
        <f ca="1">IFERROR(__xludf.DUMMYFUNCTION("""COMPUTED_VALUE"""),"+221")</f>
        <v>+221</v>
      </c>
      <c r="AB480" s="2">
        <f ca="1">IFERROR(__xludf.DUMMYFUNCTION("""COMPUTED_VALUE"""),33476)</f>
        <v>33476</v>
      </c>
      <c r="AC480" s="2">
        <f ca="1">IFERROR(__xludf.DUMMYFUNCTION("""COMPUTED_VALUE"""),33358)</f>
        <v>33358</v>
      </c>
      <c r="AD480" s="1" t="str">
        <f ca="1">IFERROR(__xludf.DUMMYFUNCTION("""COMPUTED_VALUE"""),"PERE")</f>
        <v>PERE</v>
      </c>
      <c r="AE480" s="1" t="str">
        <f ca="1">IFERROR(__xludf.DUMMYFUNCTION("""COMPUTED_VALUE"""),"MERE")</f>
        <v>MERE</v>
      </c>
      <c r="AF480" s="1" t="str">
        <f ca="1">IFERROR(__xludf.DUMMYFUNCTION("""COMPUTED_VALUE"""),"MAROC")</f>
        <v>MAROC</v>
      </c>
      <c r="AG480" s="1" t="str">
        <f ca="1">IFERROR(__xludf.DUMMYFUNCTION("""COMPUTED_VALUE"""),"MAROC")</f>
        <v>MAROC</v>
      </c>
      <c r="AH480" s="1"/>
      <c r="AI480" s="1"/>
      <c r="AJ480" s="1" t="str">
        <f ca="1">IFERROR(__xludf.DUMMYFUNCTION("""COMPUTED_VALUE"""),"F1506")</f>
        <v>F1506</v>
      </c>
      <c r="AK480" s="1" t="str">
        <f ca="1">IFERROR(__xludf.DUMMYFUNCTION("""COMPUTED_VALUE"""),"Marié(e)")</f>
        <v>Marié(e)</v>
      </c>
      <c r="AL480" s="1" t="str">
        <f ca="1">IFERROR(__xludf.DUMMYFUNCTION("""COMPUTED_VALUE"""),"Marié(e)")</f>
        <v>Marié(e)</v>
      </c>
      <c r="AM480" s="1" t="str">
        <f ca="1">IFERROR(__xludf.DUMMYFUNCTION("""COMPUTED_VALUE"""),"F1506")</f>
        <v>F1506</v>
      </c>
    </row>
    <row r="481" spans="1:39" ht="13" x14ac:dyDescent="0.15">
      <c r="A481" s="1" t="str">
        <f ca="1">IFERROR(__xludf.DUMMYFUNCTION("""COMPUTED_VALUE"""),"OUBOUAMEUR Yassmine")</f>
        <v>OUBOUAMEUR Yassmine</v>
      </c>
      <c r="B481" s="1" t="str">
        <f ca="1">IFERROR(__xludf.DUMMYFUNCTION("""COMPUTED_VALUE"""),"OUBOUAMEUR")</f>
        <v>OUBOUAMEUR</v>
      </c>
      <c r="C481" s="1" t="str">
        <f ca="1">IFERROR(__xludf.DUMMYFUNCTION("""COMPUTED_VALUE"""),"Yassmine")</f>
        <v>Yassmine</v>
      </c>
      <c r="D481" s="1" t="str">
        <f ca="1">IFERROR(__xludf.DUMMYFUNCTION("""COMPUTED_VALUE"""),"1506E2")</f>
        <v>1506E2</v>
      </c>
      <c r="E481" s="2">
        <f ca="1">IFERROR(__xludf.DUMMYFUNCTION("""COMPUTED_VALUE"""),43965)</f>
        <v>43965</v>
      </c>
      <c r="F481" s="1" t="str">
        <f ca="1">IFERROR(__xludf.DUMMYFUNCTION("""COMPUTED_VALUE"""),"Mat 3")</f>
        <v>Mat 3</v>
      </c>
      <c r="G481" s="1" t="str">
        <f ca="1">IFERROR(__xludf.DUMMYFUNCTION("""COMPUTED_VALUE"""),"GS")</f>
        <v>GS</v>
      </c>
      <c r="H481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481" s="1"/>
      <c r="J481" s="1"/>
      <c r="K481" s="1"/>
      <c r="L481" s="1"/>
      <c r="M481" s="1"/>
      <c r="N481" s="1" t="str">
        <f ca="1">IFERROR(__xludf.DUMMYFUNCTION("""COMPUTED_VALUE"""),"Fille")</f>
        <v>Fille</v>
      </c>
      <c r="O481" s="1"/>
      <c r="P481" s="1" t="str">
        <f ca="1">IFERROR(__xludf.DUMMYFUNCTION("""COMPUTED_VALUE"""),"MAROC")</f>
        <v>MAROC</v>
      </c>
      <c r="Q481" s="1"/>
      <c r="R481" s="1"/>
      <c r="S481" s="1"/>
      <c r="T481" s="1" t="str">
        <f ca="1">IFERROR(__xludf.DUMMYFUNCTION("""COMPUTED_VALUE"""),"ESSAFI Hayat")</f>
        <v>ESSAFI Hayat</v>
      </c>
      <c r="U481" s="1" t="str">
        <f ca="1">IFERROR(__xludf.DUMMYFUNCTION("""COMPUTED_VALUE"""),"OUBOUAMEUR Zouhir")</f>
        <v>OUBOUAMEUR Zouhir</v>
      </c>
      <c r="V481" s="1" t="str">
        <f ca="1">IFERROR(__xludf.DUMMYFUNCTION("""COMPUTED_VALUE"""),"hayatessafi2026@gmail.com")</f>
        <v>hayatessafi2026@gmail.com</v>
      </c>
      <c r="W481" s="1" t="str">
        <f ca="1">IFERROR(__xludf.DUMMYFUNCTION("""COMPUTED_VALUE"""),"zouhiroubouameur@gmail.com")</f>
        <v>zouhiroubouameur@gmail.com</v>
      </c>
      <c r="X481" s="1" t="str">
        <f ca="1">IFERROR(__xludf.DUMMYFUNCTION("""COMPUTED_VALUE"""),"+221 77 292 22 70")</f>
        <v>+221 77 292 22 70</v>
      </c>
      <c r="Y481" s="1" t="str">
        <f ca="1">IFERROR(__xludf.DUMMYFUNCTION("""COMPUTED_VALUE"""),"+221 77 619 35 29")</f>
        <v>+221 77 619 35 29</v>
      </c>
      <c r="Z481" s="1" t="str">
        <f ca="1">IFERROR(__xludf.DUMMYFUNCTION("""COMPUTED_VALUE"""),"+221")</f>
        <v>+221</v>
      </c>
      <c r="AA481" s="1" t="str">
        <f ca="1">IFERROR(__xludf.DUMMYFUNCTION("""COMPUTED_VALUE"""),"+221")</f>
        <v>+221</v>
      </c>
      <c r="AB481" s="2">
        <f ca="1">IFERROR(__xludf.DUMMYFUNCTION("""COMPUTED_VALUE"""),33358)</f>
        <v>33358</v>
      </c>
      <c r="AC481" s="2">
        <f ca="1">IFERROR(__xludf.DUMMYFUNCTION("""COMPUTED_VALUE"""),33476)</f>
        <v>33476</v>
      </c>
      <c r="AD481" s="1" t="str">
        <f ca="1">IFERROR(__xludf.DUMMYFUNCTION("""COMPUTED_VALUE"""),"MERE")</f>
        <v>MERE</v>
      </c>
      <c r="AE481" s="1" t="str">
        <f ca="1">IFERROR(__xludf.DUMMYFUNCTION("""COMPUTED_VALUE"""),"PERE")</f>
        <v>PERE</v>
      </c>
      <c r="AF481" s="1" t="str">
        <f ca="1">IFERROR(__xludf.DUMMYFUNCTION("""COMPUTED_VALUE"""),"MAROC")</f>
        <v>MAROC</v>
      </c>
      <c r="AG481" s="1" t="str">
        <f ca="1">IFERROR(__xludf.DUMMYFUNCTION("""COMPUTED_VALUE"""),"MAROC")</f>
        <v>MAROC</v>
      </c>
      <c r="AH481" s="1"/>
      <c r="AI481" s="1"/>
      <c r="AJ481" s="1" t="str">
        <f ca="1">IFERROR(__xludf.DUMMYFUNCTION("""COMPUTED_VALUE"""),"F1506")</f>
        <v>F1506</v>
      </c>
      <c r="AK481" s="1" t="str">
        <f ca="1">IFERROR(__xludf.DUMMYFUNCTION("""COMPUTED_VALUE"""),"Marié(e)")</f>
        <v>Marié(e)</v>
      </c>
      <c r="AL481" s="1" t="str">
        <f ca="1">IFERROR(__xludf.DUMMYFUNCTION("""COMPUTED_VALUE"""),"Marié(e)")</f>
        <v>Marié(e)</v>
      </c>
      <c r="AM481" s="1" t="str">
        <f ca="1">IFERROR(__xludf.DUMMYFUNCTION("""COMPUTED_VALUE"""),"F1506")</f>
        <v>F1506</v>
      </c>
    </row>
    <row r="482" spans="1:39" ht="13" x14ac:dyDescent="0.15">
      <c r="A482" s="1" t="str">
        <f ca="1">IFERROR(__xludf.DUMMYFUNCTION("""COMPUTED_VALUE"""),"OUDINET Mathilde")</f>
        <v>OUDINET Mathilde</v>
      </c>
      <c r="B482" s="1" t="str">
        <f ca="1">IFERROR(__xludf.DUMMYFUNCTION("""COMPUTED_VALUE"""),"OUDINET")</f>
        <v>OUDINET</v>
      </c>
      <c r="C482" s="1" t="str">
        <f ca="1">IFERROR(__xludf.DUMMYFUNCTION("""COMPUTED_VALUE"""),"Mathilde")</f>
        <v>Mathilde</v>
      </c>
      <c r="D482" s="1" t="str">
        <f ca="1">IFERROR(__xludf.DUMMYFUNCTION("""COMPUTED_VALUE"""),"1508E1")</f>
        <v>1508E1</v>
      </c>
      <c r="E482" s="2">
        <f ca="1">IFERROR(__xludf.DUMMYFUNCTION("""COMPUTED_VALUE"""),40998)</f>
        <v>40998</v>
      </c>
      <c r="F482" s="1" t="str">
        <f ca="1">IFERROR(__xludf.DUMMYFUNCTION("""COMPUTED_VALUE"""),"5EME2")</f>
        <v>5EME2</v>
      </c>
      <c r="G482" s="1" t="str">
        <f ca="1">IFERROR(__xludf.DUMMYFUNCTION("""COMPUTED_VALUE"""),"5ème")</f>
        <v>5ème</v>
      </c>
      <c r="H482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482" s="1" t="str">
        <f ca="1">IFERROR(__xludf.DUMMYFUNCTION("""COMPUTED_VALUE"""),"LVA Anglais")</f>
        <v>LVA Anglais</v>
      </c>
      <c r="J482" s="1" t="str">
        <f ca="1">IFERROR(__xludf.DUMMYFUNCTION("""COMPUTED_VALUE"""),"LVB Espagnol")</f>
        <v>LVB Espagnol</v>
      </c>
      <c r="K482" s="1"/>
      <c r="L482" s="1"/>
      <c r="M482" s="1"/>
      <c r="N482" s="1" t="str">
        <f ca="1">IFERROR(__xludf.DUMMYFUNCTION("""COMPUTED_VALUE"""),"Fille")</f>
        <v>Fille</v>
      </c>
      <c r="O482" s="1"/>
      <c r="P482" s="1" t="str">
        <f ca="1">IFERROR(__xludf.DUMMYFUNCTION("""COMPUTED_VALUE"""),"FRANCE")</f>
        <v>FRANCE</v>
      </c>
      <c r="Q482" s="1" t="str">
        <f ca="1">IFERROR(__xludf.DUMMYFUNCTION("""COMPUTED_VALUE"""),"SENEGAL")</f>
        <v>SENEGAL</v>
      </c>
      <c r="R482" s="1" t="str">
        <f ca="1">IFERROR(__xludf.DUMMYFUNCTION("""COMPUTED_VALUE"""),"mathilde.oudinet@lfjpsaly.org")</f>
        <v>mathilde.oudinet@lfjpsaly.org</v>
      </c>
      <c r="S482" s="1" t="str">
        <f ca="1">IFERROR(__xludf.DUMMYFUNCTION("""COMPUTED_VALUE"""),"+221 77 293 96 43")</f>
        <v>+221 77 293 96 43</v>
      </c>
      <c r="T482" s="1" t="str">
        <f ca="1">IFERROR(__xludf.DUMMYFUNCTION("""COMPUTED_VALUE"""),"OUDINET Didier")</f>
        <v>OUDINET Didier</v>
      </c>
      <c r="U482" s="1" t="str">
        <f ca="1">IFERROR(__xludf.DUMMYFUNCTION("""COMPUTED_VALUE"""),"OUDINET Alice")</f>
        <v>OUDINET Alice</v>
      </c>
      <c r="V482" s="1" t="str">
        <f ca="1">IFERROR(__xludf.DUMMYFUNCTION("""COMPUTED_VALUE"""),"jeepalice@outlook.fr")</f>
        <v>jeepalice@outlook.fr</v>
      </c>
      <c r="W482" s="1" t="str">
        <f ca="1">IFERROR(__xludf.DUMMYFUNCTION("""COMPUTED_VALUE"""),"jeepalice@outlook.fr")</f>
        <v>jeepalice@outlook.fr</v>
      </c>
      <c r="X482" s="1" t="str">
        <f ca="1">IFERROR(__xludf.DUMMYFUNCTION("""COMPUTED_VALUE"""),"+221 77 409 85 80")</f>
        <v>+221 77 409 85 80</v>
      </c>
      <c r="Y482" s="1" t="str">
        <f ca="1">IFERROR(__xludf.DUMMYFUNCTION("""COMPUTED_VALUE"""),"+221 77 293 96 43")</f>
        <v>+221 77 293 96 43</v>
      </c>
      <c r="Z482" s="1"/>
      <c r="AA482" s="1"/>
      <c r="AB482" s="2">
        <f ca="1">IFERROR(__xludf.DUMMYFUNCTION("""COMPUTED_VALUE"""),21549)</f>
        <v>21549</v>
      </c>
      <c r="AC482" s="2">
        <f ca="1">IFERROR(__xludf.DUMMYFUNCTION("""COMPUTED_VALUE"""),30347)</f>
        <v>30347</v>
      </c>
      <c r="AD482" s="1" t="str">
        <f ca="1">IFERROR(__xludf.DUMMYFUNCTION("""COMPUTED_VALUE"""),"PERE")</f>
        <v>PERE</v>
      </c>
      <c r="AE482" s="1" t="str">
        <f ca="1">IFERROR(__xludf.DUMMYFUNCTION("""COMPUTED_VALUE"""),"MERE")</f>
        <v>MERE</v>
      </c>
      <c r="AF482" s="1" t="str">
        <f ca="1">IFERROR(__xludf.DUMMYFUNCTION("""COMPUTED_VALUE"""),"FRANCE")</f>
        <v>FRANCE</v>
      </c>
      <c r="AG482" s="1" t="str">
        <f ca="1">IFERROR(__xludf.DUMMYFUNCTION("""COMPUTED_VALUE"""),"SENEGAL")</f>
        <v>SENEGAL</v>
      </c>
      <c r="AH482" s="1"/>
      <c r="AI482" s="1"/>
      <c r="AJ482" s="1" t="str">
        <f ca="1">IFERROR(__xludf.DUMMYFUNCTION("""COMPUTED_VALUE"""),"F1508")</f>
        <v>F1508</v>
      </c>
      <c r="AK482" s="1" t="str">
        <f ca="1">IFERROR(__xludf.DUMMYFUNCTION("""COMPUTED_VALUE"""),"Marié(e)")</f>
        <v>Marié(e)</v>
      </c>
      <c r="AL482" s="1" t="str">
        <f ca="1">IFERROR(__xludf.DUMMYFUNCTION("""COMPUTED_VALUE"""),"Marié(e)")</f>
        <v>Marié(e)</v>
      </c>
      <c r="AM482" s="1" t="str">
        <f ca="1">IFERROR(__xludf.DUMMYFUNCTION("""COMPUTED_VALUE"""),"F1508")</f>
        <v>F1508</v>
      </c>
    </row>
    <row r="483" spans="1:39" ht="13" x14ac:dyDescent="0.15">
      <c r="A483" s="1" t="str">
        <f ca="1">IFERROR(__xludf.DUMMYFUNCTION("""COMPUTED_VALUE"""),"OUDINET Moise Michel")</f>
        <v>OUDINET Moise Michel</v>
      </c>
      <c r="B483" s="1" t="str">
        <f ca="1">IFERROR(__xludf.DUMMYFUNCTION("""COMPUTED_VALUE"""),"OUDINET")</f>
        <v>OUDINET</v>
      </c>
      <c r="C483" s="1" t="str">
        <f ca="1">IFERROR(__xludf.DUMMYFUNCTION("""COMPUTED_VALUE"""),"Moise Michel")</f>
        <v>Moise Michel</v>
      </c>
      <c r="D483" s="1" t="str">
        <f ca="1">IFERROR(__xludf.DUMMYFUNCTION("""COMPUTED_VALUE"""),"1508E2")</f>
        <v>1508E2</v>
      </c>
      <c r="E483" s="2">
        <f ca="1">IFERROR(__xludf.DUMMYFUNCTION("""COMPUTED_VALUE"""),41767)</f>
        <v>41767</v>
      </c>
      <c r="F483" s="1" t="str">
        <f ca="1">IFERROR(__xludf.DUMMYFUNCTION("""COMPUTED_VALUE"""),"6EME2")</f>
        <v>6EME2</v>
      </c>
      <c r="G483" s="1" t="str">
        <f ca="1">IFERROR(__xludf.DUMMYFUNCTION("""COMPUTED_VALUE"""),"6ème")</f>
        <v>6ème</v>
      </c>
      <c r="H483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483" s="1" t="str">
        <f ca="1">IFERROR(__xludf.DUMMYFUNCTION("""COMPUTED_VALUE"""),"LVA Anglais")</f>
        <v>LVA Anglais</v>
      </c>
      <c r="J483" s="1" t="str">
        <f ca="1">IFERROR(__xludf.DUMMYFUNCTION("""COMPUTED_VALUE"""),"LVB Espagnol")</f>
        <v>LVB Espagnol</v>
      </c>
      <c r="K483" s="1"/>
      <c r="L483" s="1"/>
      <c r="M483" s="1"/>
      <c r="N483" s="1" t="str">
        <f ca="1">IFERROR(__xludf.DUMMYFUNCTION("""COMPUTED_VALUE"""),"Garçon")</f>
        <v>Garçon</v>
      </c>
      <c r="O483" s="1"/>
      <c r="P483" s="1" t="str">
        <f ca="1">IFERROR(__xludf.DUMMYFUNCTION("""COMPUTED_VALUE"""),"FRANCE")</f>
        <v>FRANCE</v>
      </c>
      <c r="Q483" s="1" t="str">
        <f ca="1">IFERROR(__xludf.DUMMYFUNCTION("""COMPUTED_VALUE"""),"SENEGAL")</f>
        <v>SENEGAL</v>
      </c>
      <c r="R483" s="1" t="str">
        <f ca="1">IFERROR(__xludf.DUMMYFUNCTION("""COMPUTED_VALUE"""),"moise.oudinet@lfjpsaly.org")</f>
        <v>moise.oudinet@lfjpsaly.org</v>
      </c>
      <c r="S483" s="1" t="str">
        <f ca="1">IFERROR(__xludf.DUMMYFUNCTION("""COMPUTED_VALUE"""),"+221 77 293 96 43")</f>
        <v>+221 77 293 96 43</v>
      </c>
      <c r="T483" s="1" t="str">
        <f ca="1">IFERROR(__xludf.DUMMYFUNCTION("""COMPUTED_VALUE"""),"OUDINET Didier")</f>
        <v>OUDINET Didier</v>
      </c>
      <c r="U483" s="1" t="str">
        <f ca="1">IFERROR(__xludf.DUMMYFUNCTION("""COMPUTED_VALUE"""),"OUDINET Alice")</f>
        <v>OUDINET Alice</v>
      </c>
      <c r="V483" s="1" t="str">
        <f ca="1">IFERROR(__xludf.DUMMYFUNCTION("""COMPUTED_VALUE"""),"jeepalice@outlook.fr")</f>
        <v>jeepalice@outlook.fr</v>
      </c>
      <c r="W483" s="1" t="str">
        <f ca="1">IFERROR(__xludf.DUMMYFUNCTION("""COMPUTED_VALUE"""),"jeepalice@outlook.fr")</f>
        <v>jeepalice@outlook.fr</v>
      </c>
      <c r="X483" s="1" t="str">
        <f ca="1">IFERROR(__xludf.DUMMYFUNCTION("""COMPUTED_VALUE"""),"+221 77 409 85 80")</f>
        <v>+221 77 409 85 80</v>
      </c>
      <c r="Y483" s="1" t="str">
        <f ca="1">IFERROR(__xludf.DUMMYFUNCTION("""COMPUTED_VALUE"""),"+221 77 293 96 43")</f>
        <v>+221 77 293 96 43</v>
      </c>
      <c r="Z483" s="1"/>
      <c r="AA483" s="1"/>
      <c r="AB483" s="2">
        <f ca="1">IFERROR(__xludf.DUMMYFUNCTION("""COMPUTED_VALUE"""),21549)</f>
        <v>21549</v>
      </c>
      <c r="AC483" s="2">
        <f ca="1">IFERROR(__xludf.DUMMYFUNCTION("""COMPUTED_VALUE"""),30347)</f>
        <v>30347</v>
      </c>
      <c r="AD483" s="1" t="str">
        <f ca="1">IFERROR(__xludf.DUMMYFUNCTION("""COMPUTED_VALUE"""),"PERE")</f>
        <v>PERE</v>
      </c>
      <c r="AE483" s="1" t="str">
        <f ca="1">IFERROR(__xludf.DUMMYFUNCTION("""COMPUTED_VALUE"""),"MERE")</f>
        <v>MERE</v>
      </c>
      <c r="AF483" s="1" t="str">
        <f ca="1">IFERROR(__xludf.DUMMYFUNCTION("""COMPUTED_VALUE"""),"FRANCE")</f>
        <v>FRANCE</v>
      </c>
      <c r="AG483" s="1" t="str">
        <f ca="1">IFERROR(__xludf.DUMMYFUNCTION("""COMPUTED_VALUE"""),"SENEGAL")</f>
        <v>SENEGAL</v>
      </c>
      <c r="AH483" s="1"/>
      <c r="AI483" s="1"/>
      <c r="AJ483" s="1" t="str">
        <f ca="1">IFERROR(__xludf.DUMMYFUNCTION("""COMPUTED_VALUE"""),"F1508")</f>
        <v>F1508</v>
      </c>
      <c r="AK483" s="1" t="str">
        <f ca="1">IFERROR(__xludf.DUMMYFUNCTION("""COMPUTED_VALUE"""),"Marié(e)")</f>
        <v>Marié(e)</v>
      </c>
      <c r="AL483" s="1" t="str">
        <f ca="1">IFERROR(__xludf.DUMMYFUNCTION("""COMPUTED_VALUE"""),"Marié(e)")</f>
        <v>Marié(e)</v>
      </c>
      <c r="AM483" s="1" t="str">
        <f ca="1">IFERROR(__xludf.DUMMYFUNCTION("""COMPUTED_VALUE"""),"F1508")</f>
        <v>F1508</v>
      </c>
    </row>
    <row r="484" spans="1:39" ht="13" x14ac:dyDescent="0.15">
      <c r="A484" s="1" t="str">
        <f ca="1">IFERROR(__xludf.DUMMYFUNCTION("""COMPUTED_VALUE"""),"PAILLIER Ayden")</f>
        <v>PAILLIER Ayden</v>
      </c>
      <c r="B484" s="1" t="str">
        <f ca="1">IFERROR(__xludf.DUMMYFUNCTION("""COMPUTED_VALUE"""),"PAILLIER")</f>
        <v>PAILLIER</v>
      </c>
      <c r="C484" s="1" t="str">
        <f ca="1">IFERROR(__xludf.DUMMYFUNCTION("""COMPUTED_VALUE"""),"Ayden")</f>
        <v>Ayden</v>
      </c>
      <c r="D484" s="1" t="str">
        <f ca="1">IFERROR(__xludf.DUMMYFUNCTION("""COMPUTED_VALUE"""),"1510E1")</f>
        <v>1510E1</v>
      </c>
      <c r="E484" s="2">
        <f ca="1">IFERROR(__xludf.DUMMYFUNCTION("""COMPUTED_VALUE"""),42719)</f>
        <v>42719</v>
      </c>
      <c r="F484" s="1" t="str">
        <f ca="1">IFERROR(__xludf.DUMMYFUNCTION("""COMPUTED_VALUE"""),"CM1A")</f>
        <v>CM1A</v>
      </c>
      <c r="G484" s="1" t="str">
        <f ca="1">IFERROR(__xludf.DUMMYFUNCTION("""COMPUTED_VALUE"""),"CM1")</f>
        <v>CM1</v>
      </c>
      <c r="H484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484" s="1"/>
      <c r="J484" s="1"/>
      <c r="K484" s="1"/>
      <c r="L484" s="1"/>
      <c r="M484" s="1"/>
      <c r="N484" s="1" t="str">
        <f ca="1">IFERROR(__xludf.DUMMYFUNCTION("""COMPUTED_VALUE"""),"Garçon")</f>
        <v>Garçon</v>
      </c>
      <c r="O484" s="1"/>
      <c r="P484" s="1" t="str">
        <f ca="1">IFERROR(__xludf.DUMMYFUNCTION("""COMPUTED_VALUE"""),"FRANCE")</f>
        <v>FRANCE</v>
      </c>
      <c r="Q484" s="1"/>
      <c r="R484" s="1"/>
      <c r="S484" s="1" t="str">
        <f ca="1">IFERROR(__xludf.DUMMYFUNCTION("""COMPUTED_VALUE"""),"+221")</f>
        <v>+221</v>
      </c>
      <c r="T484" s="1" t="str">
        <f ca="1">IFERROR(__xludf.DUMMYFUNCTION("""COMPUTED_VALUE"""),"PAILLIER Roxane")</f>
        <v>PAILLIER Roxane</v>
      </c>
      <c r="U484" s="1" t="str">
        <f ca="1">IFERROR(__xludf.DUMMYFUNCTION("""COMPUTED_VALUE"""),"PAILLIER Jean-Charles")</f>
        <v>PAILLIER Jean-Charles</v>
      </c>
      <c r="V484" s="1" t="str">
        <f ca="1">IFERROR(__xludf.DUMMYFUNCTION("""COMPUTED_VALUE"""),"roxanebonarinip@gmail.com")</f>
        <v>roxanebonarinip@gmail.com</v>
      </c>
      <c r="W484" s="1" t="str">
        <f ca="1">IFERROR(__xludf.DUMMYFUNCTION("""COMPUTED_VALUE"""),"imaginove@outlook.com")</f>
        <v>imaginove@outlook.com</v>
      </c>
      <c r="X484" s="1" t="str">
        <f ca="1">IFERROR(__xludf.DUMMYFUNCTION("""COMPUTED_VALUE"""),"77 421 86 97")</f>
        <v>77 421 86 97</v>
      </c>
      <c r="Y484" s="1" t="str">
        <f ca="1">IFERROR(__xludf.DUMMYFUNCTION("""COMPUTED_VALUE"""),"773637994")</f>
        <v>773637994</v>
      </c>
      <c r="Z484" s="1" t="str">
        <f ca="1">IFERROR(__xludf.DUMMYFUNCTION("""COMPUTED_VALUE"""),"+221 77 421 86 97")</f>
        <v>+221 77 421 86 97</v>
      </c>
      <c r="AA484" s="1" t="str">
        <f ca="1">IFERROR(__xludf.DUMMYFUNCTION("""COMPUTED_VALUE"""),"+221 77 363 79 94")</f>
        <v>+221 77 363 79 94</v>
      </c>
      <c r="AB484" s="2">
        <f ca="1">IFERROR(__xludf.DUMMYFUNCTION("""COMPUTED_VALUE"""),32392)</f>
        <v>32392</v>
      </c>
      <c r="AC484" s="2">
        <f ca="1">IFERROR(__xludf.DUMMYFUNCTION("""COMPUTED_VALUE"""),32361)</f>
        <v>32361</v>
      </c>
      <c r="AD484" s="1" t="str">
        <f ca="1">IFERROR(__xludf.DUMMYFUNCTION("""COMPUTED_VALUE"""),"MERE")</f>
        <v>MERE</v>
      </c>
      <c r="AE484" s="1" t="str">
        <f ca="1">IFERROR(__xludf.DUMMYFUNCTION("""COMPUTED_VALUE"""),"PERE")</f>
        <v>PERE</v>
      </c>
      <c r="AF484" s="1" t="str">
        <f ca="1">IFERROR(__xludf.DUMMYFUNCTION("""COMPUTED_VALUE"""),"FRANCE")</f>
        <v>FRANCE</v>
      </c>
      <c r="AG484" s="1" t="str">
        <f ca="1">IFERROR(__xludf.DUMMYFUNCTION("""COMPUTED_VALUE"""),"FRANCE")</f>
        <v>FRANCE</v>
      </c>
      <c r="AH484" s="1"/>
      <c r="AI484" s="1"/>
      <c r="AJ484" s="1" t="str">
        <f ca="1">IFERROR(__xludf.DUMMYFUNCTION("""COMPUTED_VALUE"""),"F1510")</f>
        <v>F1510</v>
      </c>
      <c r="AK484" s="1" t="str">
        <f ca="1">IFERROR(__xludf.DUMMYFUNCTION("""COMPUTED_VALUE"""),"Marié(e)")</f>
        <v>Marié(e)</v>
      </c>
      <c r="AL484" s="1" t="str">
        <f ca="1">IFERROR(__xludf.DUMMYFUNCTION("""COMPUTED_VALUE"""),"Marié(e)")</f>
        <v>Marié(e)</v>
      </c>
      <c r="AM484" s="1" t="str">
        <f ca="1">IFERROR(__xludf.DUMMYFUNCTION("""COMPUTED_VALUE"""),"F1510")</f>
        <v>F1510</v>
      </c>
    </row>
    <row r="485" spans="1:39" ht="13" x14ac:dyDescent="0.15">
      <c r="A485" s="1" t="str">
        <f ca="1">IFERROR(__xludf.DUMMYFUNCTION("""COMPUTED_VALUE"""),"PAILLIER Evaelle")</f>
        <v>PAILLIER Evaelle</v>
      </c>
      <c r="B485" s="1" t="str">
        <f ca="1">IFERROR(__xludf.DUMMYFUNCTION("""COMPUTED_VALUE"""),"PAILLIER")</f>
        <v>PAILLIER</v>
      </c>
      <c r="C485" s="1" t="str">
        <f ca="1">IFERROR(__xludf.DUMMYFUNCTION("""COMPUTED_VALUE"""),"Evaelle")</f>
        <v>Evaelle</v>
      </c>
      <c r="D485" s="1" t="str">
        <f ca="1">IFERROR(__xludf.DUMMYFUNCTION("""COMPUTED_VALUE"""),"1510E2")</f>
        <v>1510E2</v>
      </c>
      <c r="E485" s="2">
        <f ca="1">IFERROR(__xludf.DUMMYFUNCTION("""COMPUTED_VALUE"""),44099)</f>
        <v>44099</v>
      </c>
      <c r="F485" s="1" t="str">
        <f ca="1">IFERROR(__xludf.DUMMYFUNCTION("""COMPUTED_VALUE"""),"Mat 3")</f>
        <v>Mat 3</v>
      </c>
      <c r="G485" s="1" t="str">
        <f ca="1">IFERROR(__xludf.DUMMYFUNCTION("""COMPUTED_VALUE"""),"GS")</f>
        <v>GS</v>
      </c>
      <c r="H485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485" s="1"/>
      <c r="J485" s="1"/>
      <c r="K485" s="1"/>
      <c r="L485" s="1"/>
      <c r="M485" s="1"/>
      <c r="N485" s="1" t="str">
        <f ca="1">IFERROR(__xludf.DUMMYFUNCTION("""COMPUTED_VALUE"""),"Fille")</f>
        <v>Fille</v>
      </c>
      <c r="O485" s="1"/>
      <c r="P485" s="1" t="str">
        <f ca="1">IFERROR(__xludf.DUMMYFUNCTION("""COMPUTED_VALUE"""),"FRANCE")</f>
        <v>FRANCE</v>
      </c>
      <c r="Q485" s="1"/>
      <c r="R485" s="1"/>
      <c r="S485" s="1"/>
      <c r="T485" s="1" t="str">
        <f ca="1">IFERROR(__xludf.DUMMYFUNCTION("""COMPUTED_VALUE"""),"PAILLIER Roxane")</f>
        <v>PAILLIER Roxane</v>
      </c>
      <c r="U485" s="1" t="str">
        <f ca="1">IFERROR(__xludf.DUMMYFUNCTION("""COMPUTED_VALUE"""),"PAILLIER Jean-Charles")</f>
        <v>PAILLIER Jean-Charles</v>
      </c>
      <c r="V485" s="1" t="str">
        <f ca="1">IFERROR(__xludf.DUMMYFUNCTION("""COMPUTED_VALUE"""),"roxanebonarinip@gmail.com")</f>
        <v>roxanebonarinip@gmail.com</v>
      </c>
      <c r="W485" s="1" t="str">
        <f ca="1">IFERROR(__xludf.DUMMYFUNCTION("""COMPUTED_VALUE"""),"imaginove@outlook.com")</f>
        <v>imaginove@outlook.com</v>
      </c>
      <c r="X485" s="1" t="str">
        <f ca="1">IFERROR(__xludf.DUMMYFUNCTION("""COMPUTED_VALUE"""),"77 421 86 97")</f>
        <v>77 421 86 97</v>
      </c>
      <c r="Y485" s="1" t="str">
        <f ca="1">IFERROR(__xludf.DUMMYFUNCTION("""COMPUTED_VALUE"""),"773637994")</f>
        <v>773637994</v>
      </c>
      <c r="Z485" s="1" t="str">
        <f ca="1">IFERROR(__xludf.DUMMYFUNCTION("""COMPUTED_VALUE"""),"+221 77 421 86 97")</f>
        <v>+221 77 421 86 97</v>
      </c>
      <c r="AA485" s="1" t="str">
        <f ca="1">IFERROR(__xludf.DUMMYFUNCTION("""COMPUTED_VALUE"""),"+221 77 363 79 94")</f>
        <v>+221 77 363 79 94</v>
      </c>
      <c r="AB485" s="2">
        <f ca="1">IFERROR(__xludf.DUMMYFUNCTION("""COMPUTED_VALUE"""),32392)</f>
        <v>32392</v>
      </c>
      <c r="AC485" s="2">
        <f ca="1">IFERROR(__xludf.DUMMYFUNCTION("""COMPUTED_VALUE"""),32361)</f>
        <v>32361</v>
      </c>
      <c r="AD485" s="1" t="str">
        <f ca="1">IFERROR(__xludf.DUMMYFUNCTION("""COMPUTED_VALUE"""),"MERE")</f>
        <v>MERE</v>
      </c>
      <c r="AE485" s="1" t="str">
        <f ca="1">IFERROR(__xludf.DUMMYFUNCTION("""COMPUTED_VALUE"""),"PERE")</f>
        <v>PERE</v>
      </c>
      <c r="AF485" s="1" t="str">
        <f ca="1">IFERROR(__xludf.DUMMYFUNCTION("""COMPUTED_VALUE"""),"FRANCE")</f>
        <v>FRANCE</v>
      </c>
      <c r="AG485" s="1" t="str">
        <f ca="1">IFERROR(__xludf.DUMMYFUNCTION("""COMPUTED_VALUE"""),"FRANCE")</f>
        <v>FRANCE</v>
      </c>
      <c r="AH485" s="1"/>
      <c r="AI485" s="1"/>
      <c r="AJ485" s="1" t="str">
        <f ca="1">IFERROR(__xludf.DUMMYFUNCTION("""COMPUTED_VALUE"""),"F1510")</f>
        <v>F1510</v>
      </c>
      <c r="AK485" s="1" t="str">
        <f ca="1">IFERROR(__xludf.DUMMYFUNCTION("""COMPUTED_VALUE"""),"Marié(e)")</f>
        <v>Marié(e)</v>
      </c>
      <c r="AL485" s="1" t="str">
        <f ca="1">IFERROR(__xludf.DUMMYFUNCTION("""COMPUTED_VALUE"""),"Marié(e)")</f>
        <v>Marié(e)</v>
      </c>
      <c r="AM485" s="1" t="str">
        <f ca="1">IFERROR(__xludf.DUMMYFUNCTION("""COMPUTED_VALUE"""),"F1510")</f>
        <v>F1510</v>
      </c>
    </row>
    <row r="486" spans="1:39" ht="13" x14ac:dyDescent="0.15">
      <c r="A486" s="1" t="str">
        <f ca="1">IFERROR(__xludf.DUMMYFUNCTION("""COMPUTED_VALUE"""),"PEREZ NGOLI Luna")</f>
        <v>PEREZ NGOLI Luna</v>
      </c>
      <c r="B486" s="1" t="str">
        <f ca="1">IFERROR(__xludf.DUMMYFUNCTION("""COMPUTED_VALUE"""),"PEREZ NGOLI")</f>
        <v>PEREZ NGOLI</v>
      </c>
      <c r="C486" s="1" t="str">
        <f ca="1">IFERROR(__xludf.DUMMYFUNCTION("""COMPUTED_VALUE"""),"Luna")</f>
        <v>Luna</v>
      </c>
      <c r="D486" s="1" t="str">
        <f ca="1">IFERROR(__xludf.DUMMYFUNCTION("""COMPUTED_VALUE"""),"1513E1")</f>
        <v>1513E1</v>
      </c>
      <c r="E486" s="2">
        <f ca="1">IFERROR(__xludf.DUMMYFUNCTION("""COMPUTED_VALUE"""),39949)</f>
        <v>39949</v>
      </c>
      <c r="F486" s="1" t="str">
        <f ca="1">IFERROR(__xludf.DUMMYFUNCTION("""COMPUTED_VALUE"""),"2NDE1 COOP")</f>
        <v>2NDE1 COOP</v>
      </c>
      <c r="G486" s="1" t="str">
        <f ca="1">IFERROR(__xludf.DUMMYFUNCTION("""COMPUTED_VALUE"""),"2nde")</f>
        <v>2nde</v>
      </c>
      <c r="H486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486" s="1" t="str">
        <f ca="1">IFERROR(__xludf.DUMMYFUNCTION("""COMPUTED_VALUE"""),"LVA Anglais")</f>
        <v>LVA Anglais</v>
      </c>
      <c r="J486" s="1" t="str">
        <f ca="1">IFERROR(__xludf.DUMMYFUNCTION("""COMPUTED_VALUE"""),"LVB Espagnol")</f>
        <v>LVB Espagnol</v>
      </c>
      <c r="K486" s="1"/>
      <c r="L486" s="1"/>
      <c r="M486" s="1"/>
      <c r="N486" s="1" t="str">
        <f ca="1">IFERROR(__xludf.DUMMYFUNCTION("""COMPUTED_VALUE"""),"Fille")</f>
        <v>Fille</v>
      </c>
      <c r="O486" s="1"/>
      <c r="P486" s="1" t="str">
        <f ca="1">IFERROR(__xludf.DUMMYFUNCTION("""COMPUTED_VALUE"""),"FRANCE")</f>
        <v>FRANCE</v>
      </c>
      <c r="Q486" s="1"/>
      <c r="R486" s="1" t="str">
        <f ca="1">IFERROR(__xludf.DUMMYFUNCTION("""COMPUTED_VALUE"""),"luna.perezngoli@lfjpsaly.org")</f>
        <v>luna.perezngoli@lfjpsaly.org</v>
      </c>
      <c r="S486" s="1" t="str">
        <f ca="1">IFERROR(__xludf.DUMMYFUNCTION("""COMPUTED_VALUE"""),"+221 77 837 09 35")</f>
        <v>+221 77 837 09 35</v>
      </c>
      <c r="T486" s="1" t="str">
        <f ca="1">IFERROR(__xludf.DUMMYFUNCTION("""COMPUTED_VALUE"""),"PEREZ Fanny")</f>
        <v>PEREZ Fanny</v>
      </c>
      <c r="U486" s="1"/>
      <c r="V486" s="1" t="str">
        <f ca="1">IFERROR(__xludf.DUMMYFUNCTION("""COMPUTED_VALUE"""),"fannyperez25@hotmail.fr")</f>
        <v>fannyperez25@hotmail.fr</v>
      </c>
      <c r="W486" s="1"/>
      <c r="X486" s="1" t="str">
        <f ca="1">IFERROR(__xludf.DUMMYFUNCTION("""COMPUTED_VALUE"""),"+221 78 110 31 38")</f>
        <v>+221 78 110 31 38</v>
      </c>
      <c r="Y486" s="1"/>
      <c r="Z486" s="1" t="str">
        <f ca="1">IFERROR(__xludf.DUMMYFUNCTION("""COMPUTED_VALUE"""),"+221 77 837 09 35")</f>
        <v>+221 77 837 09 35</v>
      </c>
      <c r="AA486" s="1"/>
      <c r="AB486" s="2">
        <f ca="1">IFERROR(__xludf.DUMMYFUNCTION("""COMPUTED_VALUE"""),31496)</f>
        <v>31496</v>
      </c>
      <c r="AC486" s="1"/>
      <c r="AD486" s="1" t="str">
        <f ca="1">IFERROR(__xludf.DUMMYFUNCTION("""COMPUTED_VALUE"""),"MERE")</f>
        <v>MERE</v>
      </c>
      <c r="AE486" s="1"/>
      <c r="AF486" s="1" t="str">
        <f ca="1">IFERROR(__xludf.DUMMYFUNCTION("""COMPUTED_VALUE"""),"FRANCE")</f>
        <v>FRANCE</v>
      </c>
      <c r="AG486" s="1"/>
      <c r="AH486" s="1"/>
      <c r="AI486" s="1"/>
      <c r="AJ486" s="1" t="str">
        <f ca="1">IFERROR(__xludf.DUMMYFUNCTION("""COMPUTED_VALUE"""),"F1513")</f>
        <v>F1513</v>
      </c>
      <c r="AK486" s="1" t="str">
        <f ca="1">IFERROR(__xludf.DUMMYFUNCTION("""COMPUTED_VALUE"""),"Célibataire")</f>
        <v>Célibataire</v>
      </c>
      <c r="AL486" s="1"/>
      <c r="AM486" s="1" t="str">
        <f ca="1">IFERROR(__xludf.DUMMYFUNCTION("""COMPUTED_VALUE"""),"F1513")</f>
        <v>F1513</v>
      </c>
    </row>
    <row r="487" spans="1:39" ht="13" x14ac:dyDescent="0.15">
      <c r="A487" s="1" t="str">
        <f ca="1">IFERROR(__xludf.DUMMYFUNCTION("""COMPUTED_VALUE"""),"PEREZ NGOLI Micah Bruno Jean-Jacques")</f>
        <v>PEREZ NGOLI Micah Bruno Jean-Jacques</v>
      </c>
      <c r="B487" s="1" t="str">
        <f ca="1">IFERROR(__xludf.DUMMYFUNCTION("""COMPUTED_VALUE"""),"PEREZ NGOLI")</f>
        <v>PEREZ NGOLI</v>
      </c>
      <c r="C487" s="1" t="str">
        <f ca="1">IFERROR(__xludf.DUMMYFUNCTION("""COMPUTED_VALUE"""),"Micah Bruno Jean-Jacques")</f>
        <v>Micah Bruno Jean-Jacques</v>
      </c>
      <c r="D487" s="1" t="str">
        <f ca="1">IFERROR(__xludf.DUMMYFUNCTION("""COMPUTED_VALUE"""),"1513E2")</f>
        <v>1513E2</v>
      </c>
      <c r="E487" s="2">
        <f ca="1">IFERROR(__xludf.DUMMYFUNCTION("""COMPUTED_VALUE"""),40394)</f>
        <v>40394</v>
      </c>
      <c r="F487" s="1" t="str">
        <f ca="1">IFERROR(__xludf.DUMMYFUNCTION("""COMPUTED_VALUE"""),"3EME1")</f>
        <v>3EME1</v>
      </c>
      <c r="G487" s="1" t="str">
        <f ca="1">IFERROR(__xludf.DUMMYFUNCTION("""COMPUTED_VALUE"""),"3ème")</f>
        <v>3ème</v>
      </c>
      <c r="H487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487" s="1" t="str">
        <f ca="1">IFERROR(__xludf.DUMMYFUNCTION("""COMPUTED_VALUE"""),"LVA Anglais")</f>
        <v>LVA Anglais</v>
      </c>
      <c r="J487" s="1" t="str">
        <f ca="1">IFERROR(__xludf.DUMMYFUNCTION("""COMPUTED_VALUE"""),"LVB Espagnol")</f>
        <v>LVB Espagnol</v>
      </c>
      <c r="K487" s="1"/>
      <c r="L487" s="1"/>
      <c r="M487" s="1"/>
      <c r="N487" s="1" t="str">
        <f ca="1">IFERROR(__xludf.DUMMYFUNCTION("""COMPUTED_VALUE"""),"Garçon")</f>
        <v>Garçon</v>
      </c>
      <c r="O487" s="1"/>
      <c r="P487" s="1" t="str">
        <f ca="1">IFERROR(__xludf.DUMMYFUNCTION("""COMPUTED_VALUE"""),"FRANCE")</f>
        <v>FRANCE</v>
      </c>
      <c r="Q487" s="1"/>
      <c r="R487" s="1" t="str">
        <f ca="1">IFERROR(__xludf.DUMMYFUNCTION("""COMPUTED_VALUE"""),"micah.perezngoli@lfjpsaly.org")</f>
        <v>micah.perezngoli@lfjpsaly.org</v>
      </c>
      <c r="S487" s="1"/>
      <c r="T487" s="1" t="str">
        <f ca="1">IFERROR(__xludf.DUMMYFUNCTION("""COMPUTED_VALUE"""),"PEREZ Fanny")</f>
        <v>PEREZ Fanny</v>
      </c>
      <c r="U487" s="1"/>
      <c r="V487" s="1" t="str">
        <f ca="1">IFERROR(__xludf.DUMMYFUNCTION("""COMPUTED_VALUE"""),"fannyperez25@hotmail.fr")</f>
        <v>fannyperez25@hotmail.fr</v>
      </c>
      <c r="W487" s="1"/>
      <c r="X487" s="1" t="str">
        <f ca="1">IFERROR(__xludf.DUMMYFUNCTION("""COMPUTED_VALUE"""),"+221 78 110 31 38")</f>
        <v>+221 78 110 31 38</v>
      </c>
      <c r="Y487" s="1"/>
      <c r="Z487" s="1" t="str">
        <f ca="1">IFERROR(__xludf.DUMMYFUNCTION("""COMPUTED_VALUE"""),"+221 77 837 09 35")</f>
        <v>+221 77 837 09 35</v>
      </c>
      <c r="AA487" s="1"/>
      <c r="AB487" s="2">
        <f ca="1">IFERROR(__xludf.DUMMYFUNCTION("""COMPUTED_VALUE"""),31496)</f>
        <v>31496</v>
      </c>
      <c r="AC487" s="1"/>
      <c r="AD487" s="1" t="str">
        <f ca="1">IFERROR(__xludf.DUMMYFUNCTION("""COMPUTED_VALUE"""),"MERE")</f>
        <v>MERE</v>
      </c>
      <c r="AE487" s="1"/>
      <c r="AF487" s="1" t="str">
        <f ca="1">IFERROR(__xludf.DUMMYFUNCTION("""COMPUTED_VALUE"""),"FRANCE")</f>
        <v>FRANCE</v>
      </c>
      <c r="AG487" s="1"/>
      <c r="AH487" s="1"/>
      <c r="AI487" s="1"/>
      <c r="AJ487" s="1" t="str">
        <f ca="1">IFERROR(__xludf.DUMMYFUNCTION("""COMPUTED_VALUE"""),"F1513")</f>
        <v>F1513</v>
      </c>
      <c r="AK487" s="1" t="str">
        <f ca="1">IFERROR(__xludf.DUMMYFUNCTION("""COMPUTED_VALUE"""),"Célibataire")</f>
        <v>Célibataire</v>
      </c>
      <c r="AL487" s="1"/>
      <c r="AM487" s="1" t="str">
        <f ca="1">IFERROR(__xludf.DUMMYFUNCTION("""COMPUTED_VALUE"""),"F1513")</f>
        <v>F1513</v>
      </c>
    </row>
    <row r="488" spans="1:39" ht="13" x14ac:dyDescent="0.15">
      <c r="A488" s="1" t="str">
        <f ca="1">IFERROR(__xludf.DUMMYFUNCTION("""COMPUTED_VALUE"""),"PERINER Angie")</f>
        <v>PERINER Angie</v>
      </c>
      <c r="B488" s="1" t="str">
        <f ca="1">IFERROR(__xludf.DUMMYFUNCTION("""COMPUTED_VALUE"""),"PERINER")</f>
        <v>PERINER</v>
      </c>
      <c r="C488" s="1" t="str">
        <f ca="1">IFERROR(__xludf.DUMMYFUNCTION("""COMPUTED_VALUE"""),"Angie")</f>
        <v>Angie</v>
      </c>
      <c r="D488" s="1" t="str">
        <f ca="1">IFERROR(__xludf.DUMMYFUNCTION("""COMPUTED_VALUE"""),"1514E2")</f>
        <v>1514E2</v>
      </c>
      <c r="E488" s="2">
        <f ca="1">IFERROR(__xludf.DUMMYFUNCTION("""COMPUTED_VALUE"""),39610)</f>
        <v>39610</v>
      </c>
      <c r="F488" s="1" t="str">
        <f ca="1">IFERROR(__xludf.DUMMYFUNCTION("""COMPUTED_VALUE"""),"TERMINALE2")</f>
        <v>TERMINALE2</v>
      </c>
      <c r="G488" s="1" t="str">
        <f ca="1">IFERROR(__xludf.DUMMYFUNCTION("""COMPUTED_VALUE"""),"Terminale")</f>
        <v>Terminale</v>
      </c>
      <c r="H488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488" s="1" t="str">
        <f ca="1">IFERROR(__xludf.DUMMYFUNCTION("""COMPUTED_VALUE"""),"LVA Anglais")</f>
        <v>LVA Anglais</v>
      </c>
      <c r="J488" s="1" t="str">
        <f ca="1">IFERROR(__xludf.DUMMYFUNCTION("""COMPUTED_VALUE"""),"LVB Espagnol")</f>
        <v>LVB Espagnol</v>
      </c>
      <c r="K488" s="1"/>
      <c r="L488" s="1"/>
      <c r="M488" s="1" t="str">
        <f ca="1">IFERROR(__xludf.DUMMYFUNCTION("""COMPUTED_VALUE"""),"SPE LLCE AMC, SPE SVT")</f>
        <v>SPE LLCE AMC, SPE SVT</v>
      </c>
      <c r="N488" s="1" t="str">
        <f ca="1">IFERROR(__xludf.DUMMYFUNCTION("""COMPUTED_VALUE"""),"Fille")</f>
        <v>Fille</v>
      </c>
      <c r="O488" s="1"/>
      <c r="P488" s="1" t="str">
        <f ca="1">IFERROR(__xludf.DUMMYFUNCTION("""COMPUTED_VALUE"""),"FRANCE")</f>
        <v>FRANCE</v>
      </c>
      <c r="Q488" s="1"/>
      <c r="R488" s="1" t="str">
        <f ca="1">IFERROR(__xludf.DUMMYFUNCTION("""COMPUTED_VALUE"""),"angie.periner@lfjpsaly.org")</f>
        <v>angie.periner@lfjpsaly.org</v>
      </c>
      <c r="S488" s="1"/>
      <c r="T488" s="1" t="str">
        <f ca="1">IFERROR(__xludf.DUMMYFUNCTION("""COMPUTED_VALUE"""),"AL HAWI AL MASRI Deborah")</f>
        <v>AL HAWI AL MASRI Deborah</v>
      </c>
      <c r="U488" s="1" t="str">
        <f ca="1">IFERROR(__xludf.DUMMYFUNCTION("""COMPUTED_VALUE"""),"DUBOIS Olivier")</f>
        <v>DUBOIS Olivier</v>
      </c>
      <c r="V488" s="1" t="str">
        <f ca="1">IFERROR(__xludf.DUMMYFUNCTION("""COMPUTED_VALUE"""),"deborah.alhawialmasri@ehsafricalogistics.com")</f>
        <v>deborah.alhawialmasri@ehsafricalogistics.com</v>
      </c>
      <c r="W488" s="1" t="str">
        <f ca="1">IFERROR(__xludf.DUMMYFUNCTION("""COMPUTED_VALUE"""),"mikhoyan@gmail.com")</f>
        <v>mikhoyan@gmail.com</v>
      </c>
      <c r="X488" s="1" t="str">
        <f ca="1">IFERROR(__xludf.DUMMYFUNCTION("""COMPUTED_VALUE"""),"+221 78 913 25 61")</f>
        <v>+221 78 913 25 61</v>
      </c>
      <c r="Y488" s="1" t="str">
        <f ca="1">IFERROR(__xludf.DUMMYFUNCTION("""COMPUTED_VALUE"""),"+33 7 44 22 43 78")</f>
        <v>+33 7 44 22 43 78</v>
      </c>
      <c r="Z488" s="1" t="str">
        <f ca="1">IFERROR(__xludf.DUMMYFUNCTION("""COMPUTED_VALUE"""),"+221 78 913 25 61")</f>
        <v>+221 78 913 25 61</v>
      </c>
      <c r="AA488" s="1"/>
      <c r="AB488" s="2">
        <f ca="1">IFERROR(__xludf.DUMMYFUNCTION("""COMPUTED_VALUE"""),31499)</f>
        <v>31499</v>
      </c>
      <c r="AC488" s="2">
        <f ca="1">IFERROR(__xludf.DUMMYFUNCTION("""COMPUTED_VALUE"""),27247)</f>
        <v>27247</v>
      </c>
      <c r="AD488" s="1" t="str">
        <f ca="1">IFERROR(__xludf.DUMMYFUNCTION("""COMPUTED_VALUE"""),"MERE")</f>
        <v>MERE</v>
      </c>
      <c r="AE488" s="1" t="str">
        <f ca="1">IFERROR(__xludf.DUMMYFUNCTION("""COMPUTED_VALUE"""),"PERE")</f>
        <v>PERE</v>
      </c>
      <c r="AF488" s="1" t="str">
        <f ca="1">IFERROR(__xludf.DUMMYFUNCTION("""COMPUTED_VALUE"""),"FRANCE")</f>
        <v>FRANCE</v>
      </c>
      <c r="AG488" s="1" t="str">
        <f ca="1">IFERROR(__xludf.DUMMYFUNCTION("""COMPUTED_VALUE"""),"FRANCE")</f>
        <v>FRANCE</v>
      </c>
      <c r="AH488" s="1"/>
      <c r="AI488" s="1"/>
      <c r="AJ488" s="1" t="str">
        <f ca="1">IFERROR(__xludf.DUMMYFUNCTION("""COMPUTED_VALUE"""),"F1514")</f>
        <v>F1514</v>
      </c>
      <c r="AK488" s="1" t="str">
        <f ca="1">IFERROR(__xludf.DUMMYFUNCTION("""COMPUTED_VALUE"""),"Célibataire")</f>
        <v>Célibataire</v>
      </c>
      <c r="AL488" s="1" t="str">
        <f ca="1">IFERROR(__xludf.DUMMYFUNCTION("""COMPUTED_VALUE"""),"Marié(e)")</f>
        <v>Marié(e)</v>
      </c>
      <c r="AM488" s="1" t="str">
        <f ca="1">IFERROR(__xludf.DUMMYFUNCTION("""COMPUTED_VALUE"""),"F1514")</f>
        <v>F1514</v>
      </c>
    </row>
    <row r="489" spans="1:39" ht="13" x14ac:dyDescent="0.15">
      <c r="A489" s="1" t="str">
        <f ca="1">IFERROR(__xludf.DUMMYFUNCTION("""COMPUTED_VALUE"""),"PERRONE Océane")</f>
        <v>PERRONE Océane</v>
      </c>
      <c r="B489" s="1" t="str">
        <f ca="1">IFERROR(__xludf.DUMMYFUNCTION("""COMPUTED_VALUE"""),"PERRONE")</f>
        <v>PERRONE</v>
      </c>
      <c r="C489" s="1" t="str">
        <f ca="1">IFERROR(__xludf.DUMMYFUNCTION("""COMPUTED_VALUE"""),"Océane")</f>
        <v>Océane</v>
      </c>
      <c r="D489" s="1" t="str">
        <f ca="1">IFERROR(__xludf.DUMMYFUNCTION("""COMPUTED_VALUE"""),"1515E1")</f>
        <v>1515E1</v>
      </c>
      <c r="E489" s="2">
        <f ca="1">IFERROR(__xludf.DUMMYFUNCTION("""COMPUTED_VALUE"""),43065)</f>
        <v>43065</v>
      </c>
      <c r="F489" s="1" t="str">
        <f ca="1">IFERROR(__xludf.DUMMYFUNCTION("""COMPUTED_VALUE"""),"CE2")</f>
        <v>CE2</v>
      </c>
      <c r="G489" s="1" t="str">
        <f ca="1">IFERROR(__xludf.DUMMYFUNCTION("""COMPUTED_VALUE"""),"CE2")</f>
        <v>CE2</v>
      </c>
      <c r="H489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489" s="1"/>
      <c r="J489" s="1"/>
      <c r="K489" s="1"/>
      <c r="L489" s="1"/>
      <c r="M489" s="1"/>
      <c r="N489" s="1" t="str">
        <f ca="1">IFERROR(__xludf.DUMMYFUNCTION("""COMPUTED_VALUE"""),"Fille")</f>
        <v>Fille</v>
      </c>
      <c r="O489" s="1"/>
      <c r="P489" s="1" t="str">
        <f ca="1">IFERROR(__xludf.DUMMYFUNCTION("""COMPUTED_VALUE"""),"BELGIQUE")</f>
        <v>BELGIQUE</v>
      </c>
      <c r="Q489" s="1"/>
      <c r="R489" s="1"/>
      <c r="S489" s="1"/>
      <c r="T489" s="1" t="str">
        <f ca="1">IFERROR(__xludf.DUMMYFUNCTION("""COMPUTED_VALUE"""),"PERRONE Mamy")</f>
        <v>PERRONE Mamy</v>
      </c>
      <c r="U489" s="1" t="str">
        <f ca="1">IFERROR(__xludf.DUMMYFUNCTION("""COMPUTED_VALUE"""),"NOUVEL Roland")</f>
        <v>NOUVEL Roland</v>
      </c>
      <c r="V489" s="1" t="str">
        <f ca="1">IFERROR(__xludf.DUMMYFUNCTION("""COMPUTED_VALUE"""),"sseynabou478@gmail.com")</f>
        <v>sseynabou478@gmail.com</v>
      </c>
      <c r="W489" s="1" t="str">
        <f ca="1">IFERROR(__xludf.DUMMYFUNCTION("""COMPUTED_VALUE"""),"rolland.nouvel@gmail.com")</f>
        <v>rolland.nouvel@gmail.com</v>
      </c>
      <c r="X489" s="1" t="str">
        <f ca="1">IFERROR(__xludf.DUMMYFUNCTION("""COMPUTED_VALUE"""),"77 628 10 25")</f>
        <v>77 628 10 25</v>
      </c>
      <c r="Y489" s="1"/>
      <c r="Z489" s="1"/>
      <c r="AA489" s="1"/>
      <c r="AB489" s="2">
        <f ca="1">IFERROR(__xludf.DUMMYFUNCTION("""COMPUTED_VALUE"""),34335)</f>
        <v>34335</v>
      </c>
      <c r="AC489" s="2">
        <f ca="1">IFERROR(__xludf.DUMMYFUNCTION("""COMPUTED_VALUE"""),22199)</f>
        <v>22199</v>
      </c>
      <c r="AD489" s="1" t="str">
        <f ca="1">IFERROR(__xludf.DUMMYFUNCTION("""COMPUTED_VALUE"""),"MERE")</f>
        <v>MERE</v>
      </c>
      <c r="AE489" s="1" t="str">
        <f ca="1">IFERROR(__xludf.DUMMYFUNCTION("""COMPUTED_VALUE"""),"TUTEUR")</f>
        <v>TUTEUR</v>
      </c>
      <c r="AF489" s="1" t="str">
        <f ca="1">IFERROR(__xludf.DUMMYFUNCTION("""COMPUTED_VALUE"""),"FRANCE")</f>
        <v>FRANCE</v>
      </c>
      <c r="AG489" s="1" t="str">
        <f ca="1">IFERROR(__xludf.DUMMYFUNCTION("""COMPUTED_VALUE"""),"FRANCE")</f>
        <v>FRANCE</v>
      </c>
      <c r="AH489" s="1"/>
      <c r="AI489" s="1"/>
      <c r="AJ489" s="1" t="str">
        <f ca="1">IFERROR(__xludf.DUMMYFUNCTION("""COMPUTED_VALUE"""),"F1515")</f>
        <v>F1515</v>
      </c>
      <c r="AK489" s="1" t="str">
        <f ca="1">IFERROR(__xludf.DUMMYFUNCTION("""COMPUTED_VALUE"""),"Célibataire")</f>
        <v>Célibataire</v>
      </c>
      <c r="AL489" s="1" t="str">
        <f ca="1">IFERROR(__xludf.DUMMYFUNCTION("""COMPUTED_VALUE"""),"Divorcée")</f>
        <v>Divorcée</v>
      </c>
      <c r="AM489" s="1" t="str">
        <f ca="1">IFERROR(__xludf.DUMMYFUNCTION("""COMPUTED_VALUE"""),"F1515")</f>
        <v>F1515</v>
      </c>
    </row>
    <row r="490" spans="1:39" ht="13" x14ac:dyDescent="0.15">
      <c r="A490" s="1" t="str">
        <f ca="1">IFERROR(__xludf.DUMMYFUNCTION("""COMPUTED_VALUE"""),"PHILIBERT Audrey")</f>
        <v>PHILIBERT Audrey</v>
      </c>
      <c r="B490" s="1" t="str">
        <f ca="1">IFERROR(__xludf.DUMMYFUNCTION("""COMPUTED_VALUE"""),"PHILIBERT")</f>
        <v>PHILIBERT</v>
      </c>
      <c r="C490" s="1" t="str">
        <f ca="1">IFERROR(__xludf.DUMMYFUNCTION("""COMPUTED_VALUE"""),"Audrey")</f>
        <v>Audrey</v>
      </c>
      <c r="D490" s="1" t="str">
        <f ca="1">IFERROR(__xludf.DUMMYFUNCTION("""COMPUTED_VALUE"""),"1516E1")</f>
        <v>1516E1</v>
      </c>
      <c r="E490" s="2">
        <f ca="1">IFERROR(__xludf.DUMMYFUNCTION("""COMPUTED_VALUE"""),40504)</f>
        <v>40504</v>
      </c>
      <c r="F490" s="1" t="str">
        <f ca="1">IFERROR(__xludf.DUMMYFUNCTION("""COMPUTED_VALUE"""),"2NDE1 COOP")</f>
        <v>2NDE1 COOP</v>
      </c>
      <c r="G490" s="1" t="str">
        <f ca="1">IFERROR(__xludf.DUMMYFUNCTION("""COMPUTED_VALUE"""),"2nde")</f>
        <v>2nde</v>
      </c>
      <c r="H490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490" s="1" t="str">
        <f ca="1">IFERROR(__xludf.DUMMYFUNCTION("""COMPUTED_VALUE"""),"LVA Anglais")</f>
        <v>LVA Anglais</v>
      </c>
      <c r="J490" s="1" t="str">
        <f ca="1">IFERROR(__xludf.DUMMYFUNCTION("""COMPUTED_VALUE"""),"LVB Espagnol")</f>
        <v>LVB Espagnol</v>
      </c>
      <c r="K490" s="1"/>
      <c r="L490" s="1"/>
      <c r="M490" s="1"/>
      <c r="N490" s="1" t="str">
        <f ca="1">IFERROR(__xludf.DUMMYFUNCTION("""COMPUTED_VALUE"""),"Fille")</f>
        <v>Fille</v>
      </c>
      <c r="O490" s="1"/>
      <c r="P490" s="1" t="str">
        <f ca="1">IFERROR(__xludf.DUMMYFUNCTION("""COMPUTED_VALUE"""),"FRANCE")</f>
        <v>FRANCE</v>
      </c>
      <c r="Q490" s="1" t="str">
        <f ca="1">IFERROR(__xludf.DUMMYFUNCTION("""COMPUTED_VALUE"""),"SENEGAL")</f>
        <v>SENEGAL</v>
      </c>
      <c r="R490" s="1" t="str">
        <f ca="1">IFERROR(__xludf.DUMMYFUNCTION("""COMPUTED_VALUE"""),"audrey.philibert@lfjpsaly.org")</f>
        <v>audrey.philibert@lfjpsaly.org</v>
      </c>
      <c r="S490" s="1" t="str">
        <f ca="1">IFERROR(__xludf.DUMMYFUNCTION("""COMPUTED_VALUE"""),"+221 77 220 38 08")</f>
        <v>+221 77 220 38 08</v>
      </c>
      <c r="T490" s="1" t="str">
        <f ca="1">IFERROR(__xludf.DUMMYFUNCTION("""COMPUTED_VALUE"""),"PHILIBERT Dominique")</f>
        <v>PHILIBERT Dominique</v>
      </c>
      <c r="U490" s="1" t="str">
        <f ca="1">IFERROR(__xludf.DUMMYFUNCTION("""COMPUTED_VALUE"""),"PHILIBERT Eric")</f>
        <v>PHILIBERT Eric</v>
      </c>
      <c r="V490" s="1" t="str">
        <f ca="1">IFERROR(__xludf.DUMMYFUNCTION("""COMPUTED_VALUE"""),"dominiquesn@gmail.com")</f>
        <v>dominiquesn@gmail.com</v>
      </c>
      <c r="W490" s="1" t="str">
        <f ca="1">IFERROR(__xludf.DUMMYFUNCTION("""COMPUTED_VALUE"""),"ephilibert221@gmail.com")</f>
        <v>ephilibert221@gmail.com</v>
      </c>
      <c r="X490" s="1" t="str">
        <f ca="1">IFERROR(__xludf.DUMMYFUNCTION("""COMPUTED_VALUE"""),"+221 77 099 15 66")</f>
        <v>+221 77 099 15 66</v>
      </c>
      <c r="Y490" s="1" t="str">
        <f ca="1">IFERROR(__xludf.DUMMYFUNCTION("""COMPUTED_VALUE"""),"+221 77 569 01 66")</f>
        <v>+221 77 569 01 66</v>
      </c>
      <c r="Z490" s="1"/>
      <c r="AA490" s="1"/>
      <c r="AB490" s="2">
        <f ca="1">IFERROR(__xludf.DUMMYFUNCTION("""COMPUTED_VALUE"""),26865)</f>
        <v>26865</v>
      </c>
      <c r="AC490" s="2">
        <f ca="1">IFERROR(__xludf.DUMMYFUNCTION("""COMPUTED_VALUE"""),25760)</f>
        <v>25760</v>
      </c>
      <c r="AD490" s="1" t="str">
        <f ca="1">IFERROR(__xludf.DUMMYFUNCTION("""COMPUTED_VALUE"""),"MERE")</f>
        <v>MERE</v>
      </c>
      <c r="AE490" s="1" t="str">
        <f ca="1">IFERROR(__xludf.DUMMYFUNCTION("""COMPUTED_VALUE"""),"PERE")</f>
        <v>PERE</v>
      </c>
      <c r="AF490" s="1" t="str">
        <f ca="1">IFERROR(__xludf.DUMMYFUNCTION("""COMPUTED_VALUE"""),"FRANCE")</f>
        <v>FRANCE</v>
      </c>
      <c r="AG490" s="1" t="str">
        <f ca="1">IFERROR(__xludf.DUMMYFUNCTION("""COMPUTED_VALUE"""),"FRANCE")</f>
        <v>FRANCE</v>
      </c>
      <c r="AH490" s="1" t="str">
        <f ca="1">IFERROR(__xludf.DUMMYFUNCTION("""COMPUTED_VALUE"""),"SENEGAL")</f>
        <v>SENEGAL</v>
      </c>
      <c r="AI490" s="1" t="str">
        <f ca="1">IFERROR(__xludf.DUMMYFUNCTION("""COMPUTED_VALUE"""),"SENEGAL")</f>
        <v>SENEGAL</v>
      </c>
      <c r="AJ490" s="1" t="str">
        <f ca="1">IFERROR(__xludf.DUMMYFUNCTION("""COMPUTED_VALUE"""),"F1516")</f>
        <v>F1516</v>
      </c>
      <c r="AK490" s="1" t="str">
        <f ca="1">IFERROR(__xludf.DUMMYFUNCTION("""COMPUTED_VALUE"""),"Marié(e)")</f>
        <v>Marié(e)</v>
      </c>
      <c r="AL490" s="1" t="str">
        <f ca="1">IFERROR(__xludf.DUMMYFUNCTION("""COMPUTED_VALUE"""),"Marié(e)")</f>
        <v>Marié(e)</v>
      </c>
      <c r="AM490" s="1" t="str">
        <f ca="1">IFERROR(__xludf.DUMMYFUNCTION("""COMPUTED_VALUE"""),"F1516")</f>
        <v>F1516</v>
      </c>
    </row>
    <row r="491" spans="1:39" ht="13" x14ac:dyDescent="0.15">
      <c r="A491" s="1" t="str">
        <f ca="1">IFERROR(__xludf.DUMMYFUNCTION("""COMPUTED_VALUE"""),"PHILIPPE Paloma Clémence")</f>
        <v>PHILIPPE Paloma Clémence</v>
      </c>
      <c r="B491" s="1" t="str">
        <f ca="1">IFERROR(__xludf.DUMMYFUNCTION("""COMPUTED_VALUE"""),"PHILIPPE")</f>
        <v>PHILIPPE</v>
      </c>
      <c r="C491" s="1" t="str">
        <f ca="1">IFERROR(__xludf.DUMMYFUNCTION("""COMPUTED_VALUE"""),"Paloma Clémence")</f>
        <v>Paloma Clémence</v>
      </c>
      <c r="D491" s="1" t="str">
        <f ca="1">IFERROR(__xludf.DUMMYFUNCTION("""COMPUTED_VALUE"""),"1517E1")</f>
        <v>1517E1</v>
      </c>
      <c r="E491" s="2">
        <f ca="1">IFERROR(__xludf.DUMMYFUNCTION("""COMPUTED_VALUE"""),40890)</f>
        <v>40890</v>
      </c>
      <c r="F491" s="1" t="str">
        <f ca="1">IFERROR(__xludf.DUMMYFUNCTION("""COMPUTED_VALUE"""),"3EME2")</f>
        <v>3EME2</v>
      </c>
      <c r="G491" s="1" t="str">
        <f ca="1">IFERROR(__xludf.DUMMYFUNCTION("""COMPUTED_VALUE"""),"3ème")</f>
        <v>3ème</v>
      </c>
      <c r="H491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491" s="1" t="str">
        <f ca="1">IFERROR(__xludf.DUMMYFUNCTION("""COMPUTED_VALUE"""),"LVA Anglais")</f>
        <v>LVA Anglais</v>
      </c>
      <c r="J491" s="1" t="str">
        <f ca="1">IFERROR(__xludf.DUMMYFUNCTION("""COMPUTED_VALUE"""),"LVB Espagnol")</f>
        <v>LVB Espagnol</v>
      </c>
      <c r="K491" s="1"/>
      <c r="L491" s="1"/>
      <c r="M491" s="1"/>
      <c r="N491" s="1" t="str">
        <f ca="1">IFERROR(__xludf.DUMMYFUNCTION("""COMPUTED_VALUE"""),"Fille")</f>
        <v>Fille</v>
      </c>
      <c r="O491" s="1"/>
      <c r="P491" s="1" t="str">
        <f ca="1">IFERROR(__xludf.DUMMYFUNCTION("""COMPUTED_VALUE"""),"FRANCE")</f>
        <v>FRANCE</v>
      </c>
      <c r="Q491" s="1" t="str">
        <f ca="1">IFERROR(__xludf.DUMMYFUNCTION("""COMPUTED_VALUE"""),"SENEGAL")</f>
        <v>SENEGAL</v>
      </c>
      <c r="R491" s="1" t="str">
        <f ca="1">IFERROR(__xludf.DUMMYFUNCTION("""COMPUTED_VALUE"""),"paloma.philippe@lfjpsaly.org")</f>
        <v>paloma.philippe@lfjpsaly.org</v>
      </c>
      <c r="S491" s="1"/>
      <c r="T491" s="1" t="str">
        <f ca="1">IFERROR(__xludf.DUMMYFUNCTION("""COMPUTED_VALUE"""),"PHILIPPE Lionel")</f>
        <v>PHILIPPE Lionel</v>
      </c>
      <c r="U491" s="1" t="str">
        <f ca="1">IFERROR(__xludf.DUMMYFUNCTION("""COMPUTED_VALUE"""),"PHILIPPE Ndèye")</f>
        <v>PHILIPPE Ndèye</v>
      </c>
      <c r="V491" s="1" t="str">
        <f ca="1">IFERROR(__xludf.DUMMYFUNCTION("""COMPUTED_VALUE"""),"lionel.philippe@etik.com")</f>
        <v>lionel.philippe@etik.com</v>
      </c>
      <c r="W491" s="1" t="str">
        <f ca="1">IFERROR(__xludf.DUMMYFUNCTION("""COMPUTED_VALUE"""),"ndeye.g.philippe@gmail.com")</f>
        <v>ndeye.g.philippe@gmail.com</v>
      </c>
      <c r="X491" s="1" t="str">
        <f ca="1">IFERROR(__xludf.DUMMYFUNCTION("""COMPUTED_VALUE"""),"+33 6 24 56 62 86")</f>
        <v>+33 6 24 56 62 86</v>
      </c>
      <c r="Y491" s="1" t="str">
        <f ca="1">IFERROR(__xludf.DUMMYFUNCTION("""COMPUTED_VALUE"""),"+221 77 266 80 40")</f>
        <v>+221 77 266 80 40</v>
      </c>
      <c r="Z491" s="1" t="str">
        <f ca="1">IFERROR(__xludf.DUMMYFUNCTION("""COMPUTED_VALUE"""),"+33 6 24 56 62 86")</f>
        <v>+33 6 24 56 62 86</v>
      </c>
      <c r="AA491" s="1" t="str">
        <f ca="1">IFERROR(__xludf.DUMMYFUNCTION("""COMPUTED_VALUE"""),"+221 77 266 80 40")</f>
        <v>+221 77 266 80 40</v>
      </c>
      <c r="AB491" s="2">
        <f ca="1">IFERROR(__xludf.DUMMYFUNCTION("""COMPUTED_VALUE"""),19825)</f>
        <v>19825</v>
      </c>
      <c r="AC491" s="2">
        <f ca="1">IFERROR(__xludf.DUMMYFUNCTION("""COMPUTED_VALUE"""),26470)</f>
        <v>26470</v>
      </c>
      <c r="AD491" s="1" t="str">
        <f ca="1">IFERROR(__xludf.DUMMYFUNCTION("""COMPUTED_VALUE"""),"PERE")</f>
        <v>PERE</v>
      </c>
      <c r="AE491" s="1" t="str">
        <f ca="1">IFERROR(__xludf.DUMMYFUNCTION("""COMPUTED_VALUE"""),"MERE")</f>
        <v>MERE</v>
      </c>
      <c r="AF491" s="1" t="str">
        <f ca="1">IFERROR(__xludf.DUMMYFUNCTION("""COMPUTED_VALUE"""),"FRANCE")</f>
        <v>FRANCE</v>
      </c>
      <c r="AG491" s="1" t="str">
        <f ca="1">IFERROR(__xludf.DUMMYFUNCTION("""COMPUTED_VALUE"""),"FRANCE")</f>
        <v>FRANCE</v>
      </c>
      <c r="AH491" s="1" t="str">
        <f ca="1">IFERROR(__xludf.DUMMYFUNCTION("""COMPUTED_VALUE"""),"SENEGAL")</f>
        <v>SENEGAL</v>
      </c>
      <c r="AI491" s="1" t="str">
        <f ca="1">IFERROR(__xludf.DUMMYFUNCTION("""COMPUTED_VALUE"""),"SENEGAL")</f>
        <v>SENEGAL</v>
      </c>
      <c r="AJ491" s="1" t="str">
        <f ca="1">IFERROR(__xludf.DUMMYFUNCTION("""COMPUTED_VALUE"""),"F1517")</f>
        <v>F1517</v>
      </c>
      <c r="AK491" s="1" t="str">
        <f ca="1">IFERROR(__xludf.DUMMYFUNCTION("""COMPUTED_VALUE"""),"Marié(e)")</f>
        <v>Marié(e)</v>
      </c>
      <c r="AL491" s="1" t="str">
        <f ca="1">IFERROR(__xludf.DUMMYFUNCTION("""COMPUTED_VALUE"""),"Marié(e)")</f>
        <v>Marié(e)</v>
      </c>
      <c r="AM491" s="1" t="str">
        <f ca="1">IFERROR(__xludf.DUMMYFUNCTION("""COMPUTED_VALUE"""),"F1517")</f>
        <v>F1517</v>
      </c>
    </row>
    <row r="492" spans="1:39" ht="13" x14ac:dyDescent="0.15">
      <c r="A492" s="1" t="str">
        <f ca="1">IFERROR(__xludf.DUMMYFUNCTION("""COMPUTED_VALUE"""),"PIAGGIO KUNTZ Lia")</f>
        <v>PIAGGIO KUNTZ Lia</v>
      </c>
      <c r="B492" s="1" t="str">
        <f ca="1">IFERROR(__xludf.DUMMYFUNCTION("""COMPUTED_VALUE"""),"PIAGGIO KUNTZ")</f>
        <v>PIAGGIO KUNTZ</v>
      </c>
      <c r="C492" s="1" t="str">
        <f ca="1">IFERROR(__xludf.DUMMYFUNCTION("""COMPUTED_VALUE"""),"Lia")</f>
        <v>Lia</v>
      </c>
      <c r="D492" s="1" t="str">
        <f ca="1">IFERROR(__xludf.DUMMYFUNCTION("""COMPUTED_VALUE"""),"1518E1")</f>
        <v>1518E1</v>
      </c>
      <c r="E492" s="2">
        <f ca="1">IFERROR(__xludf.DUMMYFUNCTION("""COMPUTED_VALUE"""),43442)</f>
        <v>43442</v>
      </c>
      <c r="F492" s="1" t="str">
        <f ca="1">IFERROR(__xludf.DUMMYFUNCTION("""COMPUTED_VALUE"""),"CE1B")</f>
        <v>CE1B</v>
      </c>
      <c r="G492" s="1" t="str">
        <f ca="1">IFERROR(__xludf.DUMMYFUNCTION("""COMPUTED_VALUE"""),"CE1")</f>
        <v>CE1</v>
      </c>
      <c r="H492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492" s="1"/>
      <c r="J492" s="1"/>
      <c r="K492" s="1"/>
      <c r="L492" s="1"/>
      <c r="M492" s="1"/>
      <c r="N492" s="1" t="str">
        <f ca="1">IFERROR(__xludf.DUMMYFUNCTION("""COMPUTED_VALUE"""),"Fille")</f>
        <v>Fille</v>
      </c>
      <c r="O492" s="1"/>
      <c r="P492" s="1" t="str">
        <f ca="1">IFERROR(__xludf.DUMMYFUNCTION("""COMPUTED_VALUE"""),"FRANCE")</f>
        <v>FRANCE</v>
      </c>
      <c r="Q492" s="1" t="str">
        <f ca="1">IFERROR(__xludf.DUMMYFUNCTION("""COMPUTED_VALUE"""),"BOLIVIE")</f>
        <v>BOLIVIE</v>
      </c>
      <c r="R492" s="1"/>
      <c r="S492" s="1"/>
      <c r="T492" s="1" t="str">
        <f ca="1">IFERROR(__xludf.DUMMYFUNCTION("""COMPUTED_VALUE"""),"KUNTZ Emilie")</f>
        <v>KUNTZ Emilie</v>
      </c>
      <c r="U492" s="1" t="str">
        <f ca="1">IFERROR(__xludf.DUMMYFUNCTION("""COMPUTED_VALUE"""),"PIAGGIO POLITI Fernando")</f>
        <v>PIAGGIO POLITI Fernando</v>
      </c>
      <c r="V492" s="1" t="str">
        <f ca="1">IFERROR(__xludf.DUMMYFUNCTION("""COMPUTED_VALUE"""),"kuntzemilie@yahoo.fr")</f>
        <v>kuntzemilie@yahoo.fr</v>
      </c>
      <c r="W492" s="1" t="str">
        <f ca="1">IFERROR(__xludf.DUMMYFUNCTION("""COMPUTED_VALUE"""),"piaggiopolitifernando@hotmail.com")</f>
        <v>piaggiopolitifernando@hotmail.com</v>
      </c>
      <c r="X492" s="1" t="str">
        <f ca="1">IFERROR(__xludf.DUMMYFUNCTION("""COMPUTED_VALUE"""),"+221 78 969 90 45")</f>
        <v>+221 78 969 90 45</v>
      </c>
      <c r="Y492" s="1" t="str">
        <f ca="1">IFERROR(__xludf.DUMMYFUNCTION("""COMPUTED_VALUE"""),"+221 78 962 48 38")</f>
        <v>+221 78 962 48 38</v>
      </c>
      <c r="Z492" s="1"/>
      <c r="AA492" s="1" t="str">
        <f ca="1">IFERROR(__xludf.DUMMYFUNCTION("""COMPUTED_VALUE"""),"+221")</f>
        <v>+221</v>
      </c>
      <c r="AB492" s="2">
        <f ca="1">IFERROR(__xludf.DUMMYFUNCTION("""COMPUTED_VALUE"""),30032)</f>
        <v>30032</v>
      </c>
      <c r="AC492" s="2">
        <f ca="1">IFERROR(__xludf.DUMMYFUNCTION("""COMPUTED_VALUE"""),30393)</f>
        <v>30393</v>
      </c>
      <c r="AD492" s="1" t="str">
        <f ca="1">IFERROR(__xludf.DUMMYFUNCTION("""COMPUTED_VALUE"""),"MERE")</f>
        <v>MERE</v>
      </c>
      <c r="AE492" s="1" t="str">
        <f ca="1">IFERROR(__xludf.DUMMYFUNCTION("""COMPUTED_VALUE"""),"PERE")</f>
        <v>PERE</v>
      </c>
      <c r="AF492" s="1" t="str">
        <f ca="1">IFERROR(__xludf.DUMMYFUNCTION("""COMPUTED_VALUE"""),"FRANCE")</f>
        <v>FRANCE</v>
      </c>
      <c r="AG492" s="1" t="str">
        <f ca="1">IFERROR(__xludf.DUMMYFUNCTION("""COMPUTED_VALUE"""),"URUGUAY")</f>
        <v>URUGUAY</v>
      </c>
      <c r="AH492" s="1"/>
      <c r="AI492" s="1" t="str">
        <f ca="1">IFERROR(__xludf.DUMMYFUNCTION("""COMPUTED_VALUE"""),"BOLIVIE")</f>
        <v>BOLIVIE</v>
      </c>
      <c r="AJ492" s="1" t="str">
        <f ca="1">IFERROR(__xludf.DUMMYFUNCTION("""COMPUTED_VALUE"""),"F1518")</f>
        <v>F1518</v>
      </c>
      <c r="AK492" s="1" t="str">
        <f ca="1">IFERROR(__xludf.DUMMYFUNCTION("""COMPUTED_VALUE"""),"Marié(e)")</f>
        <v>Marié(e)</v>
      </c>
      <c r="AL492" s="1" t="str">
        <f ca="1">IFERROR(__xludf.DUMMYFUNCTION("""COMPUTED_VALUE"""),"Marié(e)")</f>
        <v>Marié(e)</v>
      </c>
      <c r="AM492" s="1" t="str">
        <f ca="1">IFERROR(__xludf.DUMMYFUNCTION("""COMPUTED_VALUE"""),"F1518")</f>
        <v>F1518</v>
      </c>
    </row>
    <row r="493" spans="1:39" ht="13" x14ac:dyDescent="0.15">
      <c r="A493" s="1" t="str">
        <f ca="1">IFERROR(__xludf.DUMMYFUNCTION("""COMPUTED_VALUE"""),"PIAGGIO KUNTZ Maya")</f>
        <v>PIAGGIO KUNTZ Maya</v>
      </c>
      <c r="B493" s="1" t="str">
        <f ca="1">IFERROR(__xludf.DUMMYFUNCTION("""COMPUTED_VALUE"""),"PIAGGIO KUNTZ")</f>
        <v>PIAGGIO KUNTZ</v>
      </c>
      <c r="C493" s="1" t="str">
        <f ca="1">IFERROR(__xludf.DUMMYFUNCTION("""COMPUTED_VALUE"""),"Maya")</f>
        <v>Maya</v>
      </c>
      <c r="D493" s="1" t="str">
        <f ca="1">IFERROR(__xludf.DUMMYFUNCTION("""COMPUTED_VALUE"""),"1518E2")</f>
        <v>1518E2</v>
      </c>
      <c r="E493" s="2">
        <f ca="1">IFERROR(__xludf.DUMMYFUNCTION("""COMPUTED_VALUE"""),42835)</f>
        <v>42835</v>
      </c>
      <c r="F493" s="1" t="str">
        <f ca="1">IFERROR(__xludf.DUMMYFUNCTION("""COMPUTED_VALUE"""),"CE2")</f>
        <v>CE2</v>
      </c>
      <c r="G493" s="1" t="str">
        <f ca="1">IFERROR(__xludf.DUMMYFUNCTION("""COMPUTED_VALUE"""),"CE2")</f>
        <v>CE2</v>
      </c>
      <c r="H493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493" s="1"/>
      <c r="J493" s="1"/>
      <c r="K493" s="1"/>
      <c r="L493" s="1"/>
      <c r="M493" s="1"/>
      <c r="N493" s="1" t="str">
        <f ca="1">IFERROR(__xludf.DUMMYFUNCTION("""COMPUTED_VALUE"""),"Fille")</f>
        <v>Fille</v>
      </c>
      <c r="O493" s="1"/>
      <c r="P493" s="1" t="str">
        <f ca="1">IFERROR(__xludf.DUMMYFUNCTION("""COMPUTED_VALUE"""),"FRANCE")</f>
        <v>FRANCE</v>
      </c>
      <c r="Q493" s="1" t="str">
        <f ca="1">IFERROR(__xludf.DUMMYFUNCTION("""COMPUTED_VALUE"""),"BOLIVIE")</f>
        <v>BOLIVIE</v>
      </c>
      <c r="R493" s="1"/>
      <c r="S493" s="1"/>
      <c r="T493" s="1" t="str">
        <f ca="1">IFERROR(__xludf.DUMMYFUNCTION("""COMPUTED_VALUE"""),"KUNTZ Emilie")</f>
        <v>KUNTZ Emilie</v>
      </c>
      <c r="U493" s="1" t="str">
        <f ca="1">IFERROR(__xludf.DUMMYFUNCTION("""COMPUTED_VALUE"""),"PIAGGIO POLITI Fernando")</f>
        <v>PIAGGIO POLITI Fernando</v>
      </c>
      <c r="V493" s="1" t="str">
        <f ca="1">IFERROR(__xludf.DUMMYFUNCTION("""COMPUTED_VALUE"""),"kuntzemilie@yahoo.fr")</f>
        <v>kuntzemilie@yahoo.fr</v>
      </c>
      <c r="W493" s="1" t="str">
        <f ca="1">IFERROR(__xludf.DUMMYFUNCTION("""COMPUTED_VALUE"""),"piaggiopolitifernando@hotmail.com")</f>
        <v>piaggiopolitifernando@hotmail.com</v>
      </c>
      <c r="X493" s="1" t="str">
        <f ca="1">IFERROR(__xludf.DUMMYFUNCTION("""COMPUTED_VALUE"""),"+221 78 969 90 45")</f>
        <v>+221 78 969 90 45</v>
      </c>
      <c r="Y493" s="1" t="str">
        <f ca="1">IFERROR(__xludf.DUMMYFUNCTION("""COMPUTED_VALUE"""),"+221 78 962 48 38")</f>
        <v>+221 78 962 48 38</v>
      </c>
      <c r="Z493" s="1"/>
      <c r="AA493" s="1" t="str">
        <f ca="1">IFERROR(__xludf.DUMMYFUNCTION("""COMPUTED_VALUE"""),"+221")</f>
        <v>+221</v>
      </c>
      <c r="AB493" s="2">
        <f ca="1">IFERROR(__xludf.DUMMYFUNCTION("""COMPUTED_VALUE"""),30032)</f>
        <v>30032</v>
      </c>
      <c r="AC493" s="2">
        <f ca="1">IFERROR(__xludf.DUMMYFUNCTION("""COMPUTED_VALUE"""),30393)</f>
        <v>30393</v>
      </c>
      <c r="AD493" s="1" t="str">
        <f ca="1">IFERROR(__xludf.DUMMYFUNCTION("""COMPUTED_VALUE"""),"MERE")</f>
        <v>MERE</v>
      </c>
      <c r="AE493" s="1" t="str">
        <f ca="1">IFERROR(__xludf.DUMMYFUNCTION("""COMPUTED_VALUE"""),"PERE")</f>
        <v>PERE</v>
      </c>
      <c r="AF493" s="1" t="str">
        <f ca="1">IFERROR(__xludf.DUMMYFUNCTION("""COMPUTED_VALUE"""),"FRANCE")</f>
        <v>FRANCE</v>
      </c>
      <c r="AG493" s="1" t="str">
        <f ca="1">IFERROR(__xludf.DUMMYFUNCTION("""COMPUTED_VALUE"""),"URUGUAY")</f>
        <v>URUGUAY</v>
      </c>
      <c r="AH493" s="1"/>
      <c r="AI493" s="1" t="str">
        <f ca="1">IFERROR(__xludf.DUMMYFUNCTION("""COMPUTED_VALUE"""),"BOLIVIE")</f>
        <v>BOLIVIE</v>
      </c>
      <c r="AJ493" s="1" t="str">
        <f ca="1">IFERROR(__xludf.DUMMYFUNCTION("""COMPUTED_VALUE"""),"F1518")</f>
        <v>F1518</v>
      </c>
      <c r="AK493" s="1" t="str">
        <f ca="1">IFERROR(__xludf.DUMMYFUNCTION("""COMPUTED_VALUE"""),"Marié(e)")</f>
        <v>Marié(e)</v>
      </c>
      <c r="AL493" s="1" t="str">
        <f ca="1">IFERROR(__xludf.DUMMYFUNCTION("""COMPUTED_VALUE"""),"Marié(e)")</f>
        <v>Marié(e)</v>
      </c>
      <c r="AM493" s="1" t="str">
        <f ca="1">IFERROR(__xludf.DUMMYFUNCTION("""COMPUTED_VALUE"""),"F1518")</f>
        <v>F1518</v>
      </c>
    </row>
    <row r="494" spans="1:39" ht="13" x14ac:dyDescent="0.15">
      <c r="A494" s="1" t="str">
        <f ca="1">IFERROR(__xludf.DUMMYFUNCTION("""COMPUTED_VALUE"""),"PICAUD Arfang")</f>
        <v>PICAUD Arfang</v>
      </c>
      <c r="B494" s="1" t="str">
        <f ca="1">IFERROR(__xludf.DUMMYFUNCTION("""COMPUTED_VALUE"""),"PICAUD")</f>
        <v>PICAUD</v>
      </c>
      <c r="C494" s="1" t="str">
        <f ca="1">IFERROR(__xludf.DUMMYFUNCTION("""COMPUTED_VALUE"""),"Arfang")</f>
        <v>Arfang</v>
      </c>
      <c r="D494" s="1" t="str">
        <f ca="1">IFERROR(__xludf.DUMMYFUNCTION("""COMPUTED_VALUE"""),"1519E1")</f>
        <v>1519E1</v>
      </c>
      <c r="E494" s="2">
        <f ca="1">IFERROR(__xludf.DUMMYFUNCTION("""COMPUTED_VALUE"""),43164)</f>
        <v>43164</v>
      </c>
      <c r="F494" s="1" t="str">
        <f ca="1">IFERROR(__xludf.DUMMYFUNCTION("""COMPUTED_VALUE"""),"CP")</f>
        <v>CP</v>
      </c>
      <c r="G494" s="1" t="str">
        <f ca="1">IFERROR(__xludf.DUMMYFUNCTION("""COMPUTED_VALUE"""),"CP")</f>
        <v>CP</v>
      </c>
      <c r="H494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494" s="1"/>
      <c r="J494" s="1"/>
      <c r="K494" s="1"/>
      <c r="L494" s="1"/>
      <c r="M494" s="1"/>
      <c r="N494" s="1" t="str">
        <f ca="1">IFERROR(__xludf.DUMMYFUNCTION("""COMPUTED_VALUE"""),"Garçon")</f>
        <v>Garçon</v>
      </c>
      <c r="O494" s="1"/>
      <c r="P494" s="1" t="str">
        <f ca="1">IFERROR(__xludf.DUMMYFUNCTION("""COMPUTED_VALUE"""),"FRANCE")</f>
        <v>FRANCE</v>
      </c>
      <c r="Q494" s="1" t="str">
        <f ca="1">IFERROR(__xludf.DUMMYFUNCTION("""COMPUTED_VALUE"""),"SENEGAL")</f>
        <v>SENEGAL</v>
      </c>
      <c r="R494" s="1"/>
      <c r="S494" s="1"/>
      <c r="T494" s="1" t="str">
        <f ca="1">IFERROR(__xludf.DUMMYFUNCTION("""COMPUTED_VALUE"""),"TOURE Mame Salimata")</f>
        <v>TOURE Mame Salimata</v>
      </c>
      <c r="U494" s="1" t="str">
        <f ca="1">IFERROR(__xludf.DUMMYFUNCTION("""COMPUTED_VALUE"""),"PICAUD Pascal")</f>
        <v>PICAUD Pascal</v>
      </c>
      <c r="V494" s="1" t="str">
        <f ca="1">IFERROR(__xludf.DUMMYFUNCTION("""COMPUTED_VALUE"""),"mamesalimatatoure@gmail.com")</f>
        <v>mamesalimatatoure@gmail.com</v>
      </c>
      <c r="W494" s="1" t="str">
        <f ca="1">IFERROR(__xludf.DUMMYFUNCTION("""COMPUTED_VALUE"""),"pascal.picaud@hotmail.fr")</f>
        <v>pascal.picaud@hotmail.fr</v>
      </c>
      <c r="X494" s="1" t="str">
        <f ca="1">IFERROR(__xludf.DUMMYFUNCTION("""COMPUTED_VALUE"""),"+221 77 792 61 63")</f>
        <v>+221 77 792 61 63</v>
      </c>
      <c r="Y494" s="1" t="str">
        <f ca="1">IFERROR(__xludf.DUMMYFUNCTION("""COMPUTED_VALUE"""),"+221 77 639 81 28")</f>
        <v>+221 77 639 81 28</v>
      </c>
      <c r="Z494" s="1" t="str">
        <f ca="1">IFERROR(__xludf.DUMMYFUNCTION("""COMPUTED_VALUE"""),"+221")</f>
        <v>+221</v>
      </c>
      <c r="AA494" s="1" t="str">
        <f ca="1">IFERROR(__xludf.DUMMYFUNCTION("""COMPUTED_VALUE"""),"+221")</f>
        <v>+221</v>
      </c>
      <c r="AB494" s="2">
        <f ca="1">IFERROR(__xludf.DUMMYFUNCTION("""COMPUTED_VALUE"""),28380)</f>
        <v>28380</v>
      </c>
      <c r="AC494" s="2">
        <f ca="1">IFERROR(__xludf.DUMMYFUNCTION("""COMPUTED_VALUE"""),23942)</f>
        <v>23942</v>
      </c>
      <c r="AD494" s="1" t="str">
        <f ca="1">IFERROR(__xludf.DUMMYFUNCTION("""COMPUTED_VALUE"""),"MERE")</f>
        <v>MERE</v>
      </c>
      <c r="AE494" s="1" t="str">
        <f ca="1">IFERROR(__xludf.DUMMYFUNCTION("""COMPUTED_VALUE"""),"PERE")</f>
        <v>PERE</v>
      </c>
      <c r="AF494" s="1" t="str">
        <f ca="1">IFERROR(__xludf.DUMMYFUNCTION("""COMPUTED_VALUE"""),"SENEGAL")</f>
        <v>SENEGAL</v>
      </c>
      <c r="AG494" s="1" t="str">
        <f ca="1">IFERROR(__xludf.DUMMYFUNCTION("""COMPUTED_VALUE"""),"FRANCE")</f>
        <v>FRANCE</v>
      </c>
      <c r="AH494" s="1" t="str">
        <f ca="1">IFERROR(__xludf.DUMMYFUNCTION("""COMPUTED_VALUE"""),"FRANCE")</f>
        <v>FRANCE</v>
      </c>
      <c r="AI494" s="1"/>
      <c r="AJ494" s="1" t="str">
        <f ca="1">IFERROR(__xludf.DUMMYFUNCTION("""COMPUTED_VALUE"""),"F1519")</f>
        <v>F1519</v>
      </c>
      <c r="AK494" s="1" t="str">
        <f ca="1">IFERROR(__xludf.DUMMYFUNCTION("""COMPUTED_VALUE"""),"Marié(e)")</f>
        <v>Marié(e)</v>
      </c>
      <c r="AL494" s="1" t="str">
        <f ca="1">IFERROR(__xludf.DUMMYFUNCTION("""COMPUTED_VALUE"""),"Marié(e)")</f>
        <v>Marié(e)</v>
      </c>
      <c r="AM494" s="1" t="str">
        <f ca="1">IFERROR(__xludf.DUMMYFUNCTION("""COMPUTED_VALUE"""),"F1519")</f>
        <v>F1519</v>
      </c>
    </row>
    <row r="495" spans="1:39" ht="13" x14ac:dyDescent="0.15">
      <c r="A495" s="1" t="str">
        <f ca="1">IFERROR(__xludf.DUMMYFUNCTION("""COMPUTED_VALUE"""),"PIVETTA Jade")</f>
        <v>PIVETTA Jade</v>
      </c>
      <c r="B495" s="1" t="str">
        <f ca="1">IFERROR(__xludf.DUMMYFUNCTION("""COMPUTED_VALUE"""),"PIVETTA")</f>
        <v>PIVETTA</v>
      </c>
      <c r="C495" s="1" t="str">
        <f ca="1">IFERROR(__xludf.DUMMYFUNCTION("""COMPUTED_VALUE"""),"Jade")</f>
        <v>Jade</v>
      </c>
      <c r="D495" s="1" t="str">
        <f ca="1">IFERROR(__xludf.DUMMYFUNCTION("""COMPUTED_VALUE"""),"1523E1")</f>
        <v>1523E1</v>
      </c>
      <c r="E495" s="2">
        <f ca="1">IFERROR(__xludf.DUMMYFUNCTION("""COMPUTED_VALUE"""),40352)</f>
        <v>40352</v>
      </c>
      <c r="F495" s="1" t="str">
        <f ca="1">IFERROR(__xludf.DUMMYFUNCTION("""COMPUTED_VALUE"""),"2NDE2")</f>
        <v>2NDE2</v>
      </c>
      <c r="G495" s="1" t="str">
        <f ca="1">IFERROR(__xludf.DUMMYFUNCTION("""COMPUTED_VALUE"""),"2nde")</f>
        <v>2nde</v>
      </c>
      <c r="H495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495" s="1" t="str">
        <f ca="1">IFERROR(__xludf.DUMMYFUNCTION("""COMPUTED_VALUE"""),"LVA Anglais")</f>
        <v>LVA Anglais</v>
      </c>
      <c r="J495" s="1" t="str">
        <f ca="1">IFERROR(__xludf.DUMMYFUNCTION("""COMPUTED_VALUE"""),"LVB Espagnol")</f>
        <v>LVB Espagnol</v>
      </c>
      <c r="K495" s="1"/>
      <c r="L495" s="1"/>
      <c r="M495" s="1"/>
      <c r="N495" s="1" t="str">
        <f ca="1">IFERROR(__xludf.DUMMYFUNCTION("""COMPUTED_VALUE"""),"Fille")</f>
        <v>Fille</v>
      </c>
      <c r="O495" s="1"/>
      <c r="P495" s="1" t="str">
        <f ca="1">IFERROR(__xludf.DUMMYFUNCTION("""COMPUTED_VALUE"""),"FRANCE")</f>
        <v>FRANCE</v>
      </c>
      <c r="Q495" s="1"/>
      <c r="R495" s="1" t="str">
        <f ca="1">IFERROR(__xludf.DUMMYFUNCTION("""COMPUTED_VALUE"""),"jade.pivetta@lfjpsaly.org")</f>
        <v>jade.pivetta@lfjpsaly.org</v>
      </c>
      <c r="S495" s="1" t="str">
        <f ca="1">IFERROR(__xludf.DUMMYFUNCTION("""COMPUTED_VALUE"""),"+221 78 108 54 26")</f>
        <v>+221 78 108 54 26</v>
      </c>
      <c r="T495" s="1" t="str">
        <f ca="1">IFERROR(__xludf.DUMMYFUNCTION("""COMPUTED_VALUE"""),"ASSAN DEMOLIS Lydia")</f>
        <v>ASSAN DEMOLIS Lydia</v>
      </c>
      <c r="U495" s="1" t="str">
        <f ca="1">IFERROR(__xludf.DUMMYFUNCTION("""COMPUTED_VALUE"""),"PIVETTA Laurent")</f>
        <v>PIVETTA Laurent</v>
      </c>
      <c r="V495" s="1" t="str">
        <f ca="1">IFERROR(__xludf.DUMMYFUNCTION("""COMPUTED_VALUE"""),"deiren.group@gmail.com")</f>
        <v>deiren.group@gmail.com</v>
      </c>
      <c r="W495" s="1" t="str">
        <f ca="1">IFERROR(__xludf.DUMMYFUNCTION("""COMPUTED_VALUE"""),"demolyd@gmail.com")</f>
        <v>demolyd@gmail.com</v>
      </c>
      <c r="X495" s="1" t="str">
        <f ca="1">IFERROR(__xludf.DUMMYFUNCTION("""COMPUTED_VALUE"""),"+221 78 108 54 26")</f>
        <v>+221 78 108 54 26</v>
      </c>
      <c r="Y495" s="1" t="str">
        <f ca="1">IFERROR(__xludf.DUMMYFUNCTION("""COMPUTED_VALUE"""),"+221 76 267 48 58")</f>
        <v>+221 76 267 48 58</v>
      </c>
      <c r="Z495" s="1"/>
      <c r="AA495" s="1"/>
      <c r="AB495" s="2">
        <f ca="1">IFERROR(__xludf.DUMMYFUNCTION("""COMPUTED_VALUE"""),30950)</f>
        <v>30950</v>
      </c>
      <c r="AC495" s="2">
        <f ca="1">IFERROR(__xludf.DUMMYFUNCTION("""COMPUTED_VALUE"""),22991)</f>
        <v>22991</v>
      </c>
      <c r="AD495" s="1" t="str">
        <f ca="1">IFERROR(__xludf.DUMMYFUNCTION("""COMPUTED_VALUE"""),"MERE")</f>
        <v>MERE</v>
      </c>
      <c r="AE495" s="1" t="str">
        <f ca="1">IFERROR(__xludf.DUMMYFUNCTION("""COMPUTED_VALUE"""),"PERE")</f>
        <v>PERE</v>
      </c>
      <c r="AF495" s="1" t="str">
        <f ca="1">IFERROR(__xludf.DUMMYFUNCTION("""COMPUTED_VALUE"""),"BENIN")</f>
        <v>BENIN</v>
      </c>
      <c r="AG495" s="1" t="str">
        <f ca="1">IFERROR(__xludf.DUMMYFUNCTION("""COMPUTED_VALUE"""),"FRANCE")</f>
        <v>FRANCE</v>
      </c>
      <c r="AH495" s="1"/>
      <c r="AI495" s="1"/>
      <c r="AJ495" s="1" t="str">
        <f ca="1">IFERROR(__xludf.DUMMYFUNCTION("""COMPUTED_VALUE"""),"F1523")</f>
        <v>F1523</v>
      </c>
      <c r="AK495" s="1" t="str">
        <f ca="1">IFERROR(__xludf.DUMMYFUNCTION("""COMPUTED_VALUE"""),"Marié(e)")</f>
        <v>Marié(e)</v>
      </c>
      <c r="AL495" s="1" t="str">
        <f ca="1">IFERROR(__xludf.DUMMYFUNCTION("""COMPUTED_VALUE"""),"Marié(e)")</f>
        <v>Marié(e)</v>
      </c>
      <c r="AM495" s="1" t="str">
        <f ca="1">IFERROR(__xludf.DUMMYFUNCTION("""COMPUTED_VALUE"""),"F1523")</f>
        <v>F1523</v>
      </c>
    </row>
    <row r="496" spans="1:39" ht="13" x14ac:dyDescent="0.15">
      <c r="A496" s="1" t="str">
        <f ca="1">IFERROR(__xludf.DUMMYFUNCTION("""COMPUTED_VALUE"""),"POGGI Élodie Bianca Maria Dib")</f>
        <v>POGGI Élodie Bianca Maria Dib</v>
      </c>
      <c r="B496" s="1" t="str">
        <f ca="1">IFERROR(__xludf.DUMMYFUNCTION("""COMPUTED_VALUE"""),"POGGI")</f>
        <v>POGGI</v>
      </c>
      <c r="C496" s="1" t="str">
        <f ca="1">IFERROR(__xludf.DUMMYFUNCTION("""COMPUTED_VALUE"""),"Élodie Bianca Maria Dib")</f>
        <v>Élodie Bianca Maria Dib</v>
      </c>
      <c r="D496" s="1" t="str">
        <f ca="1">IFERROR(__xludf.DUMMYFUNCTION("""COMPUTED_VALUE"""),"1525E1")</f>
        <v>1525E1</v>
      </c>
      <c r="E496" s="2">
        <f ca="1">IFERROR(__xludf.DUMMYFUNCTION("""COMPUTED_VALUE"""),40515)</f>
        <v>40515</v>
      </c>
      <c r="F496" s="1" t="str">
        <f ca="1">IFERROR(__xludf.DUMMYFUNCTION("""COMPUTED_VALUE"""),"2NDE2")</f>
        <v>2NDE2</v>
      </c>
      <c r="G496" s="1" t="str">
        <f ca="1">IFERROR(__xludf.DUMMYFUNCTION("""COMPUTED_VALUE"""),"2nde")</f>
        <v>2nde</v>
      </c>
      <c r="H496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496" s="1" t="str">
        <f ca="1">IFERROR(__xludf.DUMMYFUNCTION("""COMPUTED_VALUE"""),"LVA Anglais")</f>
        <v>LVA Anglais</v>
      </c>
      <c r="J496" s="1" t="str">
        <f ca="1">IFERROR(__xludf.DUMMYFUNCTION("""COMPUTED_VALUE"""),"LVB Espagnol")</f>
        <v>LVB Espagnol</v>
      </c>
      <c r="K496" s="1"/>
      <c r="L496" s="1"/>
      <c r="M496" s="1"/>
      <c r="N496" s="1" t="str">
        <f ca="1">IFERROR(__xludf.DUMMYFUNCTION("""COMPUTED_VALUE"""),"Fille")</f>
        <v>Fille</v>
      </c>
      <c r="O496" s="1"/>
      <c r="P496" s="1" t="str">
        <f ca="1">IFERROR(__xludf.DUMMYFUNCTION("""COMPUTED_VALUE"""),"FRANCE")</f>
        <v>FRANCE</v>
      </c>
      <c r="Q496" s="1" t="str">
        <f ca="1">IFERROR(__xludf.DUMMYFUNCTION("""COMPUTED_VALUE"""),"SENEGAL")</f>
        <v>SENEGAL</v>
      </c>
      <c r="R496" s="1" t="str">
        <f ca="1">IFERROR(__xludf.DUMMYFUNCTION("""COMPUTED_VALUE"""),"elodie.poggi@lfjpsaly.org")</f>
        <v>elodie.poggi@lfjpsaly.org</v>
      </c>
      <c r="S496" s="1"/>
      <c r="T496" s="1" t="str">
        <f ca="1">IFERROR(__xludf.DUMMYFUNCTION("""COMPUTED_VALUE"""),"POGGI SARR Mane")</f>
        <v>POGGI SARR Mane</v>
      </c>
      <c r="U496" s="1" t="str">
        <f ca="1">IFERROR(__xludf.DUMMYFUNCTION("""COMPUTED_VALUE"""),"POGGI Jean-Pierre")</f>
        <v>POGGI Jean-Pierre</v>
      </c>
      <c r="V496" s="1" t="str">
        <f ca="1">IFERROR(__xludf.DUMMYFUNCTION("""COMPUTED_VALUE"""),"poggimane9@gmail.com")</f>
        <v>poggimane9@gmail.com</v>
      </c>
      <c r="W496" s="1" t="str">
        <f ca="1">IFERROR(__xludf.DUMMYFUNCTION("""COMPUTED_VALUE"""),"poggijeanpierre9@gmail.com")</f>
        <v>poggijeanpierre9@gmail.com</v>
      </c>
      <c r="X496" s="1" t="str">
        <f ca="1">IFERROR(__xludf.DUMMYFUNCTION("""COMPUTED_VALUE"""),"+221 77 714 09 72")</f>
        <v>+221 77 714 09 72</v>
      </c>
      <c r="Y496" s="1" t="str">
        <f ca="1">IFERROR(__xludf.DUMMYFUNCTION("""COMPUTED_VALUE"""),"+221 77 505 32 42")</f>
        <v>+221 77 505 32 42</v>
      </c>
      <c r="Z496" s="1" t="str">
        <f ca="1">IFERROR(__xludf.DUMMYFUNCTION("""COMPUTED_VALUE"""),"+221")</f>
        <v>+221</v>
      </c>
      <c r="AA496" s="1"/>
      <c r="AB496" s="2">
        <f ca="1">IFERROR(__xludf.DUMMYFUNCTION("""COMPUTED_VALUE"""),27702)</f>
        <v>27702</v>
      </c>
      <c r="AC496" s="2">
        <f ca="1">IFERROR(__xludf.DUMMYFUNCTION("""COMPUTED_VALUE"""),18637)</f>
        <v>18637</v>
      </c>
      <c r="AD496" s="1" t="str">
        <f ca="1">IFERROR(__xludf.DUMMYFUNCTION("""COMPUTED_VALUE"""),"MERE")</f>
        <v>MERE</v>
      </c>
      <c r="AE496" s="1" t="str">
        <f ca="1">IFERROR(__xludf.DUMMYFUNCTION("""COMPUTED_VALUE"""),"PERE")</f>
        <v>PERE</v>
      </c>
      <c r="AF496" s="1" t="str">
        <f ca="1">IFERROR(__xludf.DUMMYFUNCTION("""COMPUTED_VALUE"""),"SENEGAL")</f>
        <v>SENEGAL</v>
      </c>
      <c r="AG496" s="1" t="str">
        <f ca="1">IFERROR(__xludf.DUMMYFUNCTION("""COMPUTED_VALUE"""),"FRANCE")</f>
        <v>FRANCE</v>
      </c>
      <c r="AH496" s="1" t="str">
        <f ca="1">IFERROR(__xludf.DUMMYFUNCTION("""COMPUTED_VALUE"""),"FRANCE")</f>
        <v>FRANCE</v>
      </c>
      <c r="AI496" s="1"/>
      <c r="AJ496" s="1" t="str">
        <f ca="1">IFERROR(__xludf.DUMMYFUNCTION("""COMPUTED_VALUE"""),"F1525")</f>
        <v>F1525</v>
      </c>
      <c r="AK496" s="1" t="str">
        <f ca="1">IFERROR(__xludf.DUMMYFUNCTION("""COMPUTED_VALUE"""),"Marié(e)")</f>
        <v>Marié(e)</v>
      </c>
      <c r="AL496" s="1" t="str">
        <f ca="1">IFERROR(__xludf.DUMMYFUNCTION("""COMPUTED_VALUE"""),"Marié(e)")</f>
        <v>Marié(e)</v>
      </c>
      <c r="AM496" s="1" t="str">
        <f ca="1">IFERROR(__xludf.DUMMYFUNCTION("""COMPUTED_VALUE"""),"F1525")</f>
        <v>F1525</v>
      </c>
    </row>
    <row r="497" spans="1:39" ht="13" x14ac:dyDescent="0.15">
      <c r="A497" s="1" t="str">
        <f ca="1">IFERROR(__xludf.DUMMYFUNCTION("""COMPUTED_VALUE"""),"PORQUET Yaniss")</f>
        <v>PORQUET Yaniss</v>
      </c>
      <c r="B497" s="1" t="str">
        <f ca="1">IFERROR(__xludf.DUMMYFUNCTION("""COMPUTED_VALUE"""),"PORQUET")</f>
        <v>PORQUET</v>
      </c>
      <c r="C497" s="1" t="str">
        <f ca="1">IFERROR(__xludf.DUMMYFUNCTION("""COMPUTED_VALUE"""),"Yaniss")</f>
        <v>Yaniss</v>
      </c>
      <c r="D497" s="1" t="str">
        <f ca="1">IFERROR(__xludf.DUMMYFUNCTION("""COMPUTED_VALUE"""),"1527E3")</f>
        <v>1527E3</v>
      </c>
      <c r="E497" s="2">
        <f ca="1">IFERROR(__xludf.DUMMYFUNCTION("""COMPUTED_VALUE"""),40579)</f>
        <v>40579</v>
      </c>
      <c r="F497" s="1" t="str">
        <f ca="1">IFERROR(__xludf.DUMMYFUNCTION("""COMPUTED_VALUE"""),"3EME1")</f>
        <v>3EME1</v>
      </c>
      <c r="G497" s="1" t="str">
        <f ca="1">IFERROR(__xludf.DUMMYFUNCTION("""COMPUTED_VALUE"""),"3ème")</f>
        <v>3ème</v>
      </c>
      <c r="H497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497" s="1" t="str">
        <f ca="1">IFERROR(__xludf.DUMMYFUNCTION("""COMPUTED_VALUE"""),"LVA Anglais")</f>
        <v>LVA Anglais</v>
      </c>
      <c r="J497" s="1" t="str">
        <f ca="1">IFERROR(__xludf.DUMMYFUNCTION("""COMPUTED_VALUE"""),"LVB Espagnol")</f>
        <v>LVB Espagnol</v>
      </c>
      <c r="K497" s="1"/>
      <c r="L497" s="1"/>
      <c r="M497" s="1"/>
      <c r="N497" s="1" t="str">
        <f ca="1">IFERROR(__xludf.DUMMYFUNCTION("""COMPUTED_VALUE"""),"Garçon")</f>
        <v>Garçon</v>
      </c>
      <c r="O497" s="1"/>
      <c r="P497" s="1" t="str">
        <f ca="1">IFERROR(__xludf.DUMMYFUNCTION("""COMPUTED_VALUE"""),"FRANCE")</f>
        <v>FRANCE</v>
      </c>
      <c r="Q497" s="1" t="str">
        <f ca="1">IFERROR(__xludf.DUMMYFUNCTION("""COMPUTED_VALUE"""),"SENEGAL")</f>
        <v>SENEGAL</v>
      </c>
      <c r="R497" s="1" t="str">
        <f ca="1">IFERROR(__xludf.DUMMYFUNCTION("""COMPUTED_VALUE"""),"yaniss.porquet@lfjpsaly.org")</f>
        <v>yaniss.porquet@lfjpsaly.org</v>
      </c>
      <c r="S497" s="1" t="str">
        <f ca="1">IFERROR(__xludf.DUMMYFUNCTION("""COMPUTED_VALUE"""),"+221 77 099 09 86")</f>
        <v>+221 77 099 09 86</v>
      </c>
      <c r="T497" s="1" t="str">
        <f ca="1">IFERROR(__xludf.DUMMYFUNCTION("""COMPUTED_VALUE"""),"SALL Léna")</f>
        <v>SALL Léna</v>
      </c>
      <c r="U497" s="1" t="str">
        <f ca="1">IFERROR(__xludf.DUMMYFUNCTION("""COMPUTED_VALUE"""),"PORQUET Dominique")</f>
        <v>PORQUET Dominique</v>
      </c>
      <c r="V497" s="1" t="str">
        <f ca="1">IFERROR(__xludf.DUMMYFUNCTION("""COMPUTED_VALUE"""),"dominique.porquet@gmail.com")</f>
        <v>dominique.porquet@gmail.com</v>
      </c>
      <c r="W497" s="1" t="str">
        <f ca="1">IFERROR(__xludf.DUMMYFUNCTION("""COMPUTED_VALUE"""),"dominique.porquet@gmail.com")</f>
        <v>dominique.porquet@gmail.com</v>
      </c>
      <c r="X497" s="1" t="str">
        <f ca="1">IFERROR(__xludf.DUMMYFUNCTION("""COMPUTED_VALUE"""),"+221 77 540 63 31")</f>
        <v>+221 77 540 63 31</v>
      </c>
      <c r="Y497" s="1" t="str">
        <f ca="1">IFERROR(__xludf.DUMMYFUNCTION("""COMPUTED_VALUE"""),"+221 77 099 09 86")</f>
        <v>+221 77 099 09 86</v>
      </c>
      <c r="Z497" s="1" t="str">
        <f ca="1">IFERROR(__xludf.DUMMYFUNCTION("""COMPUTED_VALUE"""),"+221")</f>
        <v>+221</v>
      </c>
      <c r="AA497" s="1" t="str">
        <f ca="1">IFERROR(__xludf.DUMMYFUNCTION("""COMPUTED_VALUE"""),"+221")</f>
        <v>+221</v>
      </c>
      <c r="AB497" s="2">
        <f ca="1">IFERROR(__xludf.DUMMYFUNCTION("""COMPUTED_VALUE"""),29567)</f>
        <v>29567</v>
      </c>
      <c r="AC497" s="2">
        <f ca="1">IFERROR(__xludf.DUMMYFUNCTION("""COMPUTED_VALUE"""),388016)</f>
        <v>388016</v>
      </c>
      <c r="AD497" s="1" t="str">
        <f ca="1">IFERROR(__xludf.DUMMYFUNCTION("""COMPUTED_VALUE"""),"MERE")</f>
        <v>MERE</v>
      </c>
      <c r="AE497" s="1" t="str">
        <f ca="1">IFERROR(__xludf.DUMMYFUNCTION("""COMPUTED_VALUE"""),"PERE")</f>
        <v>PERE</v>
      </c>
      <c r="AF497" s="1" t="str">
        <f ca="1">IFERROR(__xludf.DUMMYFUNCTION("""COMPUTED_VALUE"""),"SENEGAL")</f>
        <v>SENEGAL</v>
      </c>
      <c r="AG497" s="1" t="str">
        <f ca="1">IFERROR(__xludf.DUMMYFUNCTION("""COMPUTED_VALUE"""),"FRANCE")</f>
        <v>FRANCE</v>
      </c>
      <c r="AH497" s="1"/>
      <c r="AI497" s="1"/>
      <c r="AJ497" s="1" t="str">
        <f ca="1">IFERROR(__xludf.DUMMYFUNCTION("""COMPUTED_VALUE"""),"F1527")</f>
        <v>F1527</v>
      </c>
      <c r="AK497" s="1" t="str">
        <f ca="1">IFERROR(__xludf.DUMMYFUNCTION("""COMPUTED_VALUE"""),"Marié(e)")</f>
        <v>Marié(e)</v>
      </c>
      <c r="AL497" s="1" t="str">
        <f ca="1">IFERROR(__xludf.DUMMYFUNCTION("""COMPUTED_VALUE"""),"Marié(e)")</f>
        <v>Marié(e)</v>
      </c>
      <c r="AM497" s="1" t="str">
        <f ca="1">IFERROR(__xludf.DUMMYFUNCTION("""COMPUTED_VALUE"""),"F1527")</f>
        <v>F1527</v>
      </c>
    </row>
    <row r="498" spans="1:39" ht="13" x14ac:dyDescent="0.15">
      <c r="A498" s="1" t="str">
        <f ca="1">IFERROR(__xludf.DUMMYFUNCTION("""COMPUTED_VALUE"""),"PORTER Noah")</f>
        <v>PORTER Noah</v>
      </c>
      <c r="B498" s="1" t="str">
        <f ca="1">IFERROR(__xludf.DUMMYFUNCTION("""COMPUTED_VALUE"""),"PORTER")</f>
        <v>PORTER</v>
      </c>
      <c r="C498" s="1" t="str">
        <f ca="1">IFERROR(__xludf.DUMMYFUNCTION("""COMPUTED_VALUE"""),"Noah")</f>
        <v>Noah</v>
      </c>
      <c r="D498" s="1" t="str">
        <f ca="1">IFERROR(__xludf.DUMMYFUNCTION("""COMPUTED_VALUE"""),"1681E1")</f>
        <v>1681E1</v>
      </c>
      <c r="E498" s="2">
        <f ca="1">IFERROR(__xludf.DUMMYFUNCTION("""COMPUTED_VALUE"""),41446)</f>
        <v>41446</v>
      </c>
      <c r="F498" s="1" t="str">
        <f ca="1">IFERROR(__xludf.DUMMYFUNCTION("""COMPUTED_VALUE"""),"5EME2")</f>
        <v>5EME2</v>
      </c>
      <c r="G498" s="1" t="str">
        <f ca="1">IFERROR(__xludf.DUMMYFUNCTION("""COMPUTED_VALUE"""),"5ème")</f>
        <v>5ème</v>
      </c>
      <c r="H498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498" s="1" t="str">
        <f ca="1">IFERROR(__xludf.DUMMYFUNCTION("""COMPUTED_VALUE"""),"LVA Anglais")</f>
        <v>LVA Anglais</v>
      </c>
      <c r="J498" s="1" t="str">
        <f ca="1">IFERROR(__xludf.DUMMYFUNCTION("""COMPUTED_VALUE"""),"LVB Espagnol")</f>
        <v>LVB Espagnol</v>
      </c>
      <c r="K498" s="1"/>
      <c r="L498" s="1"/>
      <c r="M498" s="1"/>
      <c r="N498" s="1" t="str">
        <f ca="1">IFERROR(__xludf.DUMMYFUNCTION("""COMPUTED_VALUE"""),"Garçon")</f>
        <v>Garçon</v>
      </c>
      <c r="O498" s="1"/>
      <c r="P498" s="1" t="str">
        <f ca="1">IFERROR(__xludf.DUMMYFUNCTION("""COMPUTED_VALUE"""),"ETATS-UNIS")</f>
        <v>ETATS-UNIS</v>
      </c>
      <c r="Q498" s="1"/>
      <c r="R498" s="1" t="str">
        <f ca="1">IFERROR(__xludf.DUMMYFUNCTION("""COMPUTED_VALUE"""),"noah.porter@lfjpsaly.org")</f>
        <v>noah.porter@lfjpsaly.org</v>
      </c>
      <c r="S498" s="1" t="str">
        <f ca="1">IFERROR(__xludf.DUMMYFUNCTION("""COMPUTED_VALUE"""),"+221 77 629 33 83")</f>
        <v>+221 77 629 33 83</v>
      </c>
      <c r="T498" s="1" t="str">
        <f ca="1">IFERROR(__xludf.DUMMYFUNCTION("""COMPUTED_VALUE"""),"PORTER Elizabeth")</f>
        <v>PORTER Elizabeth</v>
      </c>
      <c r="U498" s="1"/>
      <c r="V498" s="1" t="str">
        <f ca="1">IFERROR(__xludf.DUMMYFUNCTION("""COMPUTED_VALUE"""),"elizabethporter1980@gmail.com")</f>
        <v>elizabethporter1980@gmail.com</v>
      </c>
      <c r="W498" s="1"/>
      <c r="X498" s="1" t="str">
        <f ca="1">IFERROR(__xludf.DUMMYFUNCTION("""COMPUTED_VALUE"""),"+221 77 629 33 83")</f>
        <v>+221 77 629 33 83</v>
      </c>
      <c r="Y498" s="1"/>
      <c r="Z498" s="1" t="str">
        <f ca="1">IFERROR(__xludf.DUMMYFUNCTION("""COMPUTED_VALUE"""),"+221")</f>
        <v>+221</v>
      </c>
      <c r="AA498" s="1"/>
      <c r="AB498" s="2">
        <f ca="1">IFERROR(__xludf.DUMMYFUNCTION("""COMPUTED_VALUE"""),29327)</f>
        <v>29327</v>
      </c>
      <c r="AC498" s="1"/>
      <c r="AD498" s="1" t="str">
        <f ca="1">IFERROR(__xludf.DUMMYFUNCTION("""COMPUTED_VALUE"""),"MERE")</f>
        <v>MERE</v>
      </c>
      <c r="AE498" s="1"/>
      <c r="AF498" s="1" t="str">
        <f ca="1">IFERROR(__xludf.DUMMYFUNCTION("""COMPUTED_VALUE"""),"ETATS-UNIS")</f>
        <v>ETATS-UNIS</v>
      </c>
      <c r="AG498" s="1"/>
      <c r="AH498" s="1"/>
      <c r="AI498" s="1"/>
      <c r="AJ498" s="1" t="str">
        <f ca="1">IFERROR(__xludf.DUMMYFUNCTION("""COMPUTED_VALUE"""),"F1681")</f>
        <v>F1681</v>
      </c>
      <c r="AK498" s="1" t="str">
        <f ca="1">IFERROR(__xludf.DUMMYFUNCTION("""COMPUTED_VALUE"""),"Divorcée")</f>
        <v>Divorcée</v>
      </c>
      <c r="AL498" s="1"/>
      <c r="AM498" s="1" t="str">
        <f ca="1">IFERROR(__xludf.DUMMYFUNCTION("""COMPUTED_VALUE"""),"F1681")</f>
        <v>F1681</v>
      </c>
    </row>
    <row r="499" spans="1:39" ht="13" x14ac:dyDescent="0.15">
      <c r="A499" s="1" t="str">
        <f ca="1">IFERROR(__xludf.DUMMYFUNCTION("""COMPUTED_VALUE"""),"POUILLE Charles")</f>
        <v>POUILLE Charles</v>
      </c>
      <c r="B499" s="1" t="str">
        <f ca="1">IFERROR(__xludf.DUMMYFUNCTION("""COMPUTED_VALUE"""),"POUILLE")</f>
        <v>POUILLE</v>
      </c>
      <c r="C499" s="1" t="str">
        <f ca="1">IFERROR(__xludf.DUMMYFUNCTION("""COMPUTED_VALUE"""),"Charles")</f>
        <v>Charles</v>
      </c>
      <c r="D499" s="1" t="str">
        <f ca="1">IFERROR(__xludf.DUMMYFUNCTION("""COMPUTED_VALUE"""),"1528E1")</f>
        <v>1528E1</v>
      </c>
      <c r="E499" s="2">
        <f ca="1">IFERROR(__xludf.DUMMYFUNCTION("""COMPUTED_VALUE"""),43563)</f>
        <v>43563</v>
      </c>
      <c r="F499" s="1" t="str">
        <f ca="1">IFERROR(__xludf.DUMMYFUNCTION("""COMPUTED_VALUE"""),"CP")</f>
        <v>CP</v>
      </c>
      <c r="G499" s="1" t="str">
        <f ca="1">IFERROR(__xludf.DUMMYFUNCTION("""COMPUTED_VALUE"""),"CP")</f>
        <v>CP</v>
      </c>
      <c r="H499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499" s="1"/>
      <c r="J499" s="1"/>
      <c r="K499" s="1"/>
      <c r="L499" s="1"/>
      <c r="M499" s="1"/>
      <c r="N499" s="1" t="str">
        <f ca="1">IFERROR(__xludf.DUMMYFUNCTION("""COMPUTED_VALUE"""),"Garçon")</f>
        <v>Garçon</v>
      </c>
      <c r="O499" s="1"/>
      <c r="P499" s="1" t="str">
        <f ca="1">IFERROR(__xludf.DUMMYFUNCTION("""COMPUTED_VALUE"""),"FRANCE")</f>
        <v>FRANCE</v>
      </c>
      <c r="Q499" s="1" t="str">
        <f ca="1">IFERROR(__xludf.DUMMYFUNCTION("""COMPUTED_VALUE"""),"SENEGAL")</f>
        <v>SENEGAL</v>
      </c>
      <c r="R499" s="1"/>
      <c r="S499" s="1"/>
      <c r="T499" s="1" t="str">
        <f ca="1">IFERROR(__xludf.DUMMYFUNCTION("""COMPUTED_VALUE"""),"POUILLE Emmanuel")</f>
        <v>POUILLE Emmanuel</v>
      </c>
      <c r="U499" s="1" t="str">
        <f ca="1">IFERROR(__xludf.DUMMYFUNCTION("""COMPUTED_VALUE"""),"WAIGUE Adame")</f>
        <v>WAIGUE Adame</v>
      </c>
      <c r="V499" s="1" t="str">
        <f ca="1">IFERROR(__xludf.DUMMYFUNCTION("""COMPUTED_VALUE"""),"manustras1@gmail.com")</f>
        <v>manustras1@gmail.com</v>
      </c>
      <c r="W499" s="1" t="str">
        <f ca="1">IFERROR(__xludf.DUMMYFUNCTION("""COMPUTED_VALUE"""),"adamewaigue@gmail.com")</f>
        <v>adamewaigue@gmail.com</v>
      </c>
      <c r="X499" s="1" t="str">
        <f ca="1">IFERROR(__xludf.DUMMYFUNCTION("""COMPUTED_VALUE"""),"+221 77 274 07 01")</f>
        <v>+221 77 274 07 01</v>
      </c>
      <c r="Y499" s="1" t="str">
        <f ca="1">IFERROR(__xludf.DUMMYFUNCTION("""COMPUTED_VALUE"""),"773625150")</f>
        <v>773625150</v>
      </c>
      <c r="Z499" s="1" t="str">
        <f ca="1">IFERROR(__xludf.DUMMYFUNCTION("""COMPUTED_VALUE"""),"+221 77 274 07 01")</f>
        <v>+221 77 274 07 01</v>
      </c>
      <c r="AA499" s="1" t="str">
        <f ca="1">IFERROR(__xludf.DUMMYFUNCTION("""COMPUTED_VALUE"""),"+221 78 467 56 12")</f>
        <v>+221 78 467 56 12</v>
      </c>
      <c r="AB499" s="2">
        <f ca="1">IFERROR(__xludf.DUMMYFUNCTION("""COMPUTED_VALUE"""),45830)</f>
        <v>45830</v>
      </c>
      <c r="AC499" s="2">
        <f ca="1">IFERROR(__xludf.DUMMYFUNCTION("""COMPUTED_VALUE"""),45817)</f>
        <v>45817</v>
      </c>
      <c r="AD499" s="1" t="str">
        <f ca="1">IFERROR(__xludf.DUMMYFUNCTION("""COMPUTED_VALUE"""),"PERE")</f>
        <v>PERE</v>
      </c>
      <c r="AE499" s="1" t="str">
        <f ca="1">IFERROR(__xludf.DUMMYFUNCTION("""COMPUTED_VALUE"""),"MERE")</f>
        <v>MERE</v>
      </c>
      <c r="AF499" s="1" t="str">
        <f ca="1">IFERROR(__xludf.DUMMYFUNCTION("""COMPUTED_VALUE"""),"FRANCE")</f>
        <v>FRANCE</v>
      </c>
      <c r="AG499" s="1" t="str">
        <f ca="1">IFERROR(__xludf.DUMMYFUNCTION("""COMPUTED_VALUE"""),"SENEGAL")</f>
        <v>SENEGAL</v>
      </c>
      <c r="AH499" s="1"/>
      <c r="AI499" s="1"/>
      <c r="AJ499" s="1" t="str">
        <f ca="1">IFERROR(__xludf.DUMMYFUNCTION("""COMPUTED_VALUE"""),"F1528")</f>
        <v>F1528</v>
      </c>
      <c r="AK499" s="1" t="str">
        <f ca="1">IFERROR(__xludf.DUMMYFUNCTION("""COMPUTED_VALUE"""),"CONCUBINAGE")</f>
        <v>CONCUBINAGE</v>
      </c>
      <c r="AL499" s="1" t="str">
        <f ca="1">IFERROR(__xludf.DUMMYFUNCTION("""COMPUTED_VALUE"""),"CONCUBINAGE")</f>
        <v>CONCUBINAGE</v>
      </c>
      <c r="AM499" s="1" t="str">
        <f ca="1">IFERROR(__xludf.DUMMYFUNCTION("""COMPUTED_VALUE"""),"F1528")</f>
        <v>F1528</v>
      </c>
    </row>
    <row r="500" spans="1:39" ht="13" x14ac:dyDescent="0.15">
      <c r="A500" s="1" t="str">
        <f ca="1">IFERROR(__xludf.DUMMYFUNCTION("""COMPUTED_VALUE"""),"POUILLE Marie Cécile Thylo")</f>
        <v>POUILLE Marie Cécile Thylo</v>
      </c>
      <c r="B500" s="1" t="str">
        <f ca="1">IFERROR(__xludf.DUMMYFUNCTION("""COMPUTED_VALUE"""),"POUILLE")</f>
        <v>POUILLE</v>
      </c>
      <c r="C500" s="1" t="str">
        <f ca="1">IFERROR(__xludf.DUMMYFUNCTION("""COMPUTED_VALUE"""),"Marie Cécile Thylo")</f>
        <v>Marie Cécile Thylo</v>
      </c>
      <c r="D500" s="1" t="str">
        <f ca="1">IFERROR(__xludf.DUMMYFUNCTION("""COMPUTED_VALUE"""),"1528E2")</f>
        <v>1528E2</v>
      </c>
      <c r="E500" s="2">
        <f ca="1">IFERROR(__xludf.DUMMYFUNCTION("""COMPUTED_VALUE"""),41608)</f>
        <v>41608</v>
      </c>
      <c r="F500" s="1" t="str">
        <f ca="1">IFERROR(__xludf.DUMMYFUNCTION("""COMPUTED_VALUE"""),"6EME1")</f>
        <v>6EME1</v>
      </c>
      <c r="G500" s="1" t="str">
        <f ca="1">IFERROR(__xludf.DUMMYFUNCTION("""COMPUTED_VALUE"""),"6ème")</f>
        <v>6ème</v>
      </c>
      <c r="H500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500" s="1" t="str">
        <f ca="1">IFERROR(__xludf.DUMMYFUNCTION("""COMPUTED_VALUE"""),"LVA Anglais")</f>
        <v>LVA Anglais</v>
      </c>
      <c r="J500" s="1" t="str">
        <f ca="1">IFERROR(__xludf.DUMMYFUNCTION("""COMPUTED_VALUE"""),"LVB Espagnol")</f>
        <v>LVB Espagnol</v>
      </c>
      <c r="K500" s="1"/>
      <c r="L500" s="1"/>
      <c r="M500" s="1"/>
      <c r="N500" s="1" t="str">
        <f ca="1">IFERROR(__xludf.DUMMYFUNCTION("""COMPUTED_VALUE"""),"Fille")</f>
        <v>Fille</v>
      </c>
      <c r="O500" s="1"/>
      <c r="P500" s="1" t="str">
        <f ca="1">IFERROR(__xludf.DUMMYFUNCTION("""COMPUTED_VALUE"""),"FRANCE")</f>
        <v>FRANCE</v>
      </c>
      <c r="Q500" s="1" t="str">
        <f ca="1">IFERROR(__xludf.DUMMYFUNCTION("""COMPUTED_VALUE"""),"SENEGAL")</f>
        <v>SENEGAL</v>
      </c>
      <c r="R500" s="1" t="str">
        <f ca="1">IFERROR(__xludf.DUMMYFUNCTION("""COMPUTED_VALUE"""),"marie.pouille@lfjpsaly.org")</f>
        <v>marie.pouille@lfjpsaly.org</v>
      </c>
      <c r="S500" s="1" t="str">
        <f ca="1">IFERROR(__xludf.DUMMYFUNCTION("""COMPUTED_VALUE"""),"+221 77 606 81 38")</f>
        <v>+221 77 606 81 38</v>
      </c>
      <c r="T500" s="1" t="str">
        <f ca="1">IFERROR(__xludf.DUMMYFUNCTION("""COMPUTED_VALUE"""),"POUILLE Emmanuel")</f>
        <v>POUILLE Emmanuel</v>
      </c>
      <c r="U500" s="1" t="str">
        <f ca="1">IFERROR(__xludf.DUMMYFUNCTION("""COMPUTED_VALUE"""),"WAIGUE Adame")</f>
        <v>WAIGUE Adame</v>
      </c>
      <c r="V500" s="1" t="str">
        <f ca="1">IFERROR(__xludf.DUMMYFUNCTION("""COMPUTED_VALUE"""),"manustras1@gmail.com")</f>
        <v>manustras1@gmail.com</v>
      </c>
      <c r="W500" s="1" t="str">
        <f ca="1">IFERROR(__xludf.DUMMYFUNCTION("""COMPUTED_VALUE"""),"adamewaigue@gmail.com")</f>
        <v>adamewaigue@gmail.com</v>
      </c>
      <c r="X500" s="1" t="str">
        <f ca="1">IFERROR(__xludf.DUMMYFUNCTION("""COMPUTED_VALUE"""),"+221 77 274 07 01")</f>
        <v>+221 77 274 07 01</v>
      </c>
      <c r="Y500" s="1" t="str">
        <f ca="1">IFERROR(__xludf.DUMMYFUNCTION("""COMPUTED_VALUE"""),"773625150")</f>
        <v>773625150</v>
      </c>
      <c r="Z500" s="1" t="str">
        <f ca="1">IFERROR(__xludf.DUMMYFUNCTION("""COMPUTED_VALUE"""),"+221 77 274 07 01")</f>
        <v>+221 77 274 07 01</v>
      </c>
      <c r="AA500" s="1" t="str">
        <f ca="1">IFERROR(__xludf.DUMMYFUNCTION("""COMPUTED_VALUE"""),"+221 78 467 56 12")</f>
        <v>+221 78 467 56 12</v>
      </c>
      <c r="AB500" s="2">
        <f ca="1">IFERROR(__xludf.DUMMYFUNCTION("""COMPUTED_VALUE"""),45830)</f>
        <v>45830</v>
      </c>
      <c r="AC500" s="2">
        <f ca="1">IFERROR(__xludf.DUMMYFUNCTION("""COMPUTED_VALUE"""),45817)</f>
        <v>45817</v>
      </c>
      <c r="AD500" s="1" t="str">
        <f ca="1">IFERROR(__xludf.DUMMYFUNCTION("""COMPUTED_VALUE"""),"PERE")</f>
        <v>PERE</v>
      </c>
      <c r="AE500" s="1" t="str">
        <f ca="1">IFERROR(__xludf.DUMMYFUNCTION("""COMPUTED_VALUE"""),"MERE")</f>
        <v>MERE</v>
      </c>
      <c r="AF500" s="1" t="str">
        <f ca="1">IFERROR(__xludf.DUMMYFUNCTION("""COMPUTED_VALUE"""),"FRANCE")</f>
        <v>FRANCE</v>
      </c>
      <c r="AG500" s="1" t="str">
        <f ca="1">IFERROR(__xludf.DUMMYFUNCTION("""COMPUTED_VALUE"""),"SENEGAL")</f>
        <v>SENEGAL</v>
      </c>
      <c r="AH500" s="1"/>
      <c r="AI500" s="1"/>
      <c r="AJ500" s="1" t="str">
        <f ca="1">IFERROR(__xludf.DUMMYFUNCTION("""COMPUTED_VALUE"""),"F1528")</f>
        <v>F1528</v>
      </c>
      <c r="AK500" s="1" t="str">
        <f ca="1">IFERROR(__xludf.DUMMYFUNCTION("""COMPUTED_VALUE"""),"CONCUBINAGE")</f>
        <v>CONCUBINAGE</v>
      </c>
      <c r="AL500" s="1" t="str">
        <f ca="1">IFERROR(__xludf.DUMMYFUNCTION("""COMPUTED_VALUE"""),"CONCUBINAGE")</f>
        <v>CONCUBINAGE</v>
      </c>
      <c r="AM500" s="1" t="str">
        <f ca="1">IFERROR(__xludf.DUMMYFUNCTION("""COMPUTED_VALUE"""),"F1528")</f>
        <v>F1528</v>
      </c>
    </row>
    <row r="501" spans="1:39" ht="13" x14ac:dyDescent="0.15">
      <c r="A501" s="1" t="str">
        <f ca="1">IFERROR(__xludf.DUMMYFUNCTION("""COMPUTED_VALUE"""),"PRIEUR Alan")</f>
        <v>PRIEUR Alan</v>
      </c>
      <c r="B501" s="1" t="str">
        <f ca="1">IFERROR(__xludf.DUMMYFUNCTION("""COMPUTED_VALUE"""),"PRIEUR")</f>
        <v>PRIEUR</v>
      </c>
      <c r="C501" s="1" t="str">
        <f ca="1">IFERROR(__xludf.DUMMYFUNCTION("""COMPUTED_VALUE"""),"Alan")</f>
        <v>Alan</v>
      </c>
      <c r="D501" s="1" t="str">
        <f ca="1">IFERROR(__xludf.DUMMYFUNCTION("""COMPUTED_VALUE"""),"1530E1")</f>
        <v>1530E1</v>
      </c>
      <c r="E501" s="2">
        <f ca="1">IFERROR(__xludf.DUMMYFUNCTION("""COMPUTED_VALUE"""),43437)</f>
        <v>43437</v>
      </c>
      <c r="F501" s="1" t="str">
        <f ca="1">IFERROR(__xludf.DUMMYFUNCTION("""COMPUTED_VALUE"""),"CE1B")</f>
        <v>CE1B</v>
      </c>
      <c r="G501" s="1" t="str">
        <f ca="1">IFERROR(__xludf.DUMMYFUNCTION("""COMPUTED_VALUE"""),"CE1")</f>
        <v>CE1</v>
      </c>
      <c r="H501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501" s="1"/>
      <c r="J501" s="1"/>
      <c r="K501" s="1"/>
      <c r="L501" s="1"/>
      <c r="M501" s="1"/>
      <c r="N501" s="1" t="str">
        <f ca="1">IFERROR(__xludf.DUMMYFUNCTION("""COMPUTED_VALUE"""),"Garçon")</f>
        <v>Garçon</v>
      </c>
      <c r="O501" s="1"/>
      <c r="P501" s="1" t="str">
        <f ca="1">IFERROR(__xludf.DUMMYFUNCTION("""COMPUTED_VALUE"""),"FRANCE")</f>
        <v>FRANCE</v>
      </c>
      <c r="Q501" s="1"/>
      <c r="R501" s="1"/>
      <c r="S501" s="1"/>
      <c r="T501" s="1" t="str">
        <f ca="1">IFERROR(__xludf.DUMMYFUNCTION("""COMPUTED_VALUE"""),"ONGBABATAK NDEM Sandrine")</f>
        <v>ONGBABATAK NDEM Sandrine</v>
      </c>
      <c r="U501" s="1" t="str">
        <f ca="1">IFERROR(__xludf.DUMMYFUNCTION("""COMPUTED_VALUE"""),"PRIEUR Sylvain René Roger")</f>
        <v>PRIEUR Sylvain René Roger</v>
      </c>
      <c r="V501" s="1" t="str">
        <f ca="1">IFERROR(__xludf.DUMMYFUNCTION("""COMPUTED_VALUE"""),"sandrine.prieur0@gmail.com")</f>
        <v>sandrine.prieur0@gmail.com</v>
      </c>
      <c r="W501" s="1" t="str">
        <f ca="1">IFERROR(__xludf.DUMMYFUNCTION("""COMPUTED_VALUE"""),"sylvain.prieur@gmail.com")</f>
        <v>sylvain.prieur@gmail.com</v>
      </c>
      <c r="X501" s="1" t="str">
        <f ca="1">IFERROR(__xludf.DUMMYFUNCTION("""COMPUTED_VALUE"""),"+221 78 104 93 89")</f>
        <v>+221 78 104 93 89</v>
      </c>
      <c r="Y501" s="1" t="str">
        <f ca="1">IFERROR(__xludf.DUMMYFUNCTION("""COMPUTED_VALUE"""),"+221 78 293 03 78")</f>
        <v>+221 78 293 03 78</v>
      </c>
      <c r="Z501" s="1" t="str">
        <f ca="1">IFERROR(__xludf.DUMMYFUNCTION("""COMPUTED_VALUE"""),"+221")</f>
        <v>+221</v>
      </c>
      <c r="AA501" s="1" t="str">
        <f ca="1">IFERROR(__xludf.DUMMYFUNCTION("""COMPUTED_VALUE"""),"+221")</f>
        <v>+221</v>
      </c>
      <c r="AB501" s="2">
        <f ca="1">IFERROR(__xludf.DUMMYFUNCTION("""COMPUTED_VALUE"""),31740)</f>
        <v>31740</v>
      </c>
      <c r="AC501" s="2">
        <f ca="1">IFERROR(__xludf.DUMMYFUNCTION("""COMPUTED_VALUE"""),31552)</f>
        <v>31552</v>
      </c>
      <c r="AD501" s="1" t="str">
        <f ca="1">IFERROR(__xludf.DUMMYFUNCTION("""COMPUTED_VALUE"""),"MERE")</f>
        <v>MERE</v>
      </c>
      <c r="AE501" s="1" t="str">
        <f ca="1">IFERROR(__xludf.DUMMYFUNCTION("""COMPUTED_VALUE"""),"PERE")</f>
        <v>PERE</v>
      </c>
      <c r="AF501" s="1" t="str">
        <f ca="1">IFERROR(__xludf.DUMMYFUNCTION("""COMPUTED_VALUE"""),"FRANCE")</f>
        <v>FRANCE</v>
      </c>
      <c r="AG501" s="1" t="str">
        <f ca="1">IFERROR(__xludf.DUMMYFUNCTION("""COMPUTED_VALUE"""),"FRANCE")</f>
        <v>FRANCE</v>
      </c>
      <c r="AH501" s="1"/>
      <c r="AI501" s="1"/>
      <c r="AJ501" s="1" t="str">
        <f ca="1">IFERROR(__xludf.DUMMYFUNCTION("""COMPUTED_VALUE"""),"F1530")</f>
        <v>F1530</v>
      </c>
      <c r="AK501" s="1" t="str">
        <f ca="1">IFERROR(__xludf.DUMMYFUNCTION("""COMPUTED_VALUE"""),"Marié(e)")</f>
        <v>Marié(e)</v>
      </c>
      <c r="AL501" s="1" t="str">
        <f ca="1">IFERROR(__xludf.DUMMYFUNCTION("""COMPUTED_VALUE"""),"Marié(e)")</f>
        <v>Marié(e)</v>
      </c>
      <c r="AM501" s="1" t="str">
        <f ca="1">IFERROR(__xludf.DUMMYFUNCTION("""COMPUTED_VALUE"""),"F1530")</f>
        <v>F1530</v>
      </c>
    </row>
    <row r="502" spans="1:39" ht="13" x14ac:dyDescent="0.15">
      <c r="A502" s="1" t="str">
        <f ca="1">IFERROR(__xludf.DUMMYFUNCTION("""COMPUTED_VALUE"""),"PRIEUR Isaac")</f>
        <v>PRIEUR Isaac</v>
      </c>
      <c r="B502" s="1" t="str">
        <f ca="1">IFERROR(__xludf.DUMMYFUNCTION("""COMPUTED_VALUE"""),"PRIEUR")</f>
        <v>PRIEUR</v>
      </c>
      <c r="C502" s="1" t="str">
        <f ca="1">IFERROR(__xludf.DUMMYFUNCTION("""COMPUTED_VALUE"""),"Isaac")</f>
        <v>Isaac</v>
      </c>
      <c r="D502" s="1" t="str">
        <f ca="1">IFERROR(__xludf.DUMMYFUNCTION("""COMPUTED_VALUE"""),"1531E1")</f>
        <v>1531E1</v>
      </c>
      <c r="E502" s="2">
        <f ca="1">IFERROR(__xludf.DUMMYFUNCTION("""COMPUTED_VALUE"""),44533)</f>
        <v>44533</v>
      </c>
      <c r="F502" s="1" t="str">
        <f ca="1">IFERROR(__xludf.DUMMYFUNCTION("""COMPUTED_VALUE"""),"Mat 2")</f>
        <v>Mat 2</v>
      </c>
      <c r="G502" s="1" t="str">
        <f ca="1">IFERROR(__xludf.DUMMYFUNCTION("""COMPUTED_VALUE"""),"MS")</f>
        <v>MS</v>
      </c>
      <c r="H502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502" s="1"/>
      <c r="J502" s="1"/>
      <c r="K502" s="1"/>
      <c r="L502" s="1"/>
      <c r="M502" s="1"/>
      <c r="N502" s="1" t="str">
        <f ca="1">IFERROR(__xludf.DUMMYFUNCTION("""COMPUTED_VALUE"""),"Garçon")</f>
        <v>Garçon</v>
      </c>
      <c r="O502" s="1"/>
      <c r="P502" s="1" t="str">
        <f ca="1">IFERROR(__xludf.DUMMYFUNCTION("""COMPUTED_VALUE"""),"FRANCE")</f>
        <v>FRANCE</v>
      </c>
      <c r="Q502" s="1"/>
      <c r="R502" s="1"/>
      <c r="S502" s="1"/>
      <c r="T502" s="1" t="str">
        <f ca="1">IFERROR(__xludf.DUMMYFUNCTION("""COMPUTED_VALUE"""),"ONGBABATAK NDEM Sandrine")</f>
        <v>ONGBABATAK NDEM Sandrine</v>
      </c>
      <c r="U502" s="1" t="str">
        <f ca="1">IFERROR(__xludf.DUMMYFUNCTION("""COMPUTED_VALUE"""),"PRIEUR Sylvain René Roger")</f>
        <v>PRIEUR Sylvain René Roger</v>
      </c>
      <c r="V502" s="1" t="str">
        <f ca="1">IFERROR(__xludf.DUMMYFUNCTION("""COMPUTED_VALUE"""),"sandrine.prieur0@gmail.com")</f>
        <v>sandrine.prieur0@gmail.com</v>
      </c>
      <c r="W502" s="1" t="str">
        <f ca="1">IFERROR(__xludf.DUMMYFUNCTION("""COMPUTED_VALUE"""),"sylvain.prieur@gmail.com")</f>
        <v>sylvain.prieur@gmail.com</v>
      </c>
      <c r="X502" s="1" t="str">
        <f ca="1">IFERROR(__xludf.DUMMYFUNCTION("""COMPUTED_VALUE"""),"+221 78 104 93 89")</f>
        <v>+221 78 104 93 89</v>
      </c>
      <c r="Y502" s="1" t="str">
        <f ca="1">IFERROR(__xludf.DUMMYFUNCTION("""COMPUTED_VALUE"""),"+221 78 293 03 78")</f>
        <v>+221 78 293 03 78</v>
      </c>
      <c r="Z502" s="1" t="str">
        <f ca="1">IFERROR(__xludf.DUMMYFUNCTION("""COMPUTED_VALUE"""),"+221")</f>
        <v>+221</v>
      </c>
      <c r="AA502" s="1" t="str">
        <f ca="1">IFERROR(__xludf.DUMMYFUNCTION("""COMPUTED_VALUE"""),"+221")</f>
        <v>+221</v>
      </c>
      <c r="AB502" s="2">
        <f ca="1">IFERROR(__xludf.DUMMYFUNCTION("""COMPUTED_VALUE"""),31740)</f>
        <v>31740</v>
      </c>
      <c r="AC502" s="2">
        <f ca="1">IFERROR(__xludf.DUMMYFUNCTION("""COMPUTED_VALUE"""),31552)</f>
        <v>31552</v>
      </c>
      <c r="AD502" s="1" t="str">
        <f ca="1">IFERROR(__xludf.DUMMYFUNCTION("""COMPUTED_VALUE"""),"MERE")</f>
        <v>MERE</v>
      </c>
      <c r="AE502" s="1" t="str">
        <f ca="1">IFERROR(__xludf.DUMMYFUNCTION("""COMPUTED_VALUE"""),"PERE")</f>
        <v>PERE</v>
      </c>
      <c r="AF502" s="1" t="str">
        <f ca="1">IFERROR(__xludf.DUMMYFUNCTION("""COMPUTED_VALUE"""),"FRANCE")</f>
        <v>FRANCE</v>
      </c>
      <c r="AG502" s="1" t="str">
        <f ca="1">IFERROR(__xludf.DUMMYFUNCTION("""COMPUTED_VALUE"""),"FRANCE")</f>
        <v>FRANCE</v>
      </c>
      <c r="AH502" s="1"/>
      <c r="AI502" s="1"/>
      <c r="AJ502" s="1" t="str">
        <f ca="1">IFERROR(__xludf.DUMMYFUNCTION("""COMPUTED_VALUE"""),"F1530")</f>
        <v>F1530</v>
      </c>
      <c r="AK502" s="1" t="str">
        <f ca="1">IFERROR(__xludf.DUMMYFUNCTION("""COMPUTED_VALUE"""),"Marié(e)")</f>
        <v>Marié(e)</v>
      </c>
      <c r="AL502" s="1" t="str">
        <f ca="1">IFERROR(__xludf.DUMMYFUNCTION("""COMPUTED_VALUE"""),"Marié(e)")</f>
        <v>Marié(e)</v>
      </c>
      <c r="AM502" s="1" t="str">
        <f ca="1">IFERROR(__xludf.DUMMYFUNCTION("""COMPUTED_VALUE"""),"F1530")</f>
        <v>F1530</v>
      </c>
    </row>
    <row r="503" spans="1:39" ht="13" x14ac:dyDescent="0.15">
      <c r="A503" s="1" t="str">
        <f ca="1">IFERROR(__xludf.DUMMYFUNCTION("""COMPUTED_VALUE"""),"QUARD Laurélène")</f>
        <v>QUARD Laurélène</v>
      </c>
      <c r="B503" s="1" t="str">
        <f ca="1">IFERROR(__xludf.DUMMYFUNCTION("""COMPUTED_VALUE"""),"QUARD")</f>
        <v>QUARD</v>
      </c>
      <c r="C503" s="1" t="str">
        <f ca="1">IFERROR(__xludf.DUMMYFUNCTION("""COMPUTED_VALUE"""),"Laurélène")</f>
        <v>Laurélène</v>
      </c>
      <c r="D503" s="1" t="str">
        <f ca="1">IFERROR(__xludf.DUMMYFUNCTION("""COMPUTED_VALUE"""),"1533E1")</f>
        <v>1533E1</v>
      </c>
      <c r="E503" s="2">
        <f ca="1">IFERROR(__xludf.DUMMYFUNCTION("""COMPUTED_VALUE"""),41490)</f>
        <v>41490</v>
      </c>
      <c r="F503" s="1" t="str">
        <f ca="1">IFERROR(__xludf.DUMMYFUNCTION("""COMPUTED_VALUE"""),"5EME2")</f>
        <v>5EME2</v>
      </c>
      <c r="G503" s="1" t="str">
        <f ca="1">IFERROR(__xludf.DUMMYFUNCTION("""COMPUTED_VALUE"""),"5ème")</f>
        <v>5ème</v>
      </c>
      <c r="H503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503" s="1" t="str">
        <f ca="1">IFERROR(__xludf.DUMMYFUNCTION("""COMPUTED_VALUE"""),"LVA Anglais")</f>
        <v>LVA Anglais</v>
      </c>
      <c r="J503" s="1" t="str">
        <f ca="1">IFERROR(__xludf.DUMMYFUNCTION("""COMPUTED_VALUE"""),"LVB Espagnol")</f>
        <v>LVB Espagnol</v>
      </c>
      <c r="K503" s="1"/>
      <c r="L503" s="1"/>
      <c r="M503" s="1"/>
      <c r="N503" s="1" t="str">
        <f ca="1">IFERROR(__xludf.DUMMYFUNCTION("""COMPUTED_VALUE"""),"Fille")</f>
        <v>Fille</v>
      </c>
      <c r="O503" s="1"/>
      <c r="P503" s="1" t="str">
        <f ca="1">IFERROR(__xludf.DUMMYFUNCTION("""COMPUTED_VALUE"""),"FRANCE")</f>
        <v>FRANCE</v>
      </c>
      <c r="Q503" s="1" t="str">
        <f ca="1">IFERROR(__xludf.DUMMYFUNCTION("""COMPUTED_VALUE"""),"SENEGAL")</f>
        <v>SENEGAL</v>
      </c>
      <c r="R503" s="1" t="str">
        <f ca="1">IFERROR(__xludf.DUMMYFUNCTION("""COMPUTED_VALUE"""),"laurelene.quard@lfjpsaly.org")</f>
        <v>laurelene.quard@lfjpsaly.org</v>
      </c>
      <c r="S503" s="1" t="str">
        <f ca="1">IFERROR(__xludf.DUMMYFUNCTION("""COMPUTED_VALUE"""),"+221 77 808 50 75")</f>
        <v>+221 77 808 50 75</v>
      </c>
      <c r="T503" s="1" t="str">
        <f ca="1">IFERROR(__xludf.DUMMYFUNCTION("""COMPUTED_VALUE"""),"QUARD Patrick")</f>
        <v>QUARD Patrick</v>
      </c>
      <c r="U503" s="1" t="str">
        <f ca="1">IFERROR(__xludf.DUMMYFUNCTION("""COMPUTED_VALUE"""),"QUARD Anna")</f>
        <v>QUARD Anna</v>
      </c>
      <c r="V503" s="1" t="str">
        <f ca="1">IFERROR(__xludf.DUMMYFUNCTION("""COMPUTED_VALUE"""),"patrick.quard57@gmail.com")</f>
        <v>patrick.quard57@gmail.com</v>
      </c>
      <c r="W503" s="1" t="str">
        <f ca="1">IFERROR(__xludf.DUMMYFUNCTION("""COMPUTED_VALUE"""),"patrick.quard57@gmail.com")</f>
        <v>patrick.quard57@gmail.com</v>
      </c>
      <c r="X503" s="1" t="str">
        <f ca="1">IFERROR(__xludf.DUMMYFUNCTION("""COMPUTED_VALUE"""),"+221 77 808 50 75")</f>
        <v>+221 77 808 50 75</v>
      </c>
      <c r="Y503" s="1" t="str">
        <f ca="1">IFERROR(__xludf.DUMMYFUNCTION("""COMPUTED_VALUE"""),"+221 77 158 12 25")</f>
        <v>+221 77 158 12 25</v>
      </c>
      <c r="Z503" s="1" t="str">
        <f ca="1">IFERROR(__xludf.DUMMYFUNCTION("""COMPUTED_VALUE"""),"+221 77 808 50 75")</f>
        <v>+221 77 808 50 75</v>
      </c>
      <c r="AA503" s="1" t="str">
        <f ca="1">IFERROR(__xludf.DUMMYFUNCTION("""COMPUTED_VALUE"""),"+221 77 158 12 25")</f>
        <v>+221 77 158 12 25</v>
      </c>
      <c r="AB503" s="2">
        <f ca="1">IFERROR(__xludf.DUMMYFUNCTION("""COMPUTED_VALUE"""),20932)</f>
        <v>20932</v>
      </c>
      <c r="AC503" s="2">
        <f ca="1">IFERROR(__xludf.DUMMYFUNCTION("""COMPUTED_VALUE"""),30051)</f>
        <v>30051</v>
      </c>
      <c r="AD503" s="1" t="str">
        <f ca="1">IFERROR(__xludf.DUMMYFUNCTION("""COMPUTED_VALUE"""),"PERE")</f>
        <v>PERE</v>
      </c>
      <c r="AE503" s="1" t="str">
        <f ca="1">IFERROR(__xludf.DUMMYFUNCTION("""COMPUTED_VALUE"""),"MERE")</f>
        <v>MERE</v>
      </c>
      <c r="AF503" s="1" t="str">
        <f ca="1">IFERROR(__xludf.DUMMYFUNCTION("""COMPUTED_VALUE"""),"FRANCE")</f>
        <v>FRANCE</v>
      </c>
      <c r="AG503" s="1" t="str">
        <f ca="1">IFERROR(__xludf.DUMMYFUNCTION("""COMPUTED_VALUE"""),"SENEGAL")</f>
        <v>SENEGAL</v>
      </c>
      <c r="AH503" s="1"/>
      <c r="AI503" s="1"/>
      <c r="AJ503" s="1" t="str">
        <f ca="1">IFERROR(__xludf.DUMMYFUNCTION("""COMPUTED_VALUE"""),"F1533")</f>
        <v>F1533</v>
      </c>
      <c r="AK503" s="1" t="str">
        <f ca="1">IFERROR(__xludf.DUMMYFUNCTION("""COMPUTED_VALUE"""),"Marié(e)")</f>
        <v>Marié(e)</v>
      </c>
      <c r="AL503" s="1" t="str">
        <f ca="1">IFERROR(__xludf.DUMMYFUNCTION("""COMPUTED_VALUE"""),"Marié(e)")</f>
        <v>Marié(e)</v>
      </c>
      <c r="AM503" s="1" t="str">
        <f ca="1">IFERROR(__xludf.DUMMYFUNCTION("""COMPUTED_VALUE"""),"F1533")</f>
        <v>F1533</v>
      </c>
    </row>
    <row r="504" spans="1:39" ht="13" x14ac:dyDescent="0.15">
      <c r="A504" s="1" t="str">
        <f ca="1">IFERROR(__xludf.DUMMYFUNCTION("""COMPUTED_VALUE"""),"RAGUIN Kesya")</f>
        <v>RAGUIN Kesya</v>
      </c>
      <c r="B504" s="1" t="str">
        <f ca="1">IFERROR(__xludf.DUMMYFUNCTION("""COMPUTED_VALUE"""),"RAGUIN")</f>
        <v>RAGUIN</v>
      </c>
      <c r="C504" s="1" t="str">
        <f ca="1">IFERROR(__xludf.DUMMYFUNCTION("""COMPUTED_VALUE"""),"Kesya")</f>
        <v>Kesya</v>
      </c>
      <c r="D504" s="1" t="str">
        <f ca="1">IFERROR(__xludf.DUMMYFUNCTION("""COMPUTED_VALUE"""),"1535E2")</f>
        <v>1535E2</v>
      </c>
      <c r="E504" s="2">
        <f ca="1">IFERROR(__xludf.DUMMYFUNCTION("""COMPUTED_VALUE"""),40036)</f>
        <v>40036</v>
      </c>
      <c r="F504" s="1" t="str">
        <f ca="1">IFERROR(__xludf.DUMMYFUNCTION("""COMPUTED_VALUE"""),"TERMINALE1")</f>
        <v>TERMINALE1</v>
      </c>
      <c r="G504" s="1" t="str">
        <f ca="1">IFERROR(__xludf.DUMMYFUNCTION("""COMPUTED_VALUE"""),"Terminale")</f>
        <v>Terminale</v>
      </c>
      <c r="H504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504" s="1" t="str">
        <f ca="1">IFERROR(__xludf.DUMMYFUNCTION("""COMPUTED_VALUE"""),"LVA Anglais")</f>
        <v>LVA Anglais</v>
      </c>
      <c r="J504" s="1" t="str">
        <f ca="1">IFERROR(__xludf.DUMMYFUNCTION("""COMPUTED_VALUE"""),"LVB Espagnol")</f>
        <v>LVB Espagnol</v>
      </c>
      <c r="K504" s="1" t="str">
        <f ca="1">IFERROR(__xludf.DUMMYFUNCTION("""COMPUTED_VALUE"""),"MATHS COMPLEMENTAIRE")</f>
        <v>MATHS COMPLEMENTAIRE</v>
      </c>
      <c r="L504" s="1"/>
      <c r="M504" s="1" t="str">
        <f ca="1">IFERROR(__xludf.DUMMYFUNCTION("""COMPUTED_VALUE"""),"SPE SPC, SPE SVT")</f>
        <v>SPE SPC, SPE SVT</v>
      </c>
      <c r="N504" s="1" t="str">
        <f ca="1">IFERROR(__xludf.DUMMYFUNCTION("""COMPUTED_VALUE"""),"Fille")</f>
        <v>Fille</v>
      </c>
      <c r="O504" s="1"/>
      <c r="P504" s="1" t="str">
        <f ca="1">IFERROR(__xludf.DUMMYFUNCTION("""COMPUTED_VALUE"""),"SENEGAL")</f>
        <v>SENEGAL</v>
      </c>
      <c r="Q504" s="1" t="str">
        <f ca="1">IFERROR(__xludf.DUMMYFUNCTION("""COMPUTED_VALUE"""),"FRANCE")</f>
        <v>FRANCE</v>
      </c>
      <c r="R504" s="1" t="str">
        <f ca="1">IFERROR(__xludf.DUMMYFUNCTION("""COMPUTED_VALUE"""),"kesya.raguin@lfjpsaly.org")</f>
        <v>kesya.raguin@lfjpsaly.org</v>
      </c>
      <c r="S504" s="1"/>
      <c r="T504" s="1" t="str">
        <f ca="1">IFERROR(__xludf.DUMMYFUNCTION("""COMPUTED_VALUE"""),"RAGUIN Volimata")</f>
        <v>RAGUIN Volimata</v>
      </c>
      <c r="U504" s="1" t="str">
        <f ca="1">IFERROR(__xludf.DUMMYFUNCTION("""COMPUTED_VALUE"""),"RAGUIN Philippe")</f>
        <v>RAGUIN Philippe</v>
      </c>
      <c r="V504" s="1" t="str">
        <f ca="1">IFERROR(__xludf.DUMMYFUNCTION("""COMPUTED_VALUE"""),"volycreation@hotmail.com")</f>
        <v>volycreation@hotmail.com</v>
      </c>
      <c r="W504" s="1" t="str">
        <f ca="1">IFERROR(__xludf.DUMMYFUNCTION("""COMPUTED_VALUE"""),"afrobonsai29@hotmail.com")</f>
        <v>afrobonsai29@hotmail.com</v>
      </c>
      <c r="X504" s="1" t="str">
        <f ca="1">IFERROR(__xludf.DUMMYFUNCTION("""COMPUTED_VALUE"""),"+221 77 540 97 73")</f>
        <v>+221 77 540 97 73</v>
      </c>
      <c r="Y504" s="1" t="str">
        <f ca="1">IFERROR(__xludf.DUMMYFUNCTION("""COMPUTED_VALUE"""),"+221 77 512 85 45")</f>
        <v>+221 77 512 85 45</v>
      </c>
      <c r="Z504" s="1"/>
      <c r="AA504" s="1"/>
      <c r="AB504" s="2">
        <f ca="1">IFERROR(__xludf.DUMMYFUNCTION("""COMPUTED_VALUE"""),28057)</f>
        <v>28057</v>
      </c>
      <c r="AC504" s="2">
        <f ca="1">IFERROR(__xludf.DUMMYFUNCTION("""COMPUTED_VALUE"""),22087)</f>
        <v>22087</v>
      </c>
      <c r="AD504" s="1" t="str">
        <f ca="1">IFERROR(__xludf.DUMMYFUNCTION("""COMPUTED_VALUE"""),"MERE")</f>
        <v>MERE</v>
      </c>
      <c r="AE504" s="1" t="str">
        <f ca="1">IFERROR(__xludf.DUMMYFUNCTION("""COMPUTED_VALUE"""),"PERE")</f>
        <v>PERE</v>
      </c>
      <c r="AF504" s="1" t="str">
        <f ca="1">IFERROR(__xludf.DUMMYFUNCTION("""COMPUTED_VALUE"""),"SENEGAL")</f>
        <v>SENEGAL</v>
      </c>
      <c r="AG504" s="1" t="str">
        <f ca="1">IFERROR(__xludf.DUMMYFUNCTION("""COMPUTED_VALUE"""),"FRANCE")</f>
        <v>FRANCE</v>
      </c>
      <c r="AH504" s="1" t="str">
        <f ca="1">IFERROR(__xludf.DUMMYFUNCTION("""COMPUTED_VALUE"""),"FRANCE")</f>
        <v>FRANCE</v>
      </c>
      <c r="AI504" s="1" t="str">
        <f ca="1">IFERROR(__xludf.DUMMYFUNCTION("""COMPUTED_VALUE"""),"SENEGAL")</f>
        <v>SENEGAL</v>
      </c>
      <c r="AJ504" s="1" t="str">
        <f ca="1">IFERROR(__xludf.DUMMYFUNCTION("""COMPUTED_VALUE"""),"F1535")</f>
        <v>F1535</v>
      </c>
      <c r="AK504" s="1" t="str">
        <f ca="1">IFERROR(__xludf.DUMMYFUNCTION("""COMPUTED_VALUE"""),"Marié(e)")</f>
        <v>Marié(e)</v>
      </c>
      <c r="AL504" s="1" t="str">
        <f ca="1">IFERROR(__xludf.DUMMYFUNCTION("""COMPUTED_VALUE"""),"Marié(e)")</f>
        <v>Marié(e)</v>
      </c>
      <c r="AM504" s="1" t="str">
        <f ca="1">IFERROR(__xludf.DUMMYFUNCTION("""COMPUTED_VALUE"""),"F1535")</f>
        <v>F1535</v>
      </c>
    </row>
    <row r="505" spans="1:39" ht="13" x14ac:dyDescent="0.15">
      <c r="A505" s="1" t="str">
        <f ca="1">IFERROR(__xludf.DUMMYFUNCTION("""COMPUTED_VALUE"""),"RAHARIMAMONJY Fanahisoa")</f>
        <v>RAHARIMAMONJY Fanahisoa</v>
      </c>
      <c r="B505" s="1" t="str">
        <f ca="1">IFERROR(__xludf.DUMMYFUNCTION("""COMPUTED_VALUE"""),"RAHARIMAMONJY")</f>
        <v>RAHARIMAMONJY</v>
      </c>
      <c r="C505" s="1" t="str">
        <f ca="1">IFERROR(__xludf.DUMMYFUNCTION("""COMPUTED_VALUE"""),"Fanahisoa")</f>
        <v>Fanahisoa</v>
      </c>
      <c r="D505" s="1" t="str">
        <f ca="1">IFERROR(__xludf.DUMMYFUNCTION("""COMPUTED_VALUE"""),"1682E1")</f>
        <v>1682E1</v>
      </c>
      <c r="E505" s="2">
        <f ca="1">IFERROR(__xludf.DUMMYFUNCTION("""COMPUTED_VALUE"""),42989)</f>
        <v>42989</v>
      </c>
      <c r="F505" s="1" t="str">
        <f ca="1">IFERROR(__xludf.DUMMYFUNCTION("""COMPUTED_VALUE"""),"CP-CE2")</f>
        <v>CP-CE2</v>
      </c>
      <c r="G505" s="1" t="str">
        <f ca="1">IFERROR(__xludf.DUMMYFUNCTION("""COMPUTED_VALUE"""),"CE2")</f>
        <v>CE2</v>
      </c>
      <c r="H505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505" s="1"/>
      <c r="J505" s="1"/>
      <c r="K505" s="1"/>
      <c r="L505" s="1"/>
      <c r="M505" s="1"/>
      <c r="N505" s="1" t="str">
        <f ca="1">IFERROR(__xludf.DUMMYFUNCTION("""COMPUTED_VALUE"""),"Fille")</f>
        <v>Fille</v>
      </c>
      <c r="O505" s="1"/>
      <c r="P505" s="1" t="str">
        <f ca="1">IFERROR(__xludf.DUMMYFUNCTION("""COMPUTED_VALUE"""),"MADAGASCAR")</f>
        <v>MADAGASCAR</v>
      </c>
      <c r="Q505" s="1"/>
      <c r="R505" s="1"/>
      <c r="S505" s="1"/>
      <c r="T505" s="1" t="str">
        <f ca="1">IFERROR(__xludf.DUMMYFUNCTION("""COMPUTED_VALUE"""),"RAKOTOMAMONJY Diamondra")</f>
        <v>RAKOTOMAMONJY Diamondra</v>
      </c>
      <c r="U505" s="1" t="str">
        <f ca="1">IFERROR(__xludf.DUMMYFUNCTION("""COMPUTED_VALUE"""),"BEHARISON Sarra")</f>
        <v>BEHARISON Sarra</v>
      </c>
      <c r="V505" s="1" t="str">
        <f ca="1">IFERROR(__xludf.DUMMYFUNCTION("""COMPUTED_VALUE"""),"diamondra@gmail.com")</f>
        <v>diamondra@gmail.com</v>
      </c>
      <c r="W505" s="1" t="str">
        <f ca="1">IFERROR(__xludf.DUMMYFUNCTION("""COMPUTED_VALUE"""),"sbeharison@gmail.com")</f>
        <v>sbeharison@gmail.com</v>
      </c>
      <c r="X505" s="1" t="str">
        <f ca="1">IFERROR(__xludf.DUMMYFUNCTION("""COMPUTED_VALUE"""),"+221 78 430 32 55")</f>
        <v>+221 78 430 32 55</v>
      </c>
      <c r="Y505" s="1" t="str">
        <f ca="1">IFERROR(__xludf.DUMMYFUNCTION("""COMPUTED_VALUE"""),"+221 78 293 30 66")</f>
        <v>+221 78 293 30 66</v>
      </c>
      <c r="Z505" s="1" t="str">
        <f ca="1">IFERROR(__xludf.DUMMYFUNCTION("""COMPUTED_VALUE"""),"+221 78 293 30 66")</f>
        <v>+221 78 293 30 66</v>
      </c>
      <c r="AA505" s="1" t="str">
        <f ca="1">IFERROR(__xludf.DUMMYFUNCTION("""COMPUTED_VALUE"""),"+221 78 430 32 55")</f>
        <v>+221 78 430 32 55</v>
      </c>
      <c r="AB505" s="2">
        <f ca="1">IFERROR(__xludf.DUMMYFUNCTION("""COMPUTED_VALUE"""),30001)</f>
        <v>30001</v>
      </c>
      <c r="AC505" s="2">
        <f ca="1">IFERROR(__xludf.DUMMYFUNCTION("""COMPUTED_VALUE"""),32637)</f>
        <v>32637</v>
      </c>
      <c r="AD505" s="1" t="str">
        <f ca="1">IFERROR(__xludf.DUMMYFUNCTION("""COMPUTED_VALUE"""),"PERE")</f>
        <v>PERE</v>
      </c>
      <c r="AE505" s="1" t="str">
        <f ca="1">IFERROR(__xludf.DUMMYFUNCTION("""COMPUTED_VALUE"""),"MERE")</f>
        <v>MERE</v>
      </c>
      <c r="AF505" s="1" t="str">
        <f ca="1">IFERROR(__xludf.DUMMYFUNCTION("""COMPUTED_VALUE"""),"MADAGASCAR")</f>
        <v>MADAGASCAR</v>
      </c>
      <c r="AG505" s="1" t="str">
        <f ca="1">IFERROR(__xludf.DUMMYFUNCTION("""COMPUTED_VALUE"""),"MADAGASCAR")</f>
        <v>MADAGASCAR</v>
      </c>
      <c r="AH505" s="1"/>
      <c r="AI505" s="1"/>
      <c r="AJ505" s="1" t="str">
        <f ca="1">IFERROR(__xludf.DUMMYFUNCTION("""COMPUTED_VALUE"""),"F1682")</f>
        <v>F1682</v>
      </c>
      <c r="AK505" s="1" t="str">
        <f ca="1">IFERROR(__xludf.DUMMYFUNCTION("""COMPUTED_VALUE"""),"Marié(e)")</f>
        <v>Marié(e)</v>
      </c>
      <c r="AL505" s="1" t="str">
        <f ca="1">IFERROR(__xludf.DUMMYFUNCTION("""COMPUTED_VALUE"""),"Marié(e)")</f>
        <v>Marié(e)</v>
      </c>
      <c r="AM505" s="1" t="str">
        <f ca="1">IFERROR(__xludf.DUMMYFUNCTION("""COMPUTED_VALUE"""),"F1682")</f>
        <v>F1682</v>
      </c>
    </row>
    <row r="506" spans="1:39" ht="13" x14ac:dyDescent="0.15">
      <c r="A506" s="1" t="str">
        <f ca="1">IFERROR(__xludf.DUMMYFUNCTION("""COMPUTED_VALUE"""),"RAKOTOMAMONJY Tiavina")</f>
        <v>RAKOTOMAMONJY Tiavina</v>
      </c>
      <c r="B506" s="1" t="str">
        <f ca="1">IFERROR(__xludf.DUMMYFUNCTION("""COMPUTED_VALUE"""),"RAKOTOMAMONJY")</f>
        <v>RAKOTOMAMONJY</v>
      </c>
      <c r="C506" s="1" t="str">
        <f ca="1">IFERROR(__xludf.DUMMYFUNCTION("""COMPUTED_VALUE"""),"Tiavina")</f>
        <v>Tiavina</v>
      </c>
      <c r="D506" s="1" t="str">
        <f ca="1">IFERROR(__xludf.DUMMYFUNCTION("""COMPUTED_VALUE"""),"1682E2")</f>
        <v>1682E2</v>
      </c>
      <c r="E506" s="2">
        <f ca="1">IFERROR(__xludf.DUMMYFUNCTION("""COMPUTED_VALUE"""),41066)</f>
        <v>41066</v>
      </c>
      <c r="F506" s="1" t="str">
        <f ca="1">IFERROR(__xludf.DUMMYFUNCTION("""COMPUTED_VALUE"""),"4EME2")</f>
        <v>4EME2</v>
      </c>
      <c r="G506" s="1" t="str">
        <f ca="1">IFERROR(__xludf.DUMMYFUNCTION("""COMPUTED_VALUE"""),"4ème")</f>
        <v>4ème</v>
      </c>
      <c r="H506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506" s="1" t="str">
        <f ca="1">IFERROR(__xludf.DUMMYFUNCTION("""COMPUTED_VALUE"""),"LVA Anglais")</f>
        <v>LVA Anglais</v>
      </c>
      <c r="J506" s="1" t="str">
        <f ca="1">IFERROR(__xludf.DUMMYFUNCTION("""COMPUTED_VALUE"""),"LVB Espagnol")</f>
        <v>LVB Espagnol</v>
      </c>
      <c r="K506" s="1"/>
      <c r="L506" s="1"/>
      <c r="M506" s="1"/>
      <c r="N506" s="1" t="str">
        <f ca="1">IFERROR(__xludf.DUMMYFUNCTION("""COMPUTED_VALUE"""),"Garçon")</f>
        <v>Garçon</v>
      </c>
      <c r="O506" s="1"/>
      <c r="P506" s="1" t="str">
        <f ca="1">IFERROR(__xludf.DUMMYFUNCTION("""COMPUTED_VALUE"""),"MADAGASCAR")</f>
        <v>MADAGASCAR</v>
      </c>
      <c r="Q506" s="1"/>
      <c r="R506" s="1" t="str">
        <f ca="1">IFERROR(__xludf.DUMMYFUNCTION("""COMPUTED_VALUE"""),"rakotomamonjy.tiavina@lfjpsaly.org")</f>
        <v>rakotomamonjy.tiavina@lfjpsaly.org</v>
      </c>
      <c r="S506" s="1"/>
      <c r="T506" s="1" t="str">
        <f ca="1">IFERROR(__xludf.DUMMYFUNCTION("""COMPUTED_VALUE"""),"RAKOTOMAMONJY Diamondra")</f>
        <v>RAKOTOMAMONJY Diamondra</v>
      </c>
      <c r="U506" s="1" t="str">
        <f ca="1">IFERROR(__xludf.DUMMYFUNCTION("""COMPUTED_VALUE"""),"BEHARISON Sarra")</f>
        <v>BEHARISON Sarra</v>
      </c>
      <c r="V506" s="1" t="str">
        <f ca="1">IFERROR(__xludf.DUMMYFUNCTION("""COMPUTED_VALUE"""),"diamondra@gmail.com")</f>
        <v>diamondra@gmail.com</v>
      </c>
      <c r="W506" s="1" t="str">
        <f ca="1">IFERROR(__xludf.DUMMYFUNCTION("""COMPUTED_VALUE"""),"sbeharison@gmail.com")</f>
        <v>sbeharison@gmail.com</v>
      </c>
      <c r="X506" s="1" t="str">
        <f ca="1">IFERROR(__xludf.DUMMYFUNCTION("""COMPUTED_VALUE"""),"+221 78 430 32 55")</f>
        <v>+221 78 430 32 55</v>
      </c>
      <c r="Y506" s="1" t="str">
        <f ca="1">IFERROR(__xludf.DUMMYFUNCTION("""COMPUTED_VALUE"""),"+221 78 293 30 66")</f>
        <v>+221 78 293 30 66</v>
      </c>
      <c r="Z506" s="1" t="str">
        <f ca="1">IFERROR(__xludf.DUMMYFUNCTION("""COMPUTED_VALUE"""),"+221 78 293 30 66")</f>
        <v>+221 78 293 30 66</v>
      </c>
      <c r="AA506" s="1" t="str">
        <f ca="1">IFERROR(__xludf.DUMMYFUNCTION("""COMPUTED_VALUE"""),"+221 78 430 32 55")</f>
        <v>+221 78 430 32 55</v>
      </c>
      <c r="AB506" s="2">
        <f ca="1">IFERROR(__xludf.DUMMYFUNCTION("""COMPUTED_VALUE"""),30001)</f>
        <v>30001</v>
      </c>
      <c r="AC506" s="2">
        <f ca="1">IFERROR(__xludf.DUMMYFUNCTION("""COMPUTED_VALUE"""),32637)</f>
        <v>32637</v>
      </c>
      <c r="AD506" s="1" t="str">
        <f ca="1">IFERROR(__xludf.DUMMYFUNCTION("""COMPUTED_VALUE"""),"PERE")</f>
        <v>PERE</v>
      </c>
      <c r="AE506" s="1" t="str">
        <f ca="1">IFERROR(__xludf.DUMMYFUNCTION("""COMPUTED_VALUE"""),"MERE")</f>
        <v>MERE</v>
      </c>
      <c r="AF506" s="1" t="str">
        <f ca="1">IFERROR(__xludf.DUMMYFUNCTION("""COMPUTED_VALUE"""),"MADAGASCAR")</f>
        <v>MADAGASCAR</v>
      </c>
      <c r="AG506" s="1" t="str">
        <f ca="1">IFERROR(__xludf.DUMMYFUNCTION("""COMPUTED_VALUE"""),"MADAGASCAR")</f>
        <v>MADAGASCAR</v>
      </c>
      <c r="AH506" s="1"/>
      <c r="AI506" s="1"/>
      <c r="AJ506" s="1" t="str">
        <f ca="1">IFERROR(__xludf.DUMMYFUNCTION("""COMPUTED_VALUE"""),"F1682")</f>
        <v>F1682</v>
      </c>
      <c r="AK506" s="1" t="str">
        <f ca="1">IFERROR(__xludf.DUMMYFUNCTION("""COMPUTED_VALUE"""),"Marié(e)")</f>
        <v>Marié(e)</v>
      </c>
      <c r="AL506" s="1" t="str">
        <f ca="1">IFERROR(__xludf.DUMMYFUNCTION("""COMPUTED_VALUE"""),"Marié(e)")</f>
        <v>Marié(e)</v>
      </c>
      <c r="AM506" s="1" t="str">
        <f ca="1">IFERROR(__xludf.DUMMYFUNCTION("""COMPUTED_VALUE"""),"F1682")</f>
        <v>F1682</v>
      </c>
    </row>
    <row r="507" spans="1:39" ht="13" x14ac:dyDescent="0.15">
      <c r="A507" s="1" t="str">
        <f ca="1">IFERROR(__xludf.DUMMYFUNCTION("""COMPUTED_VALUE"""),"REBOUD Chloé")</f>
        <v>REBOUD Chloé</v>
      </c>
      <c r="B507" s="1" t="str">
        <f ca="1">IFERROR(__xludf.DUMMYFUNCTION("""COMPUTED_VALUE"""),"REBOUD")</f>
        <v>REBOUD</v>
      </c>
      <c r="C507" s="1" t="str">
        <f ca="1">IFERROR(__xludf.DUMMYFUNCTION("""COMPUTED_VALUE"""),"Chloé")</f>
        <v>Chloé</v>
      </c>
      <c r="D507" s="1" t="str">
        <f ca="1">IFERROR(__xludf.DUMMYFUNCTION("""COMPUTED_VALUE"""),"1537E1")</f>
        <v>1537E1</v>
      </c>
      <c r="E507" s="2">
        <f ca="1">IFERROR(__xludf.DUMMYFUNCTION("""COMPUTED_VALUE"""),43020)</f>
        <v>43020</v>
      </c>
      <c r="F507" s="1" t="str">
        <f ca="1">IFERROR(__xludf.DUMMYFUNCTION("""COMPUTED_VALUE"""),"CE2")</f>
        <v>CE2</v>
      </c>
      <c r="G507" s="1" t="str">
        <f ca="1">IFERROR(__xludf.DUMMYFUNCTION("""COMPUTED_VALUE"""),"CE2")</f>
        <v>CE2</v>
      </c>
      <c r="H507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507" s="1"/>
      <c r="J507" s="1"/>
      <c r="K507" s="1"/>
      <c r="L507" s="1"/>
      <c r="M507" s="1"/>
      <c r="N507" s="1" t="str">
        <f ca="1">IFERROR(__xludf.DUMMYFUNCTION("""COMPUTED_VALUE"""),"Fille")</f>
        <v>Fille</v>
      </c>
      <c r="O507" s="1"/>
      <c r="P507" s="1" t="str">
        <f ca="1">IFERROR(__xludf.DUMMYFUNCTION("""COMPUTED_VALUE"""),"FRANCE")</f>
        <v>FRANCE</v>
      </c>
      <c r="Q507" s="1" t="str">
        <f ca="1">IFERROR(__xludf.DUMMYFUNCTION("""COMPUTED_VALUE"""),"SENEGAL")</f>
        <v>SENEGAL</v>
      </c>
      <c r="R507" s="1"/>
      <c r="S507" s="1"/>
      <c r="T507" s="1" t="str">
        <f ca="1">IFERROR(__xludf.DUMMYFUNCTION("""COMPUTED_VALUE"""),"REBOUD Patrick Pierre Albert")</f>
        <v>REBOUD Patrick Pierre Albert</v>
      </c>
      <c r="U507" s="1" t="str">
        <f ca="1">IFERROR(__xludf.DUMMYFUNCTION("""COMPUTED_VALUE"""),"DIOUF Coumba Ndapa")</f>
        <v>DIOUF Coumba Ndapa</v>
      </c>
      <c r="V507" s="1" t="str">
        <f ca="1">IFERROR(__xludf.DUMMYFUNCTION("""COMPUTED_VALUE"""),"patrick.reboud@gmail.com")</f>
        <v>patrick.reboud@gmail.com</v>
      </c>
      <c r="W507" s="1" t="str">
        <f ca="1">IFERROR(__xludf.DUMMYFUNCTION("""COMPUTED_VALUE"""),"coumba444@yahoo.fr")</f>
        <v>coumba444@yahoo.fr</v>
      </c>
      <c r="X507" s="1" t="str">
        <f ca="1">IFERROR(__xludf.DUMMYFUNCTION("""COMPUTED_VALUE"""),"781033463")</f>
        <v>781033463</v>
      </c>
      <c r="Y507" s="1" t="str">
        <f ca="1">IFERROR(__xludf.DUMMYFUNCTION("""COMPUTED_VALUE"""),"+221 77 401 18 39")</f>
        <v>+221 77 401 18 39</v>
      </c>
      <c r="Z507" s="1" t="str">
        <f ca="1">IFERROR(__xludf.DUMMYFUNCTION("""COMPUTED_VALUE"""),"+221 78 103 34 63")</f>
        <v>+221 78 103 34 63</v>
      </c>
      <c r="AA507" s="1" t="str">
        <f ca="1">IFERROR(__xludf.DUMMYFUNCTION("""COMPUTED_VALUE"""),"+221 77 401 18 39")</f>
        <v>+221 77 401 18 39</v>
      </c>
      <c r="AB507" s="2">
        <f ca="1">IFERROR(__xludf.DUMMYFUNCTION("""COMPUTED_VALUE"""),19739)</f>
        <v>19739</v>
      </c>
      <c r="AC507" s="2">
        <f ca="1">IFERROR(__xludf.DUMMYFUNCTION("""COMPUTED_VALUE"""),32406)</f>
        <v>32406</v>
      </c>
      <c r="AD507" s="1" t="str">
        <f ca="1">IFERROR(__xludf.DUMMYFUNCTION("""COMPUTED_VALUE"""),"PERE")</f>
        <v>PERE</v>
      </c>
      <c r="AE507" s="1" t="str">
        <f ca="1">IFERROR(__xludf.DUMMYFUNCTION("""COMPUTED_VALUE"""),"MERE")</f>
        <v>MERE</v>
      </c>
      <c r="AF507" s="1" t="str">
        <f ca="1">IFERROR(__xludf.DUMMYFUNCTION("""COMPUTED_VALUE"""),"FRANCE")</f>
        <v>FRANCE</v>
      </c>
      <c r="AG507" s="1" t="str">
        <f ca="1">IFERROR(__xludf.DUMMYFUNCTION("""COMPUTED_VALUE"""),"SENEGAL")</f>
        <v>SENEGAL</v>
      </c>
      <c r="AH507" s="1"/>
      <c r="AI507" s="1"/>
      <c r="AJ507" s="1" t="str">
        <f ca="1">IFERROR(__xludf.DUMMYFUNCTION("""COMPUTED_VALUE"""),"F1537")</f>
        <v>F1537</v>
      </c>
      <c r="AK507" s="1" t="str">
        <f ca="1">IFERROR(__xludf.DUMMYFUNCTION("""COMPUTED_VALUE"""),"Marié(e)")</f>
        <v>Marié(e)</v>
      </c>
      <c r="AL507" s="1" t="str">
        <f ca="1">IFERROR(__xludf.DUMMYFUNCTION("""COMPUTED_VALUE"""),"Marié(e)")</f>
        <v>Marié(e)</v>
      </c>
      <c r="AM507" s="1" t="str">
        <f ca="1">IFERROR(__xludf.DUMMYFUNCTION("""COMPUTED_VALUE"""),"F1537")</f>
        <v>F1537</v>
      </c>
    </row>
    <row r="508" spans="1:39" ht="13" x14ac:dyDescent="0.15">
      <c r="A508" s="1" t="str">
        <f ca="1">IFERROR(__xludf.DUMMYFUNCTION("""COMPUTED_VALUE"""),"RÉFALO Chloé")</f>
        <v>RÉFALO Chloé</v>
      </c>
      <c r="B508" s="1" t="str">
        <f ca="1">IFERROR(__xludf.DUMMYFUNCTION("""COMPUTED_VALUE"""),"RÉFALO")</f>
        <v>RÉFALO</v>
      </c>
      <c r="C508" s="1" t="str">
        <f ca="1">IFERROR(__xludf.DUMMYFUNCTION("""COMPUTED_VALUE"""),"Chloé")</f>
        <v>Chloé</v>
      </c>
      <c r="D508" s="1" t="str">
        <f ca="1">IFERROR(__xludf.DUMMYFUNCTION("""COMPUTED_VALUE"""),"1538E1")</f>
        <v>1538E1</v>
      </c>
      <c r="E508" s="2">
        <f ca="1">IFERROR(__xludf.DUMMYFUNCTION("""COMPUTED_VALUE"""),42072)</f>
        <v>42072</v>
      </c>
      <c r="F508" s="1" t="str">
        <f ca="1">IFERROR(__xludf.DUMMYFUNCTION("""COMPUTED_VALUE"""),"CM2B")</f>
        <v>CM2B</v>
      </c>
      <c r="G508" s="1" t="str">
        <f ca="1">IFERROR(__xludf.DUMMYFUNCTION("""COMPUTED_VALUE"""),"CM2")</f>
        <v>CM2</v>
      </c>
      <c r="H508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508" s="1"/>
      <c r="J508" s="1"/>
      <c r="K508" s="1"/>
      <c r="L508" s="1"/>
      <c r="M508" s="1"/>
      <c r="N508" s="1" t="str">
        <f ca="1">IFERROR(__xludf.DUMMYFUNCTION("""COMPUTED_VALUE"""),"Fille")</f>
        <v>Fille</v>
      </c>
      <c r="O508" s="1"/>
      <c r="P508" s="1" t="str">
        <f ca="1">IFERROR(__xludf.DUMMYFUNCTION("""COMPUTED_VALUE"""),"FRANCE")</f>
        <v>FRANCE</v>
      </c>
      <c r="Q508" s="1" t="str">
        <f ca="1">IFERROR(__xludf.DUMMYFUNCTION("""COMPUTED_VALUE"""),"SENEGAL")</f>
        <v>SENEGAL</v>
      </c>
      <c r="R508" s="1"/>
      <c r="S508" s="1" t="str">
        <f ca="1">IFERROR(__xludf.DUMMYFUNCTION("""COMPUTED_VALUE"""),"+221 77 441 14 13")</f>
        <v>+221 77 441 14 13</v>
      </c>
      <c r="T508" s="1" t="str">
        <f ca="1">IFERROR(__xludf.DUMMYFUNCTION("""COMPUTED_VALUE"""),"REFALO Thierry")</f>
        <v>REFALO Thierry</v>
      </c>
      <c r="U508" s="1" t="str">
        <f ca="1">IFERROR(__xludf.DUMMYFUNCTION("""COMPUTED_VALUE"""),"RÉFALO Caroline")</f>
        <v>RÉFALO Caroline</v>
      </c>
      <c r="V508" s="1" t="str">
        <f ca="1">IFERROR(__xludf.DUMMYFUNCTION("""COMPUTED_VALUE"""),"thierrylemenuisier@gmail.com")</f>
        <v>thierrylemenuisier@gmail.com</v>
      </c>
      <c r="W508" s="1" t="str">
        <f ca="1">IFERROR(__xludf.DUMMYFUNCTION("""COMPUTED_VALUE"""),"carolinelama9@gmail.com")</f>
        <v>carolinelama9@gmail.com</v>
      </c>
      <c r="X508" s="1" t="str">
        <f ca="1">IFERROR(__xludf.DUMMYFUNCTION("""COMPUTED_VALUE"""),"+221 77 459 77 42")</f>
        <v>+221 77 459 77 42</v>
      </c>
      <c r="Y508" s="1" t="str">
        <f ca="1">IFERROR(__xludf.DUMMYFUNCTION("""COMPUTED_VALUE"""),"+221 77 441 14 13")</f>
        <v>+221 77 441 14 13</v>
      </c>
      <c r="Z508" s="1" t="str">
        <f ca="1">IFERROR(__xludf.DUMMYFUNCTION("""COMPUTED_VALUE"""),"+221")</f>
        <v>+221</v>
      </c>
      <c r="AA508" s="1" t="str">
        <f ca="1">IFERROR(__xludf.DUMMYFUNCTION("""COMPUTED_VALUE"""),"+221")</f>
        <v>+221</v>
      </c>
      <c r="AB508" s="2">
        <f ca="1">IFERROR(__xludf.DUMMYFUNCTION("""COMPUTED_VALUE"""),35310)</f>
        <v>35310</v>
      </c>
      <c r="AC508" s="2">
        <f ca="1">IFERROR(__xludf.DUMMYFUNCTION("""COMPUTED_VALUE"""),35630)</f>
        <v>35630</v>
      </c>
      <c r="AD508" s="1" t="str">
        <f ca="1">IFERROR(__xludf.DUMMYFUNCTION("""COMPUTED_VALUE"""),"PERE")</f>
        <v>PERE</v>
      </c>
      <c r="AE508" s="1" t="str">
        <f ca="1">IFERROR(__xludf.DUMMYFUNCTION("""COMPUTED_VALUE"""),"MERE")</f>
        <v>MERE</v>
      </c>
      <c r="AF508" s="1" t="str">
        <f ca="1">IFERROR(__xludf.DUMMYFUNCTION("""COMPUTED_VALUE"""),"FRANCE")</f>
        <v>FRANCE</v>
      </c>
      <c r="AG508" s="1" t="str">
        <f ca="1">IFERROR(__xludf.DUMMYFUNCTION("""COMPUTED_VALUE"""),"SENEGAL")</f>
        <v>SENEGAL</v>
      </c>
      <c r="AH508" s="1"/>
      <c r="AI508" s="1"/>
      <c r="AJ508" s="1" t="str">
        <f ca="1">IFERROR(__xludf.DUMMYFUNCTION("""COMPUTED_VALUE"""),"F1538")</f>
        <v>F1538</v>
      </c>
      <c r="AK508" s="1" t="str">
        <f ca="1">IFERROR(__xludf.DUMMYFUNCTION("""COMPUTED_VALUE"""),"Marié(e)")</f>
        <v>Marié(e)</v>
      </c>
      <c r="AL508" s="1" t="str">
        <f ca="1">IFERROR(__xludf.DUMMYFUNCTION("""COMPUTED_VALUE"""),"Marié(e)")</f>
        <v>Marié(e)</v>
      </c>
      <c r="AM508" s="1" t="str">
        <f ca="1">IFERROR(__xludf.DUMMYFUNCTION("""COMPUTED_VALUE"""),"F1538")</f>
        <v>F1538</v>
      </c>
    </row>
    <row r="509" spans="1:39" ht="13" x14ac:dyDescent="0.15">
      <c r="A509" s="1" t="str">
        <f ca="1">IFERROR(__xludf.DUMMYFUNCTION("""COMPUTED_VALUE"""),"RÉFALO Jennifer")</f>
        <v>RÉFALO Jennifer</v>
      </c>
      <c r="B509" s="1" t="str">
        <f ca="1">IFERROR(__xludf.DUMMYFUNCTION("""COMPUTED_VALUE"""),"RÉFALO")</f>
        <v>RÉFALO</v>
      </c>
      <c r="C509" s="1" t="str">
        <f ca="1">IFERROR(__xludf.DUMMYFUNCTION("""COMPUTED_VALUE"""),"Jennifer")</f>
        <v>Jennifer</v>
      </c>
      <c r="D509" s="1" t="str">
        <f ca="1">IFERROR(__xludf.DUMMYFUNCTION("""COMPUTED_VALUE"""),"1538E2")</f>
        <v>1538E2</v>
      </c>
      <c r="E509" s="2">
        <f ca="1">IFERROR(__xludf.DUMMYFUNCTION("""COMPUTED_VALUE"""),41238)</f>
        <v>41238</v>
      </c>
      <c r="F509" s="1" t="str">
        <f ca="1">IFERROR(__xludf.DUMMYFUNCTION("""COMPUTED_VALUE"""),"4EME1")</f>
        <v>4EME1</v>
      </c>
      <c r="G509" s="1" t="str">
        <f ca="1">IFERROR(__xludf.DUMMYFUNCTION("""COMPUTED_VALUE"""),"4ème")</f>
        <v>4ème</v>
      </c>
      <c r="H509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509" s="1" t="str">
        <f ca="1">IFERROR(__xludf.DUMMYFUNCTION("""COMPUTED_VALUE"""),"LVA Anglais")</f>
        <v>LVA Anglais</v>
      </c>
      <c r="J509" s="1" t="str">
        <f ca="1">IFERROR(__xludf.DUMMYFUNCTION("""COMPUTED_VALUE"""),"LVB Espagnol")</f>
        <v>LVB Espagnol</v>
      </c>
      <c r="K509" s="1"/>
      <c r="L509" s="1"/>
      <c r="M509" s="1"/>
      <c r="N509" s="1" t="str">
        <f ca="1">IFERROR(__xludf.DUMMYFUNCTION("""COMPUTED_VALUE"""),"Fille")</f>
        <v>Fille</v>
      </c>
      <c r="O509" s="1"/>
      <c r="P509" s="1" t="str">
        <f ca="1">IFERROR(__xludf.DUMMYFUNCTION("""COMPUTED_VALUE"""),"FRANCE")</f>
        <v>FRANCE</v>
      </c>
      <c r="Q509" s="1" t="str">
        <f ca="1">IFERROR(__xludf.DUMMYFUNCTION("""COMPUTED_VALUE"""),"SENEGAL")</f>
        <v>SENEGAL</v>
      </c>
      <c r="R509" s="1" t="str">
        <f ca="1">IFERROR(__xludf.DUMMYFUNCTION("""COMPUTED_VALUE"""),"jennifer.refalo@lfjpsaly.org")</f>
        <v>jennifer.refalo@lfjpsaly.org</v>
      </c>
      <c r="S509" s="1" t="str">
        <f ca="1">IFERROR(__xludf.DUMMYFUNCTION("""COMPUTED_VALUE"""),"+221 77 441 14 13")</f>
        <v>+221 77 441 14 13</v>
      </c>
      <c r="T509" s="1" t="str">
        <f ca="1">IFERROR(__xludf.DUMMYFUNCTION("""COMPUTED_VALUE"""),"RÉFALO Caroline")</f>
        <v>RÉFALO Caroline</v>
      </c>
      <c r="U509" s="1" t="str">
        <f ca="1">IFERROR(__xludf.DUMMYFUNCTION("""COMPUTED_VALUE"""),"REFALO Thierry")</f>
        <v>REFALO Thierry</v>
      </c>
      <c r="V509" s="1" t="str">
        <f ca="1">IFERROR(__xludf.DUMMYFUNCTION("""COMPUTED_VALUE"""),"carolinelama9@gmail.com")</f>
        <v>carolinelama9@gmail.com</v>
      </c>
      <c r="W509" s="1" t="str">
        <f ca="1">IFERROR(__xludf.DUMMYFUNCTION("""COMPUTED_VALUE"""),"thierrylemenuisier@gmail.com")</f>
        <v>thierrylemenuisier@gmail.com</v>
      </c>
      <c r="X509" s="1" t="str">
        <f ca="1">IFERROR(__xludf.DUMMYFUNCTION("""COMPUTED_VALUE"""),"+221 77 441 14 13")</f>
        <v>+221 77 441 14 13</v>
      </c>
      <c r="Y509" s="1" t="str">
        <f ca="1">IFERROR(__xludf.DUMMYFUNCTION("""COMPUTED_VALUE"""),"+221 77 459 77 42")</f>
        <v>+221 77 459 77 42</v>
      </c>
      <c r="Z509" s="1" t="str">
        <f ca="1">IFERROR(__xludf.DUMMYFUNCTION("""COMPUTED_VALUE"""),"+221")</f>
        <v>+221</v>
      </c>
      <c r="AA509" s="1" t="str">
        <f ca="1">IFERROR(__xludf.DUMMYFUNCTION("""COMPUTED_VALUE"""),"+221")</f>
        <v>+221</v>
      </c>
      <c r="AB509" s="2">
        <f ca="1">IFERROR(__xludf.DUMMYFUNCTION("""COMPUTED_VALUE"""),35630)</f>
        <v>35630</v>
      </c>
      <c r="AC509" s="2">
        <f ca="1">IFERROR(__xludf.DUMMYFUNCTION("""COMPUTED_VALUE"""),35310)</f>
        <v>35310</v>
      </c>
      <c r="AD509" s="1" t="str">
        <f ca="1">IFERROR(__xludf.DUMMYFUNCTION("""COMPUTED_VALUE"""),"MERE")</f>
        <v>MERE</v>
      </c>
      <c r="AE509" s="1" t="str">
        <f ca="1">IFERROR(__xludf.DUMMYFUNCTION("""COMPUTED_VALUE"""),"PERE")</f>
        <v>PERE</v>
      </c>
      <c r="AF509" s="1" t="str">
        <f ca="1">IFERROR(__xludf.DUMMYFUNCTION("""COMPUTED_VALUE"""),"SENEGAL")</f>
        <v>SENEGAL</v>
      </c>
      <c r="AG509" s="1" t="str">
        <f ca="1">IFERROR(__xludf.DUMMYFUNCTION("""COMPUTED_VALUE"""),"FRANCE")</f>
        <v>FRANCE</v>
      </c>
      <c r="AH509" s="1"/>
      <c r="AI509" s="1"/>
      <c r="AJ509" s="1" t="str">
        <f ca="1">IFERROR(__xludf.DUMMYFUNCTION("""COMPUTED_VALUE"""),"F1538")</f>
        <v>F1538</v>
      </c>
      <c r="AK509" s="1" t="str">
        <f ca="1">IFERROR(__xludf.DUMMYFUNCTION("""COMPUTED_VALUE"""),"Marié(e)")</f>
        <v>Marié(e)</v>
      </c>
      <c r="AL509" s="1" t="str">
        <f ca="1">IFERROR(__xludf.DUMMYFUNCTION("""COMPUTED_VALUE"""),"Marié(e)")</f>
        <v>Marié(e)</v>
      </c>
      <c r="AM509" s="1" t="str">
        <f ca="1">IFERROR(__xludf.DUMMYFUNCTION("""COMPUTED_VALUE"""),"F1538")</f>
        <v>F1538</v>
      </c>
    </row>
    <row r="510" spans="1:39" ht="13" x14ac:dyDescent="0.15">
      <c r="A510" s="1" t="str">
        <f ca="1">IFERROR(__xludf.DUMMYFUNCTION("""COMPUTED_VALUE"""),"REINER Luka")</f>
        <v>REINER Luka</v>
      </c>
      <c r="B510" s="1" t="str">
        <f ca="1">IFERROR(__xludf.DUMMYFUNCTION("""COMPUTED_VALUE"""),"REINER")</f>
        <v>REINER</v>
      </c>
      <c r="C510" s="1" t="str">
        <f ca="1">IFERROR(__xludf.DUMMYFUNCTION("""COMPUTED_VALUE"""),"Luka")</f>
        <v>Luka</v>
      </c>
      <c r="D510" s="1" t="str">
        <f ca="1">IFERROR(__xludf.DUMMYFUNCTION("""COMPUTED_VALUE"""),"1539E1")</f>
        <v>1539E1</v>
      </c>
      <c r="E510" s="2">
        <f ca="1">IFERROR(__xludf.DUMMYFUNCTION("""COMPUTED_VALUE"""),42850)</f>
        <v>42850</v>
      </c>
      <c r="F510" s="1" t="str">
        <f ca="1">IFERROR(__xludf.DUMMYFUNCTION("""COMPUTED_VALUE"""),"CP-CE2")</f>
        <v>CP-CE2</v>
      </c>
      <c r="G510" s="1" t="str">
        <f ca="1">IFERROR(__xludf.DUMMYFUNCTION("""COMPUTED_VALUE"""),"CE2")</f>
        <v>CE2</v>
      </c>
      <c r="H510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510" s="1"/>
      <c r="J510" s="1"/>
      <c r="K510" s="1"/>
      <c r="L510" s="1"/>
      <c r="M510" s="1"/>
      <c r="N510" s="1" t="str">
        <f ca="1">IFERROR(__xludf.DUMMYFUNCTION("""COMPUTED_VALUE"""),"Garçon")</f>
        <v>Garçon</v>
      </c>
      <c r="O510" s="1"/>
      <c r="P510" s="1" t="str">
        <f ca="1">IFERROR(__xludf.DUMMYFUNCTION("""COMPUTED_VALUE"""),"FRANCE")</f>
        <v>FRANCE</v>
      </c>
      <c r="Q510" s="1" t="str">
        <f ca="1">IFERROR(__xludf.DUMMYFUNCTION("""COMPUTED_VALUE"""),"SENEGAL")</f>
        <v>SENEGAL</v>
      </c>
      <c r="R510" s="1"/>
      <c r="S510" s="1"/>
      <c r="T510" s="1" t="str">
        <f ca="1">IFERROR(__xludf.DUMMYFUNCTION("""COMPUTED_VALUE"""),"GUEYE Iphigénie Mossane")</f>
        <v>GUEYE Iphigénie Mossane</v>
      </c>
      <c r="U510" s="1" t="str">
        <f ca="1">IFERROR(__xludf.DUMMYFUNCTION("""COMPUTED_VALUE"""),"REINER Jean-Luc Christian")</f>
        <v>REINER Jean-Luc Christian</v>
      </c>
      <c r="V510" s="1" t="str">
        <f ca="1">IFERROR(__xludf.DUMMYFUNCTION("""COMPUTED_VALUE"""),"ifigeni@hotmail.fr")</f>
        <v>ifigeni@hotmail.fr</v>
      </c>
      <c r="W510" s="1" t="str">
        <f ca="1">IFERROR(__xludf.DUMMYFUNCTION("""COMPUTED_VALUE"""),"ngalango@hotmail.com")</f>
        <v>ngalango@hotmail.com</v>
      </c>
      <c r="X510" s="1" t="str">
        <f ca="1">IFERROR(__xludf.DUMMYFUNCTION("""COMPUTED_VALUE"""),"+221 77 178 21 31")</f>
        <v>+221 77 178 21 31</v>
      </c>
      <c r="Y510" s="1" t="str">
        <f ca="1">IFERROR(__xludf.DUMMYFUNCTION("""COMPUTED_VALUE"""),"771782131")</f>
        <v>771782131</v>
      </c>
      <c r="Z510" s="1"/>
      <c r="AA510" s="1"/>
      <c r="AB510" s="2">
        <f ca="1">IFERROR(__xludf.DUMMYFUNCTION("""COMPUTED_VALUE"""),30106)</f>
        <v>30106</v>
      </c>
      <c r="AC510" s="2">
        <f ca="1">IFERROR(__xludf.DUMMYFUNCTION("""COMPUTED_VALUE"""),24104)</f>
        <v>24104</v>
      </c>
      <c r="AD510" s="1" t="str">
        <f ca="1">IFERROR(__xludf.DUMMYFUNCTION("""COMPUTED_VALUE"""),"MERE")</f>
        <v>MERE</v>
      </c>
      <c r="AE510" s="1" t="str">
        <f ca="1">IFERROR(__xludf.DUMMYFUNCTION("""COMPUTED_VALUE"""),"PERE")</f>
        <v>PERE</v>
      </c>
      <c r="AF510" s="1" t="str">
        <f ca="1">IFERROR(__xludf.DUMMYFUNCTION("""COMPUTED_VALUE"""),"FRANCE")</f>
        <v>FRANCE</v>
      </c>
      <c r="AG510" s="1" t="str">
        <f ca="1">IFERROR(__xludf.DUMMYFUNCTION("""COMPUTED_VALUE"""),"FRANCE")</f>
        <v>FRANCE</v>
      </c>
      <c r="AH510" s="1" t="str">
        <f ca="1">IFERROR(__xludf.DUMMYFUNCTION("""COMPUTED_VALUE"""),"SENEGAL")</f>
        <v>SENEGAL</v>
      </c>
      <c r="AI510" s="1"/>
      <c r="AJ510" s="1" t="str">
        <f ca="1">IFERROR(__xludf.DUMMYFUNCTION("""COMPUTED_VALUE"""),"F1539")</f>
        <v>F1539</v>
      </c>
      <c r="AK510" s="1" t="str">
        <f ca="1">IFERROR(__xludf.DUMMYFUNCTION("""COMPUTED_VALUE"""),"Marié(e)")</f>
        <v>Marié(e)</v>
      </c>
      <c r="AL510" s="1" t="str">
        <f ca="1">IFERROR(__xludf.DUMMYFUNCTION("""COMPUTED_VALUE"""),"Marié(e)")</f>
        <v>Marié(e)</v>
      </c>
      <c r="AM510" s="1" t="str">
        <f ca="1">IFERROR(__xludf.DUMMYFUNCTION("""COMPUTED_VALUE"""),"F1539")</f>
        <v>F1539</v>
      </c>
    </row>
    <row r="511" spans="1:39" ht="13" x14ac:dyDescent="0.15">
      <c r="A511" s="1" t="str">
        <f ca="1">IFERROR(__xludf.DUMMYFUNCTION("""COMPUTED_VALUE"""),"RENARD Kayla")</f>
        <v>RENARD Kayla</v>
      </c>
      <c r="B511" s="1" t="str">
        <f ca="1">IFERROR(__xludf.DUMMYFUNCTION("""COMPUTED_VALUE"""),"RENARD")</f>
        <v>RENARD</v>
      </c>
      <c r="C511" s="1" t="str">
        <f ca="1">IFERROR(__xludf.DUMMYFUNCTION("""COMPUTED_VALUE"""),"Kayla")</f>
        <v>Kayla</v>
      </c>
      <c r="D511" s="1" t="str">
        <f ca="1">IFERROR(__xludf.DUMMYFUNCTION("""COMPUTED_VALUE"""),"1451E3")</f>
        <v>1451E3</v>
      </c>
      <c r="E511" s="2">
        <f ca="1">IFERROR(__xludf.DUMMYFUNCTION("""COMPUTED_VALUE"""),41494)</f>
        <v>41494</v>
      </c>
      <c r="F511" s="1" t="str">
        <f ca="1">IFERROR(__xludf.DUMMYFUNCTION("""COMPUTED_VALUE"""),"5EME2")</f>
        <v>5EME2</v>
      </c>
      <c r="G511" s="1" t="str">
        <f ca="1">IFERROR(__xludf.DUMMYFUNCTION("""COMPUTED_VALUE"""),"5ème")</f>
        <v>5ème</v>
      </c>
      <c r="H511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511" s="1"/>
      <c r="J511" s="1"/>
      <c r="K511" s="1"/>
      <c r="L511" s="1"/>
      <c r="M511" s="1"/>
      <c r="N511" s="1" t="str">
        <f ca="1">IFERROR(__xludf.DUMMYFUNCTION("""COMPUTED_VALUE"""),"Fille")</f>
        <v>Fille</v>
      </c>
      <c r="O511" s="1"/>
      <c r="P511" s="1" t="str">
        <f ca="1">IFERROR(__xludf.DUMMYFUNCTION("""COMPUTED_VALUE"""),"FRANCE")</f>
        <v>FRANCE</v>
      </c>
      <c r="Q511" s="1"/>
      <c r="R511" s="1"/>
      <c r="S511" s="1" t="str">
        <f ca="1">IFERROR(__xludf.DUMMYFUNCTION("""COMPUTED_VALUE"""),"+221 77 754 97 71")</f>
        <v>+221 77 754 97 71</v>
      </c>
      <c r="T511" s="1" t="str">
        <f ca="1">IFERROR(__xludf.DUMMYFUNCTION("""COMPUTED_VALUE"""),"METSU Viviane")</f>
        <v>METSU Viviane</v>
      </c>
      <c r="U511" s="1" t="str">
        <f ca="1">IFERROR(__xludf.DUMMYFUNCTION("""COMPUTED_VALUE"""),"RENARD Herve")</f>
        <v>RENARD Herve</v>
      </c>
      <c r="V511" s="1" t="str">
        <f ca="1">IFERROR(__xludf.DUMMYFUNCTION("""COMPUTED_VALUE"""),"vivianemetsu@gmail.com")</f>
        <v>vivianemetsu@gmail.com</v>
      </c>
      <c r="W511" s="1" t="str">
        <f ca="1">IFERROR(__xludf.DUMMYFUNCTION("""COMPUTED_VALUE"""),"herverenard6@icloud.com")</f>
        <v>herverenard6@icloud.com</v>
      </c>
      <c r="X511" s="1" t="str">
        <f ca="1">IFERROR(__xludf.DUMMYFUNCTION("""COMPUTED_VALUE"""),"+221 77 754 97 71")</f>
        <v>+221 77 754 97 71</v>
      </c>
      <c r="Y511" s="1" t="str">
        <f ca="1">IFERROR(__xludf.DUMMYFUNCTION("""COMPUTED_VALUE"""),"+33 6 13 06 02 80")</f>
        <v>+33 6 13 06 02 80</v>
      </c>
      <c r="Z511" s="1" t="str">
        <f ca="1">IFERROR(__xludf.DUMMYFUNCTION("""COMPUTED_VALUE"""),"+221")</f>
        <v>+221</v>
      </c>
      <c r="AA511" s="1" t="str">
        <f ca="1">IFERROR(__xludf.DUMMYFUNCTION("""COMPUTED_VALUE"""),"+221")</f>
        <v>+221</v>
      </c>
      <c r="AB511" s="2">
        <f ca="1">IFERROR(__xludf.DUMMYFUNCTION("""COMPUTED_VALUE"""),25491)</f>
        <v>25491</v>
      </c>
      <c r="AC511" s="2">
        <f ca="1">IFERROR(__xludf.DUMMYFUNCTION("""COMPUTED_VALUE"""),25111)</f>
        <v>25111</v>
      </c>
      <c r="AD511" s="1" t="str">
        <f ca="1">IFERROR(__xludf.DUMMYFUNCTION("""COMPUTED_VALUE"""),"AUTRE FAM.")</f>
        <v>AUTRE FAM.</v>
      </c>
      <c r="AE511" s="1" t="str">
        <f ca="1">IFERROR(__xludf.DUMMYFUNCTION("""COMPUTED_VALUE"""),"MERE")</f>
        <v>MERE</v>
      </c>
      <c r="AF511" s="1" t="str">
        <f ca="1">IFERROR(__xludf.DUMMYFUNCTION("""COMPUTED_VALUE"""),"FRANCE")</f>
        <v>FRANCE</v>
      </c>
      <c r="AG511" s="1" t="str">
        <f ca="1">IFERROR(__xludf.DUMMYFUNCTION("""COMPUTED_VALUE"""),"FRANCE")</f>
        <v>FRANCE</v>
      </c>
      <c r="AH511" s="1" t="str">
        <f ca="1">IFERROR(__xludf.DUMMYFUNCTION("""COMPUTED_VALUE"""),"SENEGAL")</f>
        <v>SENEGAL</v>
      </c>
      <c r="AI511" s="1"/>
      <c r="AJ511" s="1" t="str">
        <f ca="1">IFERROR(__xludf.DUMMYFUNCTION("""COMPUTED_VALUE"""),"F1451")</f>
        <v>F1451</v>
      </c>
      <c r="AK511" s="1" t="str">
        <f ca="1">IFERROR(__xludf.DUMMYFUNCTION("""COMPUTED_VALUE"""),"CONCUBINAGE")</f>
        <v>CONCUBINAGE</v>
      </c>
      <c r="AL511" s="1" t="str">
        <f ca="1">IFERROR(__xludf.DUMMYFUNCTION("""COMPUTED_VALUE"""),"CONCUBINAGE")</f>
        <v>CONCUBINAGE</v>
      </c>
      <c r="AM511" s="1" t="str">
        <f ca="1">IFERROR(__xludf.DUMMYFUNCTION("""COMPUTED_VALUE"""),"F1451")</f>
        <v>F1451</v>
      </c>
    </row>
    <row r="512" spans="1:39" ht="13" x14ac:dyDescent="0.15">
      <c r="A512" s="1" t="str">
        <f ca="1">IFERROR(__xludf.DUMMYFUNCTION("""COMPUTED_VALUE"""),"REZGANI Yasmine")</f>
        <v>REZGANI Yasmine</v>
      </c>
      <c r="B512" s="1" t="str">
        <f ca="1">IFERROR(__xludf.DUMMYFUNCTION("""COMPUTED_VALUE"""),"REZGANI")</f>
        <v>REZGANI</v>
      </c>
      <c r="C512" s="1" t="str">
        <f ca="1">IFERROR(__xludf.DUMMYFUNCTION("""COMPUTED_VALUE"""),"Yasmine")</f>
        <v>Yasmine</v>
      </c>
      <c r="D512" s="1" t="str">
        <f ca="1">IFERROR(__xludf.DUMMYFUNCTION("""COMPUTED_VALUE"""),"11656S2248")</f>
        <v>11656S2248</v>
      </c>
      <c r="E512" s="2">
        <f ca="1">IFERROR(__xludf.DUMMYFUNCTION("""COMPUTED_VALUE"""),40547)</f>
        <v>40547</v>
      </c>
      <c r="F512" s="1" t="str">
        <f ca="1">IFERROR(__xludf.DUMMYFUNCTION("""COMPUTED_VALUE"""),"3EME2")</f>
        <v>3EME2</v>
      </c>
      <c r="G512" s="1" t="str">
        <f ca="1">IFERROR(__xludf.DUMMYFUNCTION("""COMPUTED_VALUE"""),"3ème")</f>
        <v>3ème</v>
      </c>
      <c r="H512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512" s="1" t="str">
        <f ca="1">IFERROR(__xludf.DUMMYFUNCTION("""COMPUTED_VALUE"""),"LVA Anglais")</f>
        <v>LVA Anglais</v>
      </c>
      <c r="J512" s="1" t="str">
        <f ca="1">IFERROR(__xludf.DUMMYFUNCTION("""COMPUTED_VALUE"""),"LVB Espagnol")</f>
        <v>LVB Espagnol</v>
      </c>
      <c r="K512" s="1"/>
      <c r="L512" s="1"/>
      <c r="M512" s="1"/>
      <c r="N512" s="1" t="str">
        <f ca="1">IFERROR(__xludf.DUMMYFUNCTION("""COMPUTED_VALUE"""),"Fille")</f>
        <v>Fille</v>
      </c>
      <c r="O512" s="1"/>
      <c r="P512" s="1" t="str">
        <f ca="1">IFERROR(__xludf.DUMMYFUNCTION("""COMPUTED_VALUE"""),"TUNISIE")</f>
        <v>TUNISIE</v>
      </c>
      <c r="Q512" s="1"/>
      <c r="R512" s="1" t="str">
        <f ca="1">IFERROR(__xludf.DUMMYFUNCTION("""COMPUTED_VALUE"""),"yasmine.rezgani@lfjpsaly.org")</f>
        <v>yasmine.rezgani@lfjpsaly.org</v>
      </c>
      <c r="S512" s="1"/>
      <c r="T512" s="1" t="str">
        <f ca="1">IFERROR(__xludf.DUMMYFUNCTION("""COMPUTED_VALUE"""),"REZGANI Mohamed Medhi")</f>
        <v>REZGANI Mohamed Medhi</v>
      </c>
      <c r="U512" s="1" t="str">
        <f ca="1">IFERROR(__xludf.DUMMYFUNCTION("""COMPUTED_VALUE"""),"HADHRI Yossra")</f>
        <v>HADHRI Yossra</v>
      </c>
      <c r="V512" s="1" t="str">
        <f ca="1">IFERROR(__xludf.DUMMYFUNCTION("""COMPUTED_VALUE"""),"mehdi.everestengineering@gmail.com")</f>
        <v>mehdi.everestengineering@gmail.com</v>
      </c>
      <c r="W512" s="1" t="str">
        <f ca="1">IFERROR(__xludf.DUMMYFUNCTION("""COMPUTED_VALUE"""),"mehdi.everestengineering@gmail.com")</f>
        <v>mehdi.everestengineering@gmail.com</v>
      </c>
      <c r="X512" s="1" t="str">
        <f ca="1">IFERROR(__xludf.DUMMYFUNCTION("""COMPUTED_VALUE"""),"+221 77 802 02 32")</f>
        <v>+221 77 802 02 32</v>
      </c>
      <c r="Y512" s="1" t="str">
        <f ca="1">IFERROR(__xludf.DUMMYFUNCTION("""COMPUTED_VALUE"""),"+221 77 802 02 32")</f>
        <v>+221 77 802 02 32</v>
      </c>
      <c r="Z512" s="1"/>
      <c r="AA512" s="1" t="str">
        <f ca="1">IFERROR(__xludf.DUMMYFUNCTION("""COMPUTED_VALUE"""),"+221")</f>
        <v>+221</v>
      </c>
      <c r="AB512" s="2">
        <f ca="1">IFERROR(__xludf.DUMMYFUNCTION("""COMPUTED_VALUE"""),29543)</f>
        <v>29543</v>
      </c>
      <c r="AC512" s="2">
        <f ca="1">IFERROR(__xludf.DUMMYFUNCTION("""COMPUTED_VALUE"""),30322)</f>
        <v>30322</v>
      </c>
      <c r="AD512" s="1" t="str">
        <f ca="1">IFERROR(__xludf.DUMMYFUNCTION("""COMPUTED_VALUE"""),"PERE")</f>
        <v>PERE</v>
      </c>
      <c r="AE512" s="1" t="str">
        <f ca="1">IFERROR(__xludf.DUMMYFUNCTION("""COMPUTED_VALUE"""),"MERE")</f>
        <v>MERE</v>
      </c>
      <c r="AF512" s="1" t="str">
        <f ca="1">IFERROR(__xludf.DUMMYFUNCTION("""COMPUTED_VALUE"""),"TUNISIE")</f>
        <v>TUNISIE</v>
      </c>
      <c r="AG512" s="1" t="str">
        <f ca="1">IFERROR(__xludf.DUMMYFUNCTION("""COMPUTED_VALUE"""),"TUNISIE")</f>
        <v>TUNISIE</v>
      </c>
      <c r="AH512" s="1"/>
      <c r="AI512" s="1"/>
      <c r="AJ512" s="1" t="str">
        <f ca="1">IFERROR(__xludf.DUMMYFUNCTION("""COMPUTED_VALUE"""),"U11656")</f>
        <v>U11656</v>
      </c>
      <c r="AK512" s="1" t="str">
        <f ca="1">IFERROR(__xludf.DUMMYFUNCTION("""COMPUTED_VALUE"""),"Marié(e)")</f>
        <v>Marié(e)</v>
      </c>
      <c r="AL512" s="1" t="str">
        <f ca="1">IFERROR(__xludf.DUMMYFUNCTION("""COMPUTED_VALUE"""),"Marié(e)")</f>
        <v>Marié(e)</v>
      </c>
      <c r="AM512" s="1" t="str">
        <f ca="1">IFERROR(__xludf.DUMMYFUNCTION("""COMPUTED_VALUE"""),"U11656")</f>
        <v>U11656</v>
      </c>
    </row>
    <row r="513" spans="1:39" ht="13" x14ac:dyDescent="0.15">
      <c r="A513" s="1" t="str">
        <f ca="1">IFERROR(__xludf.DUMMYFUNCTION("""COMPUTED_VALUE"""),"REZGUANI Hanin")</f>
        <v>REZGUANI Hanin</v>
      </c>
      <c r="B513" s="1" t="str">
        <f ca="1">IFERROR(__xludf.DUMMYFUNCTION("""COMPUTED_VALUE"""),"REZGUANI")</f>
        <v>REZGUANI</v>
      </c>
      <c r="C513" s="1" t="str">
        <f ca="1">IFERROR(__xludf.DUMMYFUNCTION("""COMPUTED_VALUE"""),"Hanin")</f>
        <v>Hanin</v>
      </c>
      <c r="D513" s="1" t="str">
        <f ca="1">IFERROR(__xludf.DUMMYFUNCTION("""COMPUTED_VALUE"""),"11656S2217")</f>
        <v>11656S2217</v>
      </c>
      <c r="E513" s="2">
        <f ca="1">IFERROR(__xludf.DUMMYFUNCTION("""COMPUTED_VALUE"""),43411)</f>
        <v>43411</v>
      </c>
      <c r="F513" s="1" t="str">
        <f ca="1">IFERROR(__xludf.DUMMYFUNCTION("""COMPUTED_VALUE"""),"CE1B")</f>
        <v>CE1B</v>
      </c>
      <c r="G513" s="1" t="str">
        <f ca="1">IFERROR(__xludf.DUMMYFUNCTION("""COMPUTED_VALUE"""),"CE1")</f>
        <v>CE1</v>
      </c>
      <c r="H513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513" s="1"/>
      <c r="J513" s="1"/>
      <c r="K513" s="1"/>
      <c r="L513" s="1"/>
      <c r="M513" s="1"/>
      <c r="N513" s="1" t="str">
        <f ca="1">IFERROR(__xludf.DUMMYFUNCTION("""COMPUTED_VALUE"""),"Fille")</f>
        <v>Fille</v>
      </c>
      <c r="O513" s="1"/>
      <c r="P513" s="1" t="str">
        <f ca="1">IFERROR(__xludf.DUMMYFUNCTION("""COMPUTED_VALUE"""),"TUNISIE")</f>
        <v>TUNISIE</v>
      </c>
      <c r="Q513" s="1"/>
      <c r="R513" s="1"/>
      <c r="S513" s="1"/>
      <c r="T513" s="1" t="str">
        <f ca="1">IFERROR(__xludf.DUMMYFUNCTION("""COMPUTED_VALUE"""),"REZGANI Mohamed Medhi")</f>
        <v>REZGANI Mohamed Medhi</v>
      </c>
      <c r="U513" s="1" t="str">
        <f ca="1">IFERROR(__xludf.DUMMYFUNCTION("""COMPUTED_VALUE"""),"HADHRI Yossra")</f>
        <v>HADHRI Yossra</v>
      </c>
      <c r="V513" s="1" t="str">
        <f ca="1">IFERROR(__xludf.DUMMYFUNCTION("""COMPUTED_VALUE"""),"mehdi.everestengineering@gmail.com")</f>
        <v>mehdi.everestengineering@gmail.com</v>
      </c>
      <c r="W513" s="1" t="str">
        <f ca="1">IFERROR(__xludf.DUMMYFUNCTION("""COMPUTED_VALUE"""),"mehdi.everestengineering@gmail.com")</f>
        <v>mehdi.everestengineering@gmail.com</v>
      </c>
      <c r="X513" s="1" t="str">
        <f ca="1">IFERROR(__xludf.DUMMYFUNCTION("""COMPUTED_VALUE"""),"+221 77 802 02 32")</f>
        <v>+221 77 802 02 32</v>
      </c>
      <c r="Y513" s="1" t="str">
        <f ca="1">IFERROR(__xludf.DUMMYFUNCTION("""COMPUTED_VALUE"""),"+221 77 802 02 32")</f>
        <v>+221 77 802 02 32</v>
      </c>
      <c r="Z513" s="1"/>
      <c r="AA513" s="1" t="str">
        <f ca="1">IFERROR(__xludf.DUMMYFUNCTION("""COMPUTED_VALUE"""),"+221")</f>
        <v>+221</v>
      </c>
      <c r="AB513" s="2">
        <f ca="1">IFERROR(__xludf.DUMMYFUNCTION("""COMPUTED_VALUE"""),29543)</f>
        <v>29543</v>
      </c>
      <c r="AC513" s="2">
        <f ca="1">IFERROR(__xludf.DUMMYFUNCTION("""COMPUTED_VALUE"""),30322)</f>
        <v>30322</v>
      </c>
      <c r="AD513" s="1" t="str">
        <f ca="1">IFERROR(__xludf.DUMMYFUNCTION("""COMPUTED_VALUE"""),"PERE")</f>
        <v>PERE</v>
      </c>
      <c r="AE513" s="1" t="str">
        <f ca="1">IFERROR(__xludf.DUMMYFUNCTION("""COMPUTED_VALUE"""),"MERE")</f>
        <v>MERE</v>
      </c>
      <c r="AF513" s="1" t="str">
        <f ca="1">IFERROR(__xludf.DUMMYFUNCTION("""COMPUTED_VALUE"""),"TUNISIE")</f>
        <v>TUNISIE</v>
      </c>
      <c r="AG513" s="1" t="str">
        <f ca="1">IFERROR(__xludf.DUMMYFUNCTION("""COMPUTED_VALUE"""),"TUNISIE")</f>
        <v>TUNISIE</v>
      </c>
      <c r="AH513" s="1"/>
      <c r="AI513" s="1"/>
      <c r="AJ513" s="1" t="str">
        <f ca="1">IFERROR(__xludf.DUMMYFUNCTION("""COMPUTED_VALUE"""),"U11656")</f>
        <v>U11656</v>
      </c>
      <c r="AK513" s="1" t="str">
        <f ca="1">IFERROR(__xludf.DUMMYFUNCTION("""COMPUTED_VALUE"""),"Marié(e)")</f>
        <v>Marié(e)</v>
      </c>
      <c r="AL513" s="1" t="str">
        <f ca="1">IFERROR(__xludf.DUMMYFUNCTION("""COMPUTED_VALUE"""),"Marié(e)")</f>
        <v>Marié(e)</v>
      </c>
      <c r="AM513" s="1" t="str">
        <f ca="1">IFERROR(__xludf.DUMMYFUNCTION("""COMPUTED_VALUE"""),"U11656")</f>
        <v>U11656</v>
      </c>
    </row>
    <row r="514" spans="1:39" ht="13" x14ac:dyDescent="0.15">
      <c r="A514" s="1" t="str">
        <f ca="1">IFERROR(__xludf.DUMMYFUNCTION("""COMPUTED_VALUE"""),"REZGUANI Tasnim")</f>
        <v>REZGUANI Tasnim</v>
      </c>
      <c r="B514" s="1" t="str">
        <f ca="1">IFERROR(__xludf.DUMMYFUNCTION("""COMPUTED_VALUE"""),"REZGUANI")</f>
        <v>REZGUANI</v>
      </c>
      <c r="C514" s="1" t="str">
        <f ca="1">IFERROR(__xludf.DUMMYFUNCTION("""COMPUTED_VALUE"""),"Tasnim")</f>
        <v>Tasnim</v>
      </c>
      <c r="D514" s="1" t="str">
        <f ca="1">IFERROR(__xludf.DUMMYFUNCTION("""COMPUTED_VALUE"""),"11656S2247")</f>
        <v>11656S2247</v>
      </c>
      <c r="E514" s="2">
        <f ca="1">IFERROR(__xludf.DUMMYFUNCTION("""COMPUTED_VALUE"""),41233)</f>
        <v>41233</v>
      </c>
      <c r="F514" s="1" t="str">
        <f ca="1">IFERROR(__xludf.DUMMYFUNCTION("""COMPUTED_VALUE"""),"4EME1")</f>
        <v>4EME1</v>
      </c>
      <c r="G514" s="1" t="str">
        <f ca="1">IFERROR(__xludf.DUMMYFUNCTION("""COMPUTED_VALUE"""),"4ème")</f>
        <v>4ème</v>
      </c>
      <c r="H514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514" s="1" t="str">
        <f ca="1">IFERROR(__xludf.DUMMYFUNCTION("""COMPUTED_VALUE"""),"LVA Anglais")</f>
        <v>LVA Anglais</v>
      </c>
      <c r="J514" s="1" t="str">
        <f ca="1">IFERROR(__xludf.DUMMYFUNCTION("""COMPUTED_VALUE"""),"LVB Espagnol")</f>
        <v>LVB Espagnol</v>
      </c>
      <c r="K514" s="1"/>
      <c r="L514" s="1"/>
      <c r="M514" s="1"/>
      <c r="N514" s="1" t="str">
        <f ca="1">IFERROR(__xludf.DUMMYFUNCTION("""COMPUTED_VALUE"""),"Fille")</f>
        <v>Fille</v>
      </c>
      <c r="O514" s="1"/>
      <c r="P514" s="1" t="str">
        <f ca="1">IFERROR(__xludf.DUMMYFUNCTION("""COMPUTED_VALUE"""),"TUNISIE")</f>
        <v>TUNISIE</v>
      </c>
      <c r="Q514" s="1"/>
      <c r="R514" s="1" t="str">
        <f ca="1">IFERROR(__xludf.DUMMYFUNCTION("""COMPUTED_VALUE"""),"tasnim.rezguani@lfjpsaly.org")</f>
        <v>tasnim.rezguani@lfjpsaly.org</v>
      </c>
      <c r="S514" s="1"/>
      <c r="T514" s="1" t="str">
        <f ca="1">IFERROR(__xludf.DUMMYFUNCTION("""COMPUTED_VALUE"""),"REZGANI Mohamed Medhi")</f>
        <v>REZGANI Mohamed Medhi</v>
      </c>
      <c r="U514" s="1" t="str">
        <f ca="1">IFERROR(__xludf.DUMMYFUNCTION("""COMPUTED_VALUE"""),"HADHRI Yossra")</f>
        <v>HADHRI Yossra</v>
      </c>
      <c r="V514" s="1" t="str">
        <f ca="1">IFERROR(__xludf.DUMMYFUNCTION("""COMPUTED_VALUE"""),"mehdi.everestengineering@gmail.com")</f>
        <v>mehdi.everestengineering@gmail.com</v>
      </c>
      <c r="W514" s="1" t="str">
        <f ca="1">IFERROR(__xludf.DUMMYFUNCTION("""COMPUTED_VALUE"""),"mehdi.everestengineering@gmail.com")</f>
        <v>mehdi.everestengineering@gmail.com</v>
      </c>
      <c r="X514" s="1" t="str">
        <f ca="1">IFERROR(__xludf.DUMMYFUNCTION("""COMPUTED_VALUE"""),"+221 77 802 02 32")</f>
        <v>+221 77 802 02 32</v>
      </c>
      <c r="Y514" s="1" t="str">
        <f ca="1">IFERROR(__xludf.DUMMYFUNCTION("""COMPUTED_VALUE"""),"+221 77 802 02 32")</f>
        <v>+221 77 802 02 32</v>
      </c>
      <c r="Z514" s="1"/>
      <c r="AA514" s="1" t="str">
        <f ca="1">IFERROR(__xludf.DUMMYFUNCTION("""COMPUTED_VALUE"""),"+221")</f>
        <v>+221</v>
      </c>
      <c r="AB514" s="2">
        <f ca="1">IFERROR(__xludf.DUMMYFUNCTION("""COMPUTED_VALUE"""),29543)</f>
        <v>29543</v>
      </c>
      <c r="AC514" s="2">
        <f ca="1">IFERROR(__xludf.DUMMYFUNCTION("""COMPUTED_VALUE"""),30322)</f>
        <v>30322</v>
      </c>
      <c r="AD514" s="1" t="str">
        <f ca="1">IFERROR(__xludf.DUMMYFUNCTION("""COMPUTED_VALUE"""),"PERE")</f>
        <v>PERE</v>
      </c>
      <c r="AE514" s="1" t="str">
        <f ca="1">IFERROR(__xludf.DUMMYFUNCTION("""COMPUTED_VALUE"""),"MERE")</f>
        <v>MERE</v>
      </c>
      <c r="AF514" s="1" t="str">
        <f ca="1">IFERROR(__xludf.DUMMYFUNCTION("""COMPUTED_VALUE"""),"TUNISIE")</f>
        <v>TUNISIE</v>
      </c>
      <c r="AG514" s="1" t="str">
        <f ca="1">IFERROR(__xludf.DUMMYFUNCTION("""COMPUTED_VALUE"""),"TUNISIE")</f>
        <v>TUNISIE</v>
      </c>
      <c r="AH514" s="1"/>
      <c r="AI514" s="1"/>
      <c r="AJ514" s="1" t="str">
        <f ca="1">IFERROR(__xludf.DUMMYFUNCTION("""COMPUTED_VALUE"""),"U11656")</f>
        <v>U11656</v>
      </c>
      <c r="AK514" s="1" t="str">
        <f ca="1">IFERROR(__xludf.DUMMYFUNCTION("""COMPUTED_VALUE"""),"Marié(e)")</f>
        <v>Marié(e)</v>
      </c>
      <c r="AL514" s="1" t="str">
        <f ca="1">IFERROR(__xludf.DUMMYFUNCTION("""COMPUTED_VALUE"""),"Marié(e)")</f>
        <v>Marié(e)</v>
      </c>
      <c r="AM514" s="1" t="str">
        <f ca="1">IFERROR(__xludf.DUMMYFUNCTION("""COMPUTED_VALUE"""),"U11656")</f>
        <v>U11656</v>
      </c>
    </row>
    <row r="515" spans="1:39" ht="13" x14ac:dyDescent="0.15">
      <c r="A515" s="1" t="str">
        <f ca="1">IFERROR(__xludf.DUMMYFUNCTION("""COMPUTED_VALUE"""),"RIBEIRO Charles")</f>
        <v>RIBEIRO Charles</v>
      </c>
      <c r="B515" s="1" t="str">
        <f ca="1">IFERROR(__xludf.DUMMYFUNCTION("""COMPUTED_VALUE"""),"RIBEIRO")</f>
        <v>RIBEIRO</v>
      </c>
      <c r="C515" s="1" t="str">
        <f ca="1">IFERROR(__xludf.DUMMYFUNCTION("""COMPUTED_VALUE"""),"Charles")</f>
        <v>Charles</v>
      </c>
      <c r="D515" s="1" t="str">
        <f ca="1">IFERROR(__xludf.DUMMYFUNCTION("""COMPUTED_VALUE"""),"1540E1")</f>
        <v>1540E1</v>
      </c>
      <c r="E515" s="2">
        <f ca="1">IFERROR(__xludf.DUMMYFUNCTION("""COMPUTED_VALUE"""),41550)</f>
        <v>41550</v>
      </c>
      <c r="F515" s="1" t="str">
        <f ca="1">IFERROR(__xludf.DUMMYFUNCTION("""COMPUTED_VALUE"""),"5EME1")</f>
        <v>5EME1</v>
      </c>
      <c r="G515" s="1" t="str">
        <f ca="1">IFERROR(__xludf.DUMMYFUNCTION("""COMPUTED_VALUE"""),"5ème")</f>
        <v>5ème</v>
      </c>
      <c r="H515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515" s="1" t="str">
        <f ca="1">IFERROR(__xludf.DUMMYFUNCTION("""COMPUTED_VALUE"""),"LVA Anglais")</f>
        <v>LVA Anglais</v>
      </c>
      <c r="J515" s="1" t="str">
        <f ca="1">IFERROR(__xludf.DUMMYFUNCTION("""COMPUTED_VALUE"""),"LVB Espagnol")</f>
        <v>LVB Espagnol</v>
      </c>
      <c r="K515" s="1"/>
      <c r="L515" s="1"/>
      <c r="M515" s="1"/>
      <c r="N515" s="1" t="str">
        <f ca="1">IFERROR(__xludf.DUMMYFUNCTION("""COMPUTED_VALUE"""),"Garçon")</f>
        <v>Garçon</v>
      </c>
      <c r="O515" s="1"/>
      <c r="P515" s="1" t="str">
        <f ca="1">IFERROR(__xludf.DUMMYFUNCTION("""COMPUTED_VALUE"""),"SENEGAL")</f>
        <v>SENEGAL</v>
      </c>
      <c r="Q515" s="1" t="str">
        <f ca="1">IFERROR(__xludf.DUMMYFUNCTION("""COMPUTED_VALUE"""),"FRANCE")</f>
        <v>FRANCE</v>
      </c>
      <c r="R515" s="1" t="str">
        <f ca="1">IFERROR(__xludf.DUMMYFUNCTION("""COMPUTED_VALUE"""),"charles.ribeiro@lfjpsaly.org")</f>
        <v>charles.ribeiro@lfjpsaly.org</v>
      </c>
      <c r="S515" s="1" t="str">
        <f ca="1">IFERROR(__xludf.DUMMYFUNCTION("""COMPUTED_VALUE"""),"+221 76 386 75 26")</f>
        <v>+221 76 386 75 26</v>
      </c>
      <c r="T515" s="1" t="str">
        <f ca="1">IFERROR(__xludf.DUMMYFUNCTION("""COMPUTED_VALUE"""),"RIBEIRO Manuel")</f>
        <v>RIBEIRO Manuel</v>
      </c>
      <c r="U515" s="1" t="str">
        <f ca="1">IFERROR(__xludf.DUMMYFUNCTION("""COMPUTED_VALUE"""),"GUEYE Fatou Fleur")</f>
        <v>GUEYE Fatou Fleur</v>
      </c>
      <c r="V515" s="1" t="str">
        <f ca="1">IFERROR(__xludf.DUMMYFUNCTION("""COMPUTED_VALUE"""),"aquitec33@gmail.com")</f>
        <v>aquitec33@gmail.com</v>
      </c>
      <c r="W515" s="1" t="str">
        <f ca="1">IFERROR(__xludf.DUMMYFUNCTION("""COMPUTED_VALUE"""),"fatoufleur@gmail.com")</f>
        <v>fatoufleur@gmail.com</v>
      </c>
      <c r="X515" s="1" t="str">
        <f ca="1">IFERROR(__xludf.DUMMYFUNCTION("""COMPUTED_VALUE"""),"+221 76 386 75 26")</f>
        <v>+221 76 386 75 26</v>
      </c>
      <c r="Y515" s="1" t="str">
        <f ca="1">IFERROR(__xludf.DUMMYFUNCTION("""COMPUTED_VALUE"""),"+221 77 555 46 61")</f>
        <v>+221 77 555 46 61</v>
      </c>
      <c r="Z515" s="1" t="str">
        <f ca="1">IFERROR(__xludf.DUMMYFUNCTION("""COMPUTED_VALUE"""),"+221 76 386 75 26")</f>
        <v>+221 76 386 75 26</v>
      </c>
      <c r="AA515" s="1"/>
      <c r="AB515" s="2">
        <f ca="1">IFERROR(__xludf.DUMMYFUNCTION("""COMPUTED_VALUE"""),22172)</f>
        <v>22172</v>
      </c>
      <c r="AC515" s="2">
        <f ca="1">IFERROR(__xludf.DUMMYFUNCTION("""COMPUTED_VALUE"""),30645)</f>
        <v>30645</v>
      </c>
      <c r="AD515" s="1" t="str">
        <f ca="1">IFERROR(__xludf.DUMMYFUNCTION("""COMPUTED_VALUE"""),"PERE")</f>
        <v>PERE</v>
      </c>
      <c r="AE515" s="1" t="str">
        <f ca="1">IFERROR(__xludf.DUMMYFUNCTION("""COMPUTED_VALUE"""),"MERE")</f>
        <v>MERE</v>
      </c>
      <c r="AF515" s="1" t="str">
        <f ca="1">IFERROR(__xludf.DUMMYFUNCTION("""COMPUTED_VALUE"""),"FRANCE")</f>
        <v>FRANCE</v>
      </c>
      <c r="AG515" s="1" t="str">
        <f ca="1">IFERROR(__xludf.DUMMYFUNCTION("""COMPUTED_VALUE"""),"SENEGAL")</f>
        <v>SENEGAL</v>
      </c>
      <c r="AH515" s="1"/>
      <c r="AI515" s="1"/>
      <c r="AJ515" s="1" t="str">
        <f ca="1">IFERROR(__xludf.DUMMYFUNCTION("""COMPUTED_VALUE"""),"F1540")</f>
        <v>F1540</v>
      </c>
      <c r="AK515" s="1" t="str">
        <f ca="1">IFERROR(__xludf.DUMMYFUNCTION("""COMPUTED_VALUE"""),"Marié(e)")</f>
        <v>Marié(e)</v>
      </c>
      <c r="AL515" s="1" t="str">
        <f ca="1">IFERROR(__xludf.DUMMYFUNCTION("""COMPUTED_VALUE"""),"Marié(e)")</f>
        <v>Marié(e)</v>
      </c>
      <c r="AM515" s="1" t="str">
        <f ca="1">IFERROR(__xludf.DUMMYFUNCTION("""COMPUTED_VALUE"""),"F1540")</f>
        <v>F1540</v>
      </c>
    </row>
    <row r="516" spans="1:39" ht="13" x14ac:dyDescent="0.15">
      <c r="A516" s="1" t="str">
        <f ca="1">IFERROR(__xludf.DUMMYFUNCTION("""COMPUTED_VALUE"""),"RIQUET Djibril")</f>
        <v>RIQUET Djibril</v>
      </c>
      <c r="B516" s="1" t="str">
        <f ca="1">IFERROR(__xludf.DUMMYFUNCTION("""COMPUTED_VALUE"""),"RIQUET")</f>
        <v>RIQUET</v>
      </c>
      <c r="C516" s="1" t="str">
        <f ca="1">IFERROR(__xludf.DUMMYFUNCTION("""COMPUTED_VALUE"""),"Djibril")</f>
        <v>Djibril</v>
      </c>
      <c r="D516" s="1" t="str">
        <f ca="1">IFERROR(__xludf.DUMMYFUNCTION("""COMPUTED_VALUE"""),"1542E1")</f>
        <v>1542E1</v>
      </c>
      <c r="E516" s="2">
        <f ca="1">IFERROR(__xludf.DUMMYFUNCTION("""COMPUTED_VALUE"""),40340)</f>
        <v>40340</v>
      </c>
      <c r="F516" s="1" t="str">
        <f ca="1">IFERROR(__xludf.DUMMYFUNCTION("""COMPUTED_VALUE"""),"2NDE2")</f>
        <v>2NDE2</v>
      </c>
      <c r="G516" s="1" t="str">
        <f ca="1">IFERROR(__xludf.DUMMYFUNCTION("""COMPUTED_VALUE"""),"2nde")</f>
        <v>2nde</v>
      </c>
      <c r="H516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516" s="1" t="str">
        <f ca="1">IFERROR(__xludf.DUMMYFUNCTION("""COMPUTED_VALUE"""),"LVA Anglais")</f>
        <v>LVA Anglais</v>
      </c>
      <c r="J516" s="1" t="str">
        <f ca="1">IFERROR(__xludf.DUMMYFUNCTION("""COMPUTED_VALUE"""),"LVB Espagnol")</f>
        <v>LVB Espagnol</v>
      </c>
      <c r="K516" s="1"/>
      <c r="L516" s="1"/>
      <c r="M516" s="1"/>
      <c r="N516" s="1" t="str">
        <f ca="1">IFERROR(__xludf.DUMMYFUNCTION("""COMPUTED_VALUE"""),"Garçon")</f>
        <v>Garçon</v>
      </c>
      <c r="O516" s="1"/>
      <c r="P516" s="1" t="str">
        <f ca="1">IFERROR(__xludf.DUMMYFUNCTION("""COMPUTED_VALUE"""),"FRANCE")</f>
        <v>FRANCE</v>
      </c>
      <c r="Q516" s="1" t="str">
        <f ca="1">IFERROR(__xludf.DUMMYFUNCTION("""COMPUTED_VALUE"""),"SENEGAL")</f>
        <v>SENEGAL</v>
      </c>
      <c r="R516" s="1" t="str">
        <f ca="1">IFERROR(__xludf.DUMMYFUNCTION("""COMPUTED_VALUE"""),"djibril.riquet@lfjpsaly.org")</f>
        <v>djibril.riquet@lfjpsaly.org</v>
      </c>
      <c r="S516" s="1" t="str">
        <f ca="1">IFERROR(__xludf.DUMMYFUNCTION("""COMPUTED_VALUE"""),"+221 77 604 11 66")</f>
        <v>+221 77 604 11 66</v>
      </c>
      <c r="T516" s="1" t="str">
        <f ca="1">IFERROR(__xludf.DUMMYFUNCTION("""COMPUTED_VALUE"""),"RIQUET Kine")</f>
        <v>RIQUET Kine</v>
      </c>
      <c r="U516" s="1" t="str">
        <f ca="1">IFERROR(__xludf.DUMMYFUNCTION("""COMPUTED_VALUE"""),"RIQUET Paul")</f>
        <v>RIQUET Paul</v>
      </c>
      <c r="V516" s="1" t="str">
        <f ca="1">IFERROR(__xludf.DUMMYFUNCTION("""COMPUTED_VALUE"""),"riquet.kine@gmail.com")</f>
        <v>riquet.kine@gmail.com</v>
      </c>
      <c r="W516" s="1" t="str">
        <f ca="1">IFERROR(__xludf.DUMMYFUNCTION("""COMPUTED_VALUE"""),"riquet.paul@gmail.com")</f>
        <v>riquet.paul@gmail.com</v>
      </c>
      <c r="X516" s="1" t="str">
        <f ca="1">IFERROR(__xludf.DUMMYFUNCTION("""COMPUTED_VALUE"""),"+221 77 604 11 66")</f>
        <v>+221 77 604 11 66</v>
      </c>
      <c r="Y516" s="1" t="str">
        <f ca="1">IFERROR(__xludf.DUMMYFUNCTION("""COMPUTED_VALUE"""),"+221 77 604 11 66")</f>
        <v>+221 77 604 11 66</v>
      </c>
      <c r="Z516" s="1"/>
      <c r="AA516" s="1"/>
      <c r="AB516" s="2">
        <f ca="1">IFERROR(__xludf.DUMMYFUNCTION("""COMPUTED_VALUE"""),26924)</f>
        <v>26924</v>
      </c>
      <c r="AC516" s="2">
        <f ca="1">IFERROR(__xludf.DUMMYFUNCTION("""COMPUTED_VALUE"""),24852)</f>
        <v>24852</v>
      </c>
      <c r="AD516" s="1" t="str">
        <f ca="1">IFERROR(__xludf.DUMMYFUNCTION("""COMPUTED_VALUE"""),"MERE")</f>
        <v>MERE</v>
      </c>
      <c r="AE516" s="1" t="str">
        <f ca="1">IFERROR(__xludf.DUMMYFUNCTION("""COMPUTED_VALUE"""),"PERE")</f>
        <v>PERE</v>
      </c>
      <c r="AF516" s="1" t="str">
        <f ca="1">IFERROR(__xludf.DUMMYFUNCTION("""COMPUTED_VALUE"""),"SENEGAL")</f>
        <v>SENEGAL</v>
      </c>
      <c r="AG516" s="1" t="str">
        <f ca="1">IFERROR(__xludf.DUMMYFUNCTION("""COMPUTED_VALUE"""),"FRANCE")</f>
        <v>FRANCE</v>
      </c>
      <c r="AH516" s="1"/>
      <c r="AI516" s="1"/>
      <c r="AJ516" s="1" t="str">
        <f ca="1">IFERROR(__xludf.DUMMYFUNCTION("""COMPUTED_VALUE"""),"F1542")</f>
        <v>F1542</v>
      </c>
      <c r="AK516" s="1" t="str">
        <f ca="1">IFERROR(__xludf.DUMMYFUNCTION("""COMPUTED_VALUE"""),"Marié(e)")</f>
        <v>Marié(e)</v>
      </c>
      <c r="AL516" s="1" t="str">
        <f ca="1">IFERROR(__xludf.DUMMYFUNCTION("""COMPUTED_VALUE"""),"Marié(e)")</f>
        <v>Marié(e)</v>
      </c>
      <c r="AM516" s="1" t="str">
        <f ca="1">IFERROR(__xludf.DUMMYFUNCTION("""COMPUTED_VALUE"""),"F1542")</f>
        <v>F1542</v>
      </c>
    </row>
    <row r="517" spans="1:39" ht="13" x14ac:dyDescent="0.15">
      <c r="A517" s="1" t="str">
        <f ca="1">IFERROR(__xludf.DUMMYFUNCTION("""COMPUTED_VALUE"""),"RISPAL Charlie")</f>
        <v>RISPAL Charlie</v>
      </c>
      <c r="B517" s="1" t="str">
        <f ca="1">IFERROR(__xludf.DUMMYFUNCTION("""COMPUTED_VALUE"""),"RISPAL")</f>
        <v>RISPAL</v>
      </c>
      <c r="C517" s="1" t="str">
        <f ca="1">IFERROR(__xludf.DUMMYFUNCTION("""COMPUTED_VALUE"""),"Charlie")</f>
        <v>Charlie</v>
      </c>
      <c r="D517" s="1" t="str">
        <f ca="1">IFERROR(__xludf.DUMMYFUNCTION("""COMPUTED_VALUE"""),"1543E1")</f>
        <v>1543E1</v>
      </c>
      <c r="E517" s="2">
        <f ca="1">IFERROR(__xludf.DUMMYFUNCTION("""COMPUTED_VALUE"""),39714)</f>
        <v>39714</v>
      </c>
      <c r="F517" s="1" t="str">
        <f ca="1">IFERROR(__xludf.DUMMYFUNCTION("""COMPUTED_VALUE"""),"TERMINALE1")</f>
        <v>TERMINALE1</v>
      </c>
      <c r="G517" s="1" t="str">
        <f ca="1">IFERROR(__xludf.DUMMYFUNCTION("""COMPUTED_VALUE"""),"Terminale")</f>
        <v>Terminale</v>
      </c>
      <c r="H517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517" s="1" t="str">
        <f ca="1">IFERROR(__xludf.DUMMYFUNCTION("""COMPUTED_VALUE"""),"LVA Anglais")</f>
        <v>LVA Anglais</v>
      </c>
      <c r="J517" s="1" t="str">
        <f ca="1">IFERROR(__xludf.DUMMYFUNCTION("""COMPUTED_VALUE"""),"LVB Espagnol")</f>
        <v>LVB Espagnol</v>
      </c>
      <c r="K517" s="1"/>
      <c r="L517" s="1"/>
      <c r="M517" s="1" t="str">
        <f ca="1">IFERROR(__xludf.DUMMYFUNCTION("""COMPUTED_VALUE"""),"SPE SPC, SPE SVT")</f>
        <v>SPE SPC, SPE SVT</v>
      </c>
      <c r="N517" s="1" t="str">
        <f ca="1">IFERROR(__xludf.DUMMYFUNCTION("""COMPUTED_VALUE"""),"Fille")</f>
        <v>Fille</v>
      </c>
      <c r="O517" s="1"/>
      <c r="P517" s="1" t="str">
        <f ca="1">IFERROR(__xludf.DUMMYFUNCTION("""COMPUTED_VALUE"""),"FRANCE")</f>
        <v>FRANCE</v>
      </c>
      <c r="Q517" s="1"/>
      <c r="R517" s="1" t="str">
        <f ca="1">IFERROR(__xludf.DUMMYFUNCTION("""COMPUTED_VALUE"""),"charlieloujane.rispal@lfjpsaly.org")</f>
        <v>charlieloujane.rispal@lfjpsaly.org</v>
      </c>
      <c r="S517" s="1"/>
      <c r="T517" s="1" t="str">
        <f ca="1">IFERROR(__xludf.DUMMYFUNCTION("""COMPUTED_VALUE"""),"RISPAL Gaëlle Kathy")</f>
        <v>RISPAL Gaëlle Kathy</v>
      </c>
      <c r="U517" s="1" t="str">
        <f ca="1">IFERROR(__xludf.DUMMYFUNCTION("""COMPUTED_VALUE"""),"RISPAL Sébastien Marie Jean-Yves")</f>
        <v>RISPAL Sébastien Marie Jean-Yves</v>
      </c>
      <c r="V517" s="1" t="str">
        <f ca="1">IFERROR(__xludf.DUMMYFUNCTION("""COMPUTED_VALUE"""),"gaelledkr@gmail.com")</f>
        <v>gaelledkr@gmail.com</v>
      </c>
      <c r="W517" s="1" t="str">
        <f ca="1">IFERROR(__xludf.DUMMYFUNCTION("""COMPUTED_VALUE"""),"sebrispal@hotmail.com")</f>
        <v>sebrispal@hotmail.com</v>
      </c>
      <c r="X517" s="1" t="str">
        <f ca="1">IFERROR(__xludf.DUMMYFUNCTION("""COMPUTED_VALUE"""),"+221 77 639 23 51")</f>
        <v>+221 77 639 23 51</v>
      </c>
      <c r="Y517" s="1" t="str">
        <f ca="1">IFERROR(__xludf.DUMMYFUNCTION("""COMPUTED_VALUE"""),"+221 33 820 65 54")</f>
        <v>+221 33 820 65 54</v>
      </c>
      <c r="Z517" s="1"/>
      <c r="AA517" s="1"/>
      <c r="AB517" s="2">
        <f ca="1">IFERROR(__xludf.DUMMYFUNCTION("""COMPUTED_VALUE"""),27175)</f>
        <v>27175</v>
      </c>
      <c r="AC517" s="2">
        <f ca="1">IFERROR(__xludf.DUMMYFUNCTION("""COMPUTED_VALUE"""),27226)</f>
        <v>27226</v>
      </c>
      <c r="AD517" s="1" t="str">
        <f ca="1">IFERROR(__xludf.DUMMYFUNCTION("""COMPUTED_VALUE"""),"MERE")</f>
        <v>MERE</v>
      </c>
      <c r="AE517" s="1" t="str">
        <f ca="1">IFERROR(__xludf.DUMMYFUNCTION("""COMPUTED_VALUE"""),"PERE")</f>
        <v>PERE</v>
      </c>
      <c r="AF517" s="1" t="str">
        <f ca="1">IFERROR(__xludf.DUMMYFUNCTION("""COMPUTED_VALUE"""),"FRANCE")</f>
        <v>FRANCE</v>
      </c>
      <c r="AG517" s="1" t="str">
        <f ca="1">IFERROR(__xludf.DUMMYFUNCTION("""COMPUTED_VALUE"""),"FRANCE")</f>
        <v>FRANCE</v>
      </c>
      <c r="AH517" s="1"/>
      <c r="AI517" s="1"/>
      <c r="AJ517" s="1" t="str">
        <f ca="1">IFERROR(__xludf.DUMMYFUNCTION("""COMPUTED_VALUE"""),"F1543")</f>
        <v>F1543</v>
      </c>
      <c r="AK517" s="1" t="str">
        <f ca="1">IFERROR(__xludf.DUMMYFUNCTION("""COMPUTED_VALUE"""),"Marié(e)")</f>
        <v>Marié(e)</v>
      </c>
      <c r="AL517" s="1" t="str">
        <f ca="1">IFERROR(__xludf.DUMMYFUNCTION("""COMPUTED_VALUE"""),"Marié(e)")</f>
        <v>Marié(e)</v>
      </c>
      <c r="AM517" s="1" t="str">
        <f ca="1">IFERROR(__xludf.DUMMYFUNCTION("""COMPUTED_VALUE"""),"F1543")</f>
        <v>F1543</v>
      </c>
    </row>
    <row r="518" spans="1:39" ht="13" x14ac:dyDescent="0.15">
      <c r="A518" s="1" t="str">
        <f ca="1">IFERROR(__xludf.DUMMYFUNCTION("""COMPUTED_VALUE"""),"ROBERT Inaya")</f>
        <v>ROBERT Inaya</v>
      </c>
      <c r="B518" s="1" t="str">
        <f ca="1">IFERROR(__xludf.DUMMYFUNCTION("""COMPUTED_VALUE"""),"ROBERT")</f>
        <v>ROBERT</v>
      </c>
      <c r="C518" s="1" t="str">
        <f ca="1">IFERROR(__xludf.DUMMYFUNCTION("""COMPUTED_VALUE"""),"Inaya")</f>
        <v>Inaya</v>
      </c>
      <c r="D518" s="1" t="str">
        <f ca="1">IFERROR(__xludf.DUMMYFUNCTION("""COMPUTED_VALUE"""),"11676S2280")</f>
        <v>11676S2280</v>
      </c>
      <c r="E518" s="2">
        <f ca="1">IFERROR(__xludf.DUMMYFUNCTION("""COMPUTED_VALUE"""),43559)</f>
        <v>43559</v>
      </c>
      <c r="F518" s="1" t="str">
        <f ca="1">IFERROR(__xludf.DUMMYFUNCTION("""COMPUTED_VALUE"""),"CP")</f>
        <v>CP</v>
      </c>
      <c r="G518" s="1" t="str">
        <f ca="1">IFERROR(__xludf.DUMMYFUNCTION("""COMPUTED_VALUE"""),"CP")</f>
        <v>CP</v>
      </c>
      <c r="H518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518" s="1"/>
      <c r="J518" s="1"/>
      <c r="K518" s="1"/>
      <c r="L518" s="1"/>
      <c r="M518" s="1"/>
      <c r="N518" s="1" t="str">
        <f ca="1">IFERROR(__xludf.DUMMYFUNCTION("""COMPUTED_VALUE"""),"Fille")</f>
        <v>Fille</v>
      </c>
      <c r="O518" s="1"/>
      <c r="P518" s="1" t="str">
        <f ca="1">IFERROR(__xludf.DUMMYFUNCTION("""COMPUTED_VALUE"""),"FRANCE")</f>
        <v>FRANCE</v>
      </c>
      <c r="Q518" s="1"/>
      <c r="R518" s="1"/>
      <c r="S518" s="1" t="str">
        <f ca="1">IFERROR(__xludf.DUMMYFUNCTION("""COMPUTED_VALUE"""),"+221")</f>
        <v>+221</v>
      </c>
      <c r="T518" s="1" t="str">
        <f ca="1">IFERROR(__xludf.DUMMYFUNCTION("""COMPUTED_VALUE"""),"N'DIAYE Kadi")</f>
        <v>N'DIAYE Kadi</v>
      </c>
      <c r="U518" s="1" t="str">
        <f ca="1">IFERROR(__xludf.DUMMYFUNCTION("""COMPUTED_VALUE"""),"ROBERT Nicolas")</f>
        <v>ROBERT Nicolas</v>
      </c>
      <c r="V518" s="1" t="str">
        <f ca="1">IFERROR(__xludf.DUMMYFUNCTION("""COMPUTED_VALUE"""),"kaynakanika@hotmail.fr")</f>
        <v>kaynakanika@hotmail.fr</v>
      </c>
      <c r="W518" s="1" t="str">
        <f ca="1">IFERROR(__xludf.DUMMYFUNCTION("""COMPUTED_VALUE"""),"roronic@gmail.com")</f>
        <v>roronic@gmail.com</v>
      </c>
      <c r="X518" s="1" t="str">
        <f ca="1">IFERROR(__xludf.DUMMYFUNCTION("""COMPUTED_VALUE"""),"+221 77 283 52 32")</f>
        <v>+221 77 283 52 32</v>
      </c>
      <c r="Y518" s="1" t="str">
        <f ca="1">IFERROR(__xludf.DUMMYFUNCTION("""COMPUTED_VALUE"""),"+33 6 19 28 14 36")</f>
        <v>+33 6 19 28 14 36</v>
      </c>
      <c r="Z518" s="1" t="str">
        <f ca="1">IFERROR(__xludf.DUMMYFUNCTION("""COMPUTED_VALUE"""),"+33 6 19 28 14 36")</f>
        <v>+33 6 19 28 14 36</v>
      </c>
      <c r="AA518" s="1" t="str">
        <f ca="1">IFERROR(__xludf.DUMMYFUNCTION("""COMPUTED_VALUE"""),"+1268788744283")</f>
        <v>+1268788744283</v>
      </c>
      <c r="AB518" s="2">
        <f ca="1">IFERROR(__xludf.DUMMYFUNCTION("""COMPUTED_VALUE"""),30468)</f>
        <v>30468</v>
      </c>
      <c r="AC518" s="2">
        <f ca="1">IFERROR(__xludf.DUMMYFUNCTION("""COMPUTED_VALUE"""),33207)</f>
        <v>33207</v>
      </c>
      <c r="AD518" s="1" t="str">
        <f ca="1">IFERROR(__xludf.DUMMYFUNCTION("""COMPUTED_VALUE"""),"MERE")</f>
        <v>MERE</v>
      </c>
      <c r="AE518" s="1" t="str">
        <f ca="1">IFERROR(__xludf.DUMMYFUNCTION("""COMPUTED_VALUE"""),"PERE")</f>
        <v>PERE</v>
      </c>
      <c r="AF518" s="1" t="str">
        <f ca="1">IFERROR(__xludf.DUMMYFUNCTION("""COMPUTED_VALUE"""),"FRANCE")</f>
        <v>FRANCE</v>
      </c>
      <c r="AG518" s="1" t="str">
        <f ca="1">IFERROR(__xludf.DUMMYFUNCTION("""COMPUTED_VALUE"""),"FRANCE")</f>
        <v>FRANCE</v>
      </c>
      <c r="AH518" s="1"/>
      <c r="AI518" s="1"/>
      <c r="AJ518" s="1" t="str">
        <f ca="1">IFERROR(__xludf.DUMMYFUNCTION("""COMPUTED_VALUE"""),"U11676")</f>
        <v>U11676</v>
      </c>
      <c r="AK518" s="1" t="str">
        <f ca="1">IFERROR(__xludf.DUMMYFUNCTION("""COMPUTED_VALUE"""),"CONCUBINAGE")</f>
        <v>CONCUBINAGE</v>
      </c>
      <c r="AL518" s="1" t="str">
        <f ca="1">IFERROR(__xludf.DUMMYFUNCTION("""COMPUTED_VALUE"""),"CONCUBINAGE")</f>
        <v>CONCUBINAGE</v>
      </c>
      <c r="AM518" s="1" t="str">
        <f ca="1">IFERROR(__xludf.DUMMYFUNCTION("""COMPUTED_VALUE"""),"U11676")</f>
        <v>U11676</v>
      </c>
    </row>
    <row r="519" spans="1:39" ht="13" x14ac:dyDescent="0.15">
      <c r="A519" s="1" t="str">
        <f ca="1">IFERROR(__xludf.DUMMYFUNCTION("""COMPUTED_VALUE"""),"ROBISON Eliana")</f>
        <v>ROBISON Eliana</v>
      </c>
      <c r="B519" s="1" t="str">
        <f ca="1">IFERROR(__xludf.DUMMYFUNCTION("""COMPUTED_VALUE"""),"ROBISON")</f>
        <v>ROBISON</v>
      </c>
      <c r="C519" s="1" t="str">
        <f ca="1">IFERROR(__xludf.DUMMYFUNCTION("""COMPUTED_VALUE"""),"Eliana")</f>
        <v>Eliana</v>
      </c>
      <c r="D519" s="1" t="str">
        <f ca="1">IFERROR(__xludf.DUMMYFUNCTION("""COMPUTED_VALUE"""),"1544E1")</f>
        <v>1544E1</v>
      </c>
      <c r="E519" s="2">
        <f ca="1">IFERROR(__xludf.DUMMYFUNCTION("""COMPUTED_VALUE"""),44099)</f>
        <v>44099</v>
      </c>
      <c r="F519" s="1" t="str">
        <f ca="1">IFERROR(__xludf.DUMMYFUNCTION("""COMPUTED_VALUE"""),"Mat 2")</f>
        <v>Mat 2</v>
      </c>
      <c r="G519" s="1" t="str">
        <f ca="1">IFERROR(__xludf.DUMMYFUNCTION("""COMPUTED_VALUE"""),"GS")</f>
        <v>GS</v>
      </c>
      <c r="H519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519" s="1"/>
      <c r="J519" s="1"/>
      <c r="K519" s="1"/>
      <c r="L519" s="1"/>
      <c r="M519" s="1"/>
      <c r="N519" s="1" t="str">
        <f ca="1">IFERROR(__xludf.DUMMYFUNCTION("""COMPUTED_VALUE"""),"Fille")</f>
        <v>Fille</v>
      </c>
      <c r="O519" s="1"/>
      <c r="P519" s="1" t="str">
        <f ca="1">IFERROR(__xludf.DUMMYFUNCTION("""COMPUTED_VALUE"""),"ETATS-UNIS")</f>
        <v>ETATS-UNIS</v>
      </c>
      <c r="Q519" s="1"/>
      <c r="R519" s="1"/>
      <c r="S519" s="1" t="str">
        <f ca="1">IFERROR(__xludf.DUMMYFUNCTION("""COMPUTED_VALUE"""),"+221")</f>
        <v>+221</v>
      </c>
      <c r="T519" s="1" t="str">
        <f ca="1">IFERROR(__xludf.DUMMYFUNCTION("""COMPUTED_VALUE"""),"ROBISON Parker")</f>
        <v>ROBISON Parker</v>
      </c>
      <c r="U519" s="1" t="str">
        <f ca="1">IFERROR(__xludf.DUMMYFUNCTION("""COMPUTED_VALUE"""),"ROBISON Emily")</f>
        <v>ROBISON Emily</v>
      </c>
      <c r="V519" s="1" t="str">
        <f ca="1">IFERROR(__xludf.DUMMYFUNCTION("""COMPUTED_VALUE"""),"parkerwrobison@gmail.com")</f>
        <v>parkerwrobison@gmail.com</v>
      </c>
      <c r="W519" s="1" t="str">
        <f ca="1">IFERROR(__xludf.DUMMYFUNCTION("""COMPUTED_VALUE"""),"emilyerobison1@gmail.com")</f>
        <v>emilyerobison1@gmail.com</v>
      </c>
      <c r="X519" s="1" t="str">
        <f ca="1">IFERROR(__xludf.DUMMYFUNCTION("""COMPUTED_VALUE"""),"+221 77 489 37 56")</f>
        <v>+221 77 489 37 56</v>
      </c>
      <c r="Y519" s="1" t="str">
        <f ca="1">IFERROR(__xludf.DUMMYFUNCTION("""COMPUTED_VALUE"""),"+221 78 962 47 29")</f>
        <v>+221 78 962 47 29</v>
      </c>
      <c r="Z519" s="1" t="str">
        <f ca="1">IFERROR(__xludf.DUMMYFUNCTION("""COMPUTED_VALUE"""),"+221")</f>
        <v>+221</v>
      </c>
      <c r="AA519" s="1" t="str">
        <f ca="1">IFERROR(__xludf.DUMMYFUNCTION("""COMPUTED_VALUE"""),"+221")</f>
        <v>+221</v>
      </c>
      <c r="AB519" s="2">
        <f ca="1">IFERROR(__xludf.DUMMYFUNCTION("""COMPUTED_VALUE"""),33657)</f>
        <v>33657</v>
      </c>
      <c r="AC519" s="2">
        <f ca="1">IFERROR(__xludf.DUMMYFUNCTION("""COMPUTED_VALUE"""),33458)</f>
        <v>33458</v>
      </c>
      <c r="AD519" s="1" t="str">
        <f ca="1">IFERROR(__xludf.DUMMYFUNCTION("""COMPUTED_VALUE"""),"PERE")</f>
        <v>PERE</v>
      </c>
      <c r="AE519" s="1" t="str">
        <f ca="1">IFERROR(__xludf.DUMMYFUNCTION("""COMPUTED_VALUE"""),"MERE")</f>
        <v>MERE</v>
      </c>
      <c r="AF519" s="1" t="str">
        <f ca="1">IFERROR(__xludf.DUMMYFUNCTION("""COMPUTED_VALUE"""),"ETATS-UNIS")</f>
        <v>ETATS-UNIS</v>
      </c>
      <c r="AG519" s="1" t="str">
        <f ca="1">IFERROR(__xludf.DUMMYFUNCTION("""COMPUTED_VALUE"""),"ETATS-UNIS")</f>
        <v>ETATS-UNIS</v>
      </c>
      <c r="AH519" s="1"/>
      <c r="AI519" s="1"/>
      <c r="AJ519" s="1" t="str">
        <f ca="1">IFERROR(__xludf.DUMMYFUNCTION("""COMPUTED_VALUE"""),"F1544")</f>
        <v>F1544</v>
      </c>
      <c r="AK519" s="1" t="str">
        <f ca="1">IFERROR(__xludf.DUMMYFUNCTION("""COMPUTED_VALUE"""),"Marié(e)")</f>
        <v>Marié(e)</v>
      </c>
      <c r="AL519" s="1" t="str">
        <f ca="1">IFERROR(__xludf.DUMMYFUNCTION("""COMPUTED_VALUE"""),"Marié(e)")</f>
        <v>Marié(e)</v>
      </c>
      <c r="AM519" s="1" t="str">
        <f ca="1">IFERROR(__xludf.DUMMYFUNCTION("""COMPUTED_VALUE"""),"F1544")</f>
        <v>F1544</v>
      </c>
    </row>
    <row r="520" spans="1:39" ht="13" x14ac:dyDescent="0.15">
      <c r="A520" s="1" t="str">
        <f ca="1">IFERROR(__xludf.DUMMYFUNCTION("""COMPUTED_VALUE"""),"ROBISON Noah")</f>
        <v>ROBISON Noah</v>
      </c>
      <c r="B520" s="1" t="str">
        <f ca="1">IFERROR(__xludf.DUMMYFUNCTION("""COMPUTED_VALUE"""),"ROBISON")</f>
        <v>ROBISON</v>
      </c>
      <c r="C520" s="1" t="str">
        <f ca="1">IFERROR(__xludf.DUMMYFUNCTION("""COMPUTED_VALUE"""),"Noah")</f>
        <v>Noah</v>
      </c>
      <c r="D520" s="1" t="str">
        <f ca="1">IFERROR(__xludf.DUMMYFUNCTION("""COMPUTED_VALUE"""),"11497S2851")</f>
        <v>11497S2851</v>
      </c>
      <c r="E520" s="2">
        <f ca="1">IFERROR(__xludf.DUMMYFUNCTION("""COMPUTED_VALUE"""),44838)</f>
        <v>44838</v>
      </c>
      <c r="F520" s="1" t="str">
        <f ca="1">IFERROR(__xludf.DUMMYFUNCTION("""COMPUTED_VALUE"""),"Mat 1")</f>
        <v>Mat 1</v>
      </c>
      <c r="G520" s="1" t="str">
        <f ca="1">IFERROR(__xludf.DUMMYFUNCTION("""COMPUTED_VALUE"""),"PS")</f>
        <v>PS</v>
      </c>
      <c r="H520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520" s="1"/>
      <c r="J520" s="1"/>
      <c r="K520" s="1"/>
      <c r="L520" s="1"/>
      <c r="M520" s="1"/>
      <c r="N520" s="1" t="str">
        <f ca="1">IFERROR(__xludf.DUMMYFUNCTION("""COMPUTED_VALUE"""),"Garçon")</f>
        <v>Garçon</v>
      </c>
      <c r="O520" s="1"/>
      <c r="P520" s="1" t="str">
        <f ca="1">IFERROR(__xludf.DUMMYFUNCTION("""COMPUTED_VALUE"""),"ETATS-UNIS")</f>
        <v>ETATS-UNIS</v>
      </c>
      <c r="Q520" s="1"/>
      <c r="R520" s="1"/>
      <c r="S520" s="1" t="str">
        <f ca="1">IFERROR(__xludf.DUMMYFUNCTION("""COMPUTED_VALUE"""),"+221")</f>
        <v>+221</v>
      </c>
      <c r="T520" s="1" t="str">
        <f ca="1">IFERROR(__xludf.DUMMYFUNCTION("""COMPUTED_VALUE"""),"ROBISON Parker")</f>
        <v>ROBISON Parker</v>
      </c>
      <c r="U520" s="1" t="str">
        <f ca="1">IFERROR(__xludf.DUMMYFUNCTION("""COMPUTED_VALUE"""),"ROBISON Emily")</f>
        <v>ROBISON Emily</v>
      </c>
      <c r="V520" s="1" t="str">
        <f ca="1">IFERROR(__xludf.DUMMYFUNCTION("""COMPUTED_VALUE"""),"parkerwrobison@gmail.com")</f>
        <v>parkerwrobison@gmail.com</v>
      </c>
      <c r="W520" s="1" t="str">
        <f ca="1">IFERROR(__xludf.DUMMYFUNCTION("""COMPUTED_VALUE"""),"emilyerobison1@gmail.com")</f>
        <v>emilyerobison1@gmail.com</v>
      </c>
      <c r="X520" s="1" t="str">
        <f ca="1">IFERROR(__xludf.DUMMYFUNCTION("""COMPUTED_VALUE"""),"+221 77 489 37 56")</f>
        <v>+221 77 489 37 56</v>
      </c>
      <c r="Y520" s="1" t="str">
        <f ca="1">IFERROR(__xludf.DUMMYFUNCTION("""COMPUTED_VALUE"""),"+221 78 962 47 29")</f>
        <v>+221 78 962 47 29</v>
      </c>
      <c r="Z520" s="1" t="str">
        <f ca="1">IFERROR(__xludf.DUMMYFUNCTION("""COMPUTED_VALUE"""),"+221")</f>
        <v>+221</v>
      </c>
      <c r="AA520" s="1" t="str">
        <f ca="1">IFERROR(__xludf.DUMMYFUNCTION("""COMPUTED_VALUE"""),"+221")</f>
        <v>+221</v>
      </c>
      <c r="AB520" s="2">
        <f ca="1">IFERROR(__xludf.DUMMYFUNCTION("""COMPUTED_VALUE"""),33657)</f>
        <v>33657</v>
      </c>
      <c r="AC520" s="2">
        <f ca="1">IFERROR(__xludf.DUMMYFUNCTION("""COMPUTED_VALUE"""),33458)</f>
        <v>33458</v>
      </c>
      <c r="AD520" s="1" t="str">
        <f ca="1">IFERROR(__xludf.DUMMYFUNCTION("""COMPUTED_VALUE"""),"PERE")</f>
        <v>PERE</v>
      </c>
      <c r="AE520" s="1" t="str">
        <f ca="1">IFERROR(__xludf.DUMMYFUNCTION("""COMPUTED_VALUE"""),"MERE")</f>
        <v>MERE</v>
      </c>
      <c r="AF520" s="1" t="str">
        <f ca="1">IFERROR(__xludf.DUMMYFUNCTION("""COMPUTED_VALUE"""),"ETATS-UNIS")</f>
        <v>ETATS-UNIS</v>
      </c>
      <c r="AG520" s="1" t="str">
        <f ca="1">IFERROR(__xludf.DUMMYFUNCTION("""COMPUTED_VALUE"""),"ETATS-UNIS")</f>
        <v>ETATS-UNIS</v>
      </c>
      <c r="AH520" s="1"/>
      <c r="AI520" s="1"/>
      <c r="AJ520" s="1" t="str">
        <f ca="1">IFERROR(__xludf.DUMMYFUNCTION("""COMPUTED_VALUE"""),"F1544")</f>
        <v>F1544</v>
      </c>
      <c r="AK520" s="1" t="str">
        <f ca="1">IFERROR(__xludf.DUMMYFUNCTION("""COMPUTED_VALUE"""),"Marié(e)")</f>
        <v>Marié(e)</v>
      </c>
      <c r="AL520" s="1" t="str">
        <f ca="1">IFERROR(__xludf.DUMMYFUNCTION("""COMPUTED_VALUE"""),"Marié(e)")</f>
        <v>Marié(e)</v>
      </c>
      <c r="AM520" s="1" t="str">
        <f ca="1">IFERROR(__xludf.DUMMYFUNCTION("""COMPUTED_VALUE"""),"F1544")</f>
        <v>F1544</v>
      </c>
    </row>
    <row r="521" spans="1:39" ht="13" x14ac:dyDescent="0.15">
      <c r="A521" s="1" t="str">
        <f ca="1">IFERROR(__xludf.DUMMYFUNCTION("""COMPUTED_VALUE"""),"RODRIGUEZ Melian")</f>
        <v>RODRIGUEZ Melian</v>
      </c>
      <c r="B521" s="1" t="str">
        <f ca="1">IFERROR(__xludf.DUMMYFUNCTION("""COMPUTED_VALUE"""),"RODRIGUEZ")</f>
        <v>RODRIGUEZ</v>
      </c>
      <c r="C521" s="1" t="str">
        <f ca="1">IFERROR(__xludf.DUMMYFUNCTION("""COMPUTED_VALUE"""),"Melian")</f>
        <v>Melian</v>
      </c>
      <c r="D521" s="1" t="str">
        <f ca="1">IFERROR(__xludf.DUMMYFUNCTION("""COMPUTED_VALUE"""),"1545E1")</f>
        <v>1545E1</v>
      </c>
      <c r="E521" s="2">
        <f ca="1">IFERROR(__xludf.DUMMYFUNCTION("""COMPUTED_VALUE"""),42164)</f>
        <v>42164</v>
      </c>
      <c r="F521" s="1" t="str">
        <f ca="1">IFERROR(__xludf.DUMMYFUNCTION("""COMPUTED_VALUE"""),"CM2B")</f>
        <v>CM2B</v>
      </c>
      <c r="G521" s="1" t="str">
        <f ca="1">IFERROR(__xludf.DUMMYFUNCTION("""COMPUTED_VALUE"""),"CM2")</f>
        <v>CM2</v>
      </c>
      <c r="H521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521" s="1"/>
      <c r="J521" s="1"/>
      <c r="K521" s="1"/>
      <c r="L521" s="1"/>
      <c r="M521" s="1"/>
      <c r="N521" s="1" t="str">
        <f ca="1">IFERROR(__xludf.DUMMYFUNCTION("""COMPUTED_VALUE"""),"Garçon")</f>
        <v>Garçon</v>
      </c>
      <c r="O521" s="1"/>
      <c r="P521" s="1" t="str">
        <f ca="1">IFERROR(__xludf.DUMMYFUNCTION("""COMPUTED_VALUE"""),"FRANCE")</f>
        <v>FRANCE</v>
      </c>
      <c r="Q521" s="1" t="str">
        <f ca="1">IFERROR(__xludf.DUMMYFUNCTION("""COMPUTED_VALUE"""),"ESPAGNE")</f>
        <v>ESPAGNE</v>
      </c>
      <c r="R521" s="1"/>
      <c r="S521" s="1" t="str">
        <f ca="1">IFERROR(__xludf.DUMMYFUNCTION("""COMPUTED_VALUE"""),"+221 76 405 12 91")</f>
        <v>+221 76 405 12 91</v>
      </c>
      <c r="T521" s="1" t="str">
        <f ca="1">IFERROR(__xludf.DUMMYFUNCTION("""COMPUTED_VALUE"""),"RODRIGUEZ Sebastien")</f>
        <v>RODRIGUEZ Sebastien</v>
      </c>
      <c r="U521" s="1" t="str">
        <f ca="1">IFERROR(__xludf.DUMMYFUNCTION("""COMPUTED_VALUE"""),"DECROZE Melissa")</f>
        <v>DECROZE Melissa</v>
      </c>
      <c r="V521" s="1" t="str">
        <f ca="1">IFERROR(__xludf.DUMMYFUNCTION("""COMPUTED_VALUE"""),"sebastien.rodriguezartigas@gmail.com")</f>
        <v>sebastien.rodriguezartigas@gmail.com</v>
      </c>
      <c r="W521" s="1" t="str">
        <f ca="1">IFERROR(__xludf.DUMMYFUNCTION("""COMPUTED_VALUE"""),"melissa.decroze@gmail.com")</f>
        <v>melissa.decroze@gmail.com</v>
      </c>
      <c r="X521" s="1" t="str">
        <f ca="1">IFERROR(__xludf.DUMMYFUNCTION("""COMPUTED_VALUE"""),"+221 78 107 41 77")</f>
        <v>+221 78 107 41 77</v>
      </c>
      <c r="Y521" s="1" t="str">
        <f ca="1">IFERROR(__xludf.DUMMYFUNCTION("""COMPUTED_VALUE"""),"+221 76 968 62 93")</f>
        <v>+221 76 968 62 93</v>
      </c>
      <c r="Z521" s="1" t="str">
        <f ca="1">IFERROR(__xludf.DUMMYFUNCTION("""COMPUTED_VALUE"""),"+221 77 720 21 64")</f>
        <v>+221 77 720 21 64</v>
      </c>
      <c r="AA521" s="1" t="str">
        <f ca="1">IFERROR(__xludf.DUMMYFUNCTION("""COMPUTED_VALUE"""),"+221 76 152 95 45")</f>
        <v>+221 76 152 95 45</v>
      </c>
      <c r="AB521" s="2">
        <f ca="1">IFERROR(__xludf.DUMMYFUNCTION("""COMPUTED_VALUE"""),32065)</f>
        <v>32065</v>
      </c>
      <c r="AC521" s="2">
        <f ca="1">IFERROR(__xludf.DUMMYFUNCTION("""COMPUTED_VALUE"""),32065)</f>
        <v>32065</v>
      </c>
      <c r="AD521" s="1" t="str">
        <f ca="1">IFERROR(__xludf.DUMMYFUNCTION("""COMPUTED_VALUE"""),"PERE")</f>
        <v>PERE</v>
      </c>
      <c r="AE521" s="1" t="str">
        <f ca="1">IFERROR(__xludf.DUMMYFUNCTION("""COMPUTED_VALUE"""),"MERE")</f>
        <v>MERE</v>
      </c>
      <c r="AF521" s="1" t="str">
        <f ca="1">IFERROR(__xludf.DUMMYFUNCTION("""COMPUTED_VALUE"""),"FRANCE")</f>
        <v>FRANCE</v>
      </c>
      <c r="AG521" s="1" t="str">
        <f ca="1">IFERROR(__xludf.DUMMYFUNCTION("""COMPUTED_VALUE"""),"FRANCE")</f>
        <v>FRANCE</v>
      </c>
      <c r="AH521" s="1" t="str">
        <f ca="1">IFERROR(__xludf.DUMMYFUNCTION("""COMPUTED_VALUE"""),"ESPAGNE")</f>
        <v>ESPAGNE</v>
      </c>
      <c r="AI521" s="1"/>
      <c r="AJ521" s="1" t="str">
        <f ca="1">IFERROR(__xludf.DUMMYFUNCTION("""COMPUTED_VALUE"""),"F1545")</f>
        <v>F1545</v>
      </c>
      <c r="AK521" s="1" t="str">
        <f ca="1">IFERROR(__xludf.DUMMYFUNCTION("""COMPUTED_VALUE"""),"Marié(e)")</f>
        <v>Marié(e)</v>
      </c>
      <c r="AL521" s="1" t="str">
        <f ca="1">IFERROR(__xludf.DUMMYFUNCTION("""COMPUTED_VALUE"""),"Marié(e)")</f>
        <v>Marié(e)</v>
      </c>
      <c r="AM521" s="1" t="str">
        <f ca="1">IFERROR(__xludf.DUMMYFUNCTION("""COMPUTED_VALUE"""),"F1545")</f>
        <v>F1545</v>
      </c>
    </row>
    <row r="522" spans="1:39" ht="13" x14ac:dyDescent="0.15">
      <c r="A522" s="1" t="str">
        <f ca="1">IFERROR(__xludf.DUMMYFUNCTION("""COMPUTED_VALUE"""),"RODRIGUEZ Mio")</f>
        <v>RODRIGUEZ Mio</v>
      </c>
      <c r="B522" s="1" t="str">
        <f ca="1">IFERROR(__xludf.DUMMYFUNCTION("""COMPUTED_VALUE"""),"RODRIGUEZ")</f>
        <v>RODRIGUEZ</v>
      </c>
      <c r="C522" s="1" t="str">
        <f ca="1">IFERROR(__xludf.DUMMYFUNCTION("""COMPUTED_VALUE"""),"Mio")</f>
        <v>Mio</v>
      </c>
      <c r="D522" s="1" t="str">
        <f ca="1">IFERROR(__xludf.DUMMYFUNCTION("""COMPUTED_VALUE"""),"1545E2")</f>
        <v>1545E2</v>
      </c>
      <c r="E522" s="2">
        <f ca="1">IFERROR(__xludf.DUMMYFUNCTION("""COMPUTED_VALUE"""),42835)</f>
        <v>42835</v>
      </c>
      <c r="F522" s="1" t="str">
        <f ca="1">IFERROR(__xludf.DUMMYFUNCTION("""COMPUTED_VALUE"""),"CM1A")</f>
        <v>CM1A</v>
      </c>
      <c r="G522" s="1" t="str">
        <f ca="1">IFERROR(__xludf.DUMMYFUNCTION("""COMPUTED_VALUE"""),"CM1")</f>
        <v>CM1</v>
      </c>
      <c r="H522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522" s="1"/>
      <c r="J522" s="1"/>
      <c r="K522" s="1"/>
      <c r="L522" s="1"/>
      <c r="M522" s="1"/>
      <c r="N522" s="1" t="str">
        <f ca="1">IFERROR(__xludf.DUMMYFUNCTION("""COMPUTED_VALUE"""),"Garçon")</f>
        <v>Garçon</v>
      </c>
      <c r="O522" s="1"/>
      <c r="P522" s="1" t="str">
        <f ca="1">IFERROR(__xludf.DUMMYFUNCTION("""COMPUTED_VALUE"""),"FRANCE")</f>
        <v>FRANCE</v>
      </c>
      <c r="Q522" s="1"/>
      <c r="R522" s="1"/>
      <c r="S522" s="1"/>
      <c r="T522" s="1" t="str">
        <f ca="1">IFERROR(__xludf.DUMMYFUNCTION("""COMPUTED_VALUE"""),"RODRIGUEZ Sebastien")</f>
        <v>RODRIGUEZ Sebastien</v>
      </c>
      <c r="U522" s="1" t="str">
        <f ca="1">IFERROR(__xludf.DUMMYFUNCTION("""COMPUTED_VALUE"""),"DECROZE Melissa")</f>
        <v>DECROZE Melissa</v>
      </c>
      <c r="V522" s="1" t="str">
        <f ca="1">IFERROR(__xludf.DUMMYFUNCTION("""COMPUTED_VALUE"""),"sebastien.rodriguezartigas@gmail.com")</f>
        <v>sebastien.rodriguezartigas@gmail.com</v>
      </c>
      <c r="W522" s="1" t="str">
        <f ca="1">IFERROR(__xludf.DUMMYFUNCTION("""COMPUTED_VALUE"""),"melissa.decroze@gmail.com")</f>
        <v>melissa.decroze@gmail.com</v>
      </c>
      <c r="X522" s="1" t="str">
        <f ca="1">IFERROR(__xludf.DUMMYFUNCTION("""COMPUTED_VALUE"""),"+221 78 107 41 77")</f>
        <v>+221 78 107 41 77</v>
      </c>
      <c r="Y522" s="1" t="str">
        <f ca="1">IFERROR(__xludf.DUMMYFUNCTION("""COMPUTED_VALUE"""),"+221 76 968 62 93")</f>
        <v>+221 76 968 62 93</v>
      </c>
      <c r="Z522" s="1" t="str">
        <f ca="1">IFERROR(__xludf.DUMMYFUNCTION("""COMPUTED_VALUE"""),"+221 77 720 21 64")</f>
        <v>+221 77 720 21 64</v>
      </c>
      <c r="AA522" s="1" t="str">
        <f ca="1">IFERROR(__xludf.DUMMYFUNCTION("""COMPUTED_VALUE"""),"+221 76 152 95 45")</f>
        <v>+221 76 152 95 45</v>
      </c>
      <c r="AB522" s="2">
        <f ca="1">IFERROR(__xludf.DUMMYFUNCTION("""COMPUTED_VALUE"""),32065)</f>
        <v>32065</v>
      </c>
      <c r="AC522" s="2">
        <f ca="1">IFERROR(__xludf.DUMMYFUNCTION("""COMPUTED_VALUE"""),32065)</f>
        <v>32065</v>
      </c>
      <c r="AD522" s="1" t="str">
        <f ca="1">IFERROR(__xludf.DUMMYFUNCTION("""COMPUTED_VALUE"""),"PERE")</f>
        <v>PERE</v>
      </c>
      <c r="AE522" s="1" t="str">
        <f ca="1">IFERROR(__xludf.DUMMYFUNCTION("""COMPUTED_VALUE"""),"MERE")</f>
        <v>MERE</v>
      </c>
      <c r="AF522" s="1" t="str">
        <f ca="1">IFERROR(__xludf.DUMMYFUNCTION("""COMPUTED_VALUE"""),"FRANCE")</f>
        <v>FRANCE</v>
      </c>
      <c r="AG522" s="1" t="str">
        <f ca="1">IFERROR(__xludf.DUMMYFUNCTION("""COMPUTED_VALUE"""),"FRANCE")</f>
        <v>FRANCE</v>
      </c>
      <c r="AH522" s="1" t="str">
        <f ca="1">IFERROR(__xludf.DUMMYFUNCTION("""COMPUTED_VALUE"""),"ESPAGNE")</f>
        <v>ESPAGNE</v>
      </c>
      <c r="AI522" s="1"/>
      <c r="AJ522" s="1" t="str">
        <f ca="1">IFERROR(__xludf.DUMMYFUNCTION("""COMPUTED_VALUE"""),"F1545")</f>
        <v>F1545</v>
      </c>
      <c r="AK522" s="1" t="str">
        <f ca="1">IFERROR(__xludf.DUMMYFUNCTION("""COMPUTED_VALUE"""),"Marié(e)")</f>
        <v>Marié(e)</v>
      </c>
      <c r="AL522" s="1" t="str">
        <f ca="1">IFERROR(__xludf.DUMMYFUNCTION("""COMPUTED_VALUE"""),"Marié(e)")</f>
        <v>Marié(e)</v>
      </c>
      <c r="AM522" s="1" t="str">
        <f ca="1">IFERROR(__xludf.DUMMYFUNCTION("""COMPUTED_VALUE"""),"F1545")</f>
        <v>F1545</v>
      </c>
    </row>
    <row r="523" spans="1:39" ht="13" x14ac:dyDescent="0.15">
      <c r="A523" s="1" t="str">
        <f ca="1">IFERROR(__xludf.DUMMYFUNCTION("""COMPUTED_VALUE"""),"ROGER Liam")</f>
        <v>ROGER Liam</v>
      </c>
      <c r="B523" s="1" t="str">
        <f ca="1">IFERROR(__xludf.DUMMYFUNCTION("""COMPUTED_VALUE"""),"ROGER")</f>
        <v>ROGER</v>
      </c>
      <c r="C523" s="1" t="str">
        <f ca="1">IFERROR(__xludf.DUMMYFUNCTION("""COMPUTED_VALUE"""),"Liam")</f>
        <v>Liam</v>
      </c>
      <c r="D523" s="1" t="str">
        <f ca="1">IFERROR(__xludf.DUMMYFUNCTION("""COMPUTED_VALUE"""),"12291S3575")</f>
        <v>12291S3575</v>
      </c>
      <c r="E523" s="2">
        <f ca="1">IFERROR(__xludf.DUMMYFUNCTION("""COMPUTED_VALUE"""),42842)</f>
        <v>42842</v>
      </c>
      <c r="F523" s="1" t="str">
        <f ca="1">IFERROR(__xludf.DUMMYFUNCTION("""COMPUTED_VALUE"""),"CE2")</f>
        <v>CE2</v>
      </c>
      <c r="G523" s="1" t="str">
        <f ca="1">IFERROR(__xludf.DUMMYFUNCTION("""COMPUTED_VALUE"""),"CE2")</f>
        <v>CE2</v>
      </c>
      <c r="H523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523" s="1"/>
      <c r="J523" s="1"/>
      <c r="K523" s="1"/>
      <c r="L523" s="1"/>
      <c r="M523" s="1"/>
      <c r="N523" s="1" t="str">
        <f ca="1">IFERROR(__xludf.DUMMYFUNCTION("""COMPUTED_VALUE"""),"Garçon")</f>
        <v>Garçon</v>
      </c>
      <c r="O523" s="1"/>
      <c r="P523" s="1" t="str">
        <f ca="1">IFERROR(__xludf.DUMMYFUNCTION("""COMPUTED_VALUE"""),"FRANCE")</f>
        <v>FRANCE</v>
      </c>
      <c r="Q523" s="1"/>
      <c r="R523" s="1"/>
      <c r="S523" s="1" t="str">
        <f ca="1">IFERROR(__xludf.DUMMYFUNCTION("""COMPUTED_VALUE"""),"+221")</f>
        <v>+221</v>
      </c>
      <c r="T523" s="1" t="str">
        <f ca="1">IFERROR(__xludf.DUMMYFUNCTION("""COMPUTED_VALUE"""),"ROGER Emmanuel")</f>
        <v>ROGER Emmanuel</v>
      </c>
      <c r="U523" s="1"/>
      <c r="V523" s="1" t="str">
        <f ca="1">IFERROR(__xludf.DUMMYFUNCTION("""COMPUTED_VALUE"""),"emmanuelroger@free.fr")</f>
        <v>emmanuelroger@free.fr</v>
      </c>
      <c r="W523" s="1"/>
      <c r="X523" s="1" t="str">
        <f ca="1">IFERROR(__xludf.DUMMYFUNCTION("""COMPUTED_VALUE"""),"+33 7 82 87 65 16")</f>
        <v>+33 7 82 87 65 16</v>
      </c>
      <c r="Y523" s="1"/>
      <c r="Z523" s="1" t="str">
        <f ca="1">IFERROR(__xludf.DUMMYFUNCTION("""COMPUTED_VALUE"""),"+33 7 82 87 65 16")</f>
        <v>+33 7 82 87 65 16</v>
      </c>
      <c r="AA523" s="1"/>
      <c r="AB523" s="2">
        <f ca="1">IFERROR(__xludf.DUMMYFUNCTION("""COMPUTED_VALUE"""),42838)</f>
        <v>42838</v>
      </c>
      <c r="AC523" s="1"/>
      <c r="AD523" s="1" t="str">
        <f ca="1">IFERROR(__xludf.DUMMYFUNCTION("""COMPUTED_VALUE"""),"FRERE")</f>
        <v>FRERE</v>
      </c>
      <c r="AE523" s="1"/>
      <c r="AF523" s="1" t="str">
        <f ca="1">IFERROR(__xludf.DUMMYFUNCTION("""COMPUTED_VALUE"""),"FRANCE")</f>
        <v>FRANCE</v>
      </c>
      <c r="AG523" s="1"/>
      <c r="AH523" s="1"/>
      <c r="AI523" s="1"/>
      <c r="AJ523" s="1" t="str">
        <f ca="1">IFERROR(__xludf.DUMMYFUNCTION("""COMPUTED_VALUE"""),"U12291")</f>
        <v>U12291</v>
      </c>
      <c r="AK523" s="1" t="str">
        <f ca="1">IFERROR(__xludf.DUMMYFUNCTION("""COMPUTED_VALUE"""),"CONCUBINAGE")</f>
        <v>CONCUBINAGE</v>
      </c>
      <c r="AL523" s="1"/>
      <c r="AM523" s="1" t="str">
        <f ca="1">IFERROR(__xludf.DUMMYFUNCTION("""COMPUTED_VALUE"""),"U12291")</f>
        <v>U12291</v>
      </c>
    </row>
    <row r="524" spans="1:39" ht="13" x14ac:dyDescent="0.15">
      <c r="A524" s="1" t="str">
        <f ca="1">IFERROR(__xludf.DUMMYFUNCTION("""COMPUTED_VALUE"""),"ROPTON Gabriel")</f>
        <v>ROPTON Gabriel</v>
      </c>
      <c r="B524" s="1" t="str">
        <f ca="1">IFERROR(__xludf.DUMMYFUNCTION("""COMPUTED_VALUE"""),"ROPTON")</f>
        <v>ROPTON</v>
      </c>
      <c r="C524" s="1" t="str">
        <f ca="1">IFERROR(__xludf.DUMMYFUNCTION("""COMPUTED_VALUE"""),"Gabriel")</f>
        <v>Gabriel</v>
      </c>
      <c r="D524" s="1" t="str">
        <f ca="1">IFERROR(__xludf.DUMMYFUNCTION("""COMPUTED_VALUE"""),"11834S2638")</f>
        <v>11834S2638</v>
      </c>
      <c r="E524" s="2">
        <f ca="1">IFERROR(__xludf.DUMMYFUNCTION("""COMPUTED_VALUE"""),44512)</f>
        <v>44512</v>
      </c>
      <c r="F524" s="1" t="str">
        <f ca="1">IFERROR(__xludf.DUMMYFUNCTION("""COMPUTED_VALUE"""),"Mat 2")</f>
        <v>Mat 2</v>
      </c>
      <c r="G524" s="1" t="str">
        <f ca="1">IFERROR(__xludf.DUMMYFUNCTION("""COMPUTED_VALUE"""),"MS")</f>
        <v>MS</v>
      </c>
      <c r="H524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524" s="1"/>
      <c r="J524" s="1"/>
      <c r="K524" s="1"/>
      <c r="L524" s="1"/>
      <c r="M524" s="1"/>
      <c r="N524" s="1" t="str">
        <f ca="1">IFERROR(__xludf.DUMMYFUNCTION("""COMPUTED_VALUE"""),"Garçon")</f>
        <v>Garçon</v>
      </c>
      <c r="O524" s="1"/>
      <c r="P524" s="1" t="str">
        <f ca="1">IFERROR(__xludf.DUMMYFUNCTION("""COMPUTED_VALUE"""),"SENEGAL")</f>
        <v>SENEGAL</v>
      </c>
      <c r="Q524" s="1" t="str">
        <f ca="1">IFERROR(__xludf.DUMMYFUNCTION("""COMPUTED_VALUE"""),"SENEGAL")</f>
        <v>SENEGAL</v>
      </c>
      <c r="R524" s="1"/>
      <c r="S524" s="1" t="str">
        <f ca="1">IFERROR(__xludf.DUMMYFUNCTION("""COMPUTED_VALUE"""),"+221")</f>
        <v>+221</v>
      </c>
      <c r="T524" s="1" t="str">
        <f ca="1">IFERROR(__xludf.DUMMYFUNCTION("""COMPUTED_VALUE"""),"DACOSTA Lucie")</f>
        <v>DACOSTA Lucie</v>
      </c>
      <c r="U524" s="1"/>
      <c r="V524" s="1" t="str">
        <f ca="1">IFERROR(__xludf.DUMMYFUNCTION("""COMPUTED_VALUE"""),"cheity.83@gmail.com")</f>
        <v>cheity.83@gmail.com</v>
      </c>
      <c r="W524" s="1"/>
      <c r="X524" s="1" t="str">
        <f ca="1">IFERROR(__xludf.DUMMYFUNCTION("""COMPUTED_VALUE"""),"+221 77 314 65 67")</f>
        <v>+221 77 314 65 67</v>
      </c>
      <c r="Y524" s="1"/>
      <c r="Z524" s="1" t="str">
        <f ca="1">IFERROR(__xludf.DUMMYFUNCTION("""COMPUTED_VALUE"""),"+221")</f>
        <v>+221</v>
      </c>
      <c r="AA524" s="1"/>
      <c r="AB524" s="2">
        <f ca="1">IFERROR(__xludf.DUMMYFUNCTION("""COMPUTED_VALUE"""),30538)</f>
        <v>30538</v>
      </c>
      <c r="AC524" s="1"/>
      <c r="AD524" s="1" t="str">
        <f ca="1">IFERROR(__xludf.DUMMYFUNCTION("""COMPUTED_VALUE"""),"MERE")</f>
        <v>MERE</v>
      </c>
      <c r="AE524" s="1"/>
      <c r="AF524" s="1" t="str">
        <f ca="1">IFERROR(__xludf.DUMMYFUNCTION("""COMPUTED_VALUE"""),"SENEGAL")</f>
        <v>SENEGAL</v>
      </c>
      <c r="AG524" s="1"/>
      <c r="AH524" s="1" t="str">
        <f ca="1">IFERROR(__xludf.DUMMYFUNCTION("""COMPUTED_VALUE"""),"SENEGAL")</f>
        <v>SENEGAL</v>
      </c>
      <c r="AI524" s="1"/>
      <c r="AJ524" s="1" t="str">
        <f ca="1">IFERROR(__xludf.DUMMYFUNCTION("""COMPUTED_VALUE"""),"U11834")</f>
        <v>U11834</v>
      </c>
      <c r="AK524" s="1" t="str">
        <f ca="1">IFERROR(__xludf.DUMMYFUNCTION("""COMPUTED_VALUE"""),"Séparé(e)")</f>
        <v>Séparé(e)</v>
      </c>
      <c r="AL524" s="1"/>
      <c r="AM524" s="1" t="str">
        <f ca="1">IFERROR(__xludf.DUMMYFUNCTION("""COMPUTED_VALUE"""),"U11834")</f>
        <v>U11834</v>
      </c>
    </row>
    <row r="525" spans="1:39" ht="13" x14ac:dyDescent="0.15">
      <c r="A525" s="1" t="str">
        <f ca="1">IFERROR(__xludf.DUMMYFUNCTION("""COMPUTED_VALUE"""),"ROUMEGOUX Fatou Sarene")</f>
        <v>ROUMEGOUX Fatou Sarene</v>
      </c>
      <c r="B525" s="1" t="str">
        <f ca="1">IFERROR(__xludf.DUMMYFUNCTION("""COMPUTED_VALUE"""),"ROUMEGOUX")</f>
        <v>ROUMEGOUX</v>
      </c>
      <c r="C525" s="1" t="str">
        <f ca="1">IFERROR(__xludf.DUMMYFUNCTION("""COMPUTED_VALUE"""),"Fatou Sarene")</f>
        <v>Fatou Sarene</v>
      </c>
      <c r="D525" s="1" t="str">
        <f ca="1">IFERROR(__xludf.DUMMYFUNCTION("""COMPUTED_VALUE"""),"1683E1")</f>
        <v>1683E1</v>
      </c>
      <c r="E525" s="2">
        <f ca="1">IFERROR(__xludf.DUMMYFUNCTION("""COMPUTED_VALUE"""),43375)</f>
        <v>43375</v>
      </c>
      <c r="F525" s="1" t="str">
        <f ca="1">IFERROR(__xludf.DUMMYFUNCTION("""COMPUTED_VALUE"""),"CE1A")</f>
        <v>CE1A</v>
      </c>
      <c r="G525" s="1" t="str">
        <f ca="1">IFERROR(__xludf.DUMMYFUNCTION("""COMPUTED_VALUE"""),"CE1")</f>
        <v>CE1</v>
      </c>
      <c r="H525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525" s="1"/>
      <c r="J525" s="1"/>
      <c r="K525" s="1"/>
      <c r="L525" s="1"/>
      <c r="M525" s="1"/>
      <c r="N525" s="1" t="str">
        <f ca="1">IFERROR(__xludf.DUMMYFUNCTION("""COMPUTED_VALUE"""),"Fille")</f>
        <v>Fille</v>
      </c>
      <c r="O525" s="1"/>
      <c r="P525" s="1" t="str">
        <f ca="1">IFERROR(__xludf.DUMMYFUNCTION("""COMPUTED_VALUE"""),"FRANCE")</f>
        <v>FRANCE</v>
      </c>
      <c r="Q525" s="1" t="str">
        <f ca="1">IFERROR(__xludf.DUMMYFUNCTION("""COMPUTED_VALUE"""),"SENEGAL")</f>
        <v>SENEGAL</v>
      </c>
      <c r="R525" s="1"/>
      <c r="S525" s="1"/>
      <c r="T525" s="1" t="str">
        <f ca="1">IFERROR(__xludf.DUMMYFUNCTION("""COMPUTED_VALUE"""),"ROUMEGOUX Pierre Marie Michel Andre")</f>
        <v>ROUMEGOUX Pierre Marie Michel Andre</v>
      </c>
      <c r="U525" s="1" t="str">
        <f ca="1">IFERROR(__xludf.DUMMYFUNCTION("""COMPUTED_VALUE"""),"LO Bineta")</f>
        <v>LO Bineta</v>
      </c>
      <c r="V525" s="1" t="str">
        <f ca="1">IFERROR(__xludf.DUMMYFUNCTION("""COMPUTED_VALUE"""),"proume40@gmail.com")</f>
        <v>proume40@gmail.com</v>
      </c>
      <c r="W525" s="1" t="str">
        <f ca="1">IFERROR(__xludf.DUMMYFUNCTION("""COMPUTED_VALUE"""),"mamebinette20@gmail.com")</f>
        <v>mamebinette20@gmail.com</v>
      </c>
      <c r="X525" s="1" t="str">
        <f ca="1">IFERROR(__xludf.DUMMYFUNCTION("""COMPUTED_VALUE"""),"77 611 15 69")</f>
        <v>77 611 15 69</v>
      </c>
      <c r="Y525" s="1" t="str">
        <f ca="1">IFERROR(__xludf.DUMMYFUNCTION("""COMPUTED_VALUE"""),"77 611 15 69")</f>
        <v>77 611 15 69</v>
      </c>
      <c r="Z525" s="1" t="str">
        <f ca="1">IFERROR(__xludf.DUMMYFUNCTION("""COMPUTED_VALUE"""),"+221 78 443 06 66")</f>
        <v>+221 78 443 06 66</v>
      </c>
      <c r="AA525" s="1" t="str">
        <f ca="1">IFERROR(__xludf.DUMMYFUNCTION("""COMPUTED_VALUE"""),"+221 78 443 06 66")</f>
        <v>+221 78 443 06 66</v>
      </c>
      <c r="AB525" s="2">
        <f ca="1">IFERROR(__xludf.DUMMYFUNCTION("""COMPUTED_VALUE"""),18367)</f>
        <v>18367</v>
      </c>
      <c r="AC525" s="2">
        <f ca="1">IFERROR(__xludf.DUMMYFUNCTION("""COMPUTED_VALUE"""),31444)</f>
        <v>31444</v>
      </c>
      <c r="AD525" s="1" t="str">
        <f ca="1">IFERROR(__xludf.DUMMYFUNCTION("""COMPUTED_VALUE"""),"PERE")</f>
        <v>PERE</v>
      </c>
      <c r="AE525" s="1" t="str">
        <f ca="1">IFERROR(__xludf.DUMMYFUNCTION("""COMPUTED_VALUE"""),"MERE")</f>
        <v>MERE</v>
      </c>
      <c r="AF525" s="1" t="str">
        <f ca="1">IFERROR(__xludf.DUMMYFUNCTION("""COMPUTED_VALUE"""),"FRANCE")</f>
        <v>FRANCE</v>
      </c>
      <c r="AG525" s="1" t="str">
        <f ca="1">IFERROR(__xludf.DUMMYFUNCTION("""COMPUTED_VALUE"""),"SENEGAL")</f>
        <v>SENEGAL</v>
      </c>
      <c r="AH525" s="1"/>
      <c r="AI525" s="1"/>
      <c r="AJ525" s="1" t="str">
        <f ca="1">IFERROR(__xludf.DUMMYFUNCTION("""COMPUTED_VALUE"""),"F1683")</f>
        <v>F1683</v>
      </c>
      <c r="AK525" s="1" t="str">
        <f ca="1">IFERROR(__xludf.DUMMYFUNCTION("""COMPUTED_VALUE"""),"Marié(e)")</f>
        <v>Marié(e)</v>
      </c>
      <c r="AL525" s="1" t="str">
        <f ca="1">IFERROR(__xludf.DUMMYFUNCTION("""COMPUTED_VALUE"""),"Marié(e)")</f>
        <v>Marié(e)</v>
      </c>
      <c r="AM525" s="1" t="str">
        <f ca="1">IFERROR(__xludf.DUMMYFUNCTION("""COMPUTED_VALUE"""),"F1683")</f>
        <v>F1683</v>
      </c>
    </row>
    <row r="526" spans="1:39" ht="13" x14ac:dyDescent="0.15">
      <c r="A526" s="1" t="str">
        <f ca="1">IFERROR(__xludf.DUMMYFUNCTION("""COMPUTED_VALUE"""),"ROUSSEL GOUGEON Eliott")</f>
        <v>ROUSSEL GOUGEON Eliott</v>
      </c>
      <c r="B526" s="1" t="str">
        <f ca="1">IFERROR(__xludf.DUMMYFUNCTION("""COMPUTED_VALUE"""),"ROUSSEL GOUGEON")</f>
        <v>ROUSSEL GOUGEON</v>
      </c>
      <c r="C526" s="1" t="str">
        <f ca="1">IFERROR(__xludf.DUMMYFUNCTION("""COMPUTED_VALUE"""),"Eliott")</f>
        <v>Eliott</v>
      </c>
      <c r="D526" s="1" t="str">
        <f ca="1">IFERROR(__xludf.DUMMYFUNCTION("""COMPUTED_VALUE"""),"1549E1")</f>
        <v>1549E1</v>
      </c>
      <c r="E526" s="2">
        <f ca="1">IFERROR(__xludf.DUMMYFUNCTION("""COMPUTED_VALUE"""),43238)</f>
        <v>43238</v>
      </c>
      <c r="F526" s="1" t="str">
        <f ca="1">IFERROR(__xludf.DUMMYFUNCTION("""COMPUTED_VALUE"""),"CE1B")</f>
        <v>CE1B</v>
      </c>
      <c r="G526" s="1" t="str">
        <f ca="1">IFERROR(__xludf.DUMMYFUNCTION("""COMPUTED_VALUE"""),"CE1")</f>
        <v>CE1</v>
      </c>
      <c r="H526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526" s="1"/>
      <c r="J526" s="1"/>
      <c r="K526" s="1"/>
      <c r="L526" s="1"/>
      <c r="M526" s="1"/>
      <c r="N526" s="1" t="str">
        <f ca="1">IFERROR(__xludf.DUMMYFUNCTION("""COMPUTED_VALUE"""),"Garçon")</f>
        <v>Garçon</v>
      </c>
      <c r="O526" s="1"/>
      <c r="P526" s="1" t="str">
        <f ca="1">IFERROR(__xludf.DUMMYFUNCTION("""COMPUTED_VALUE"""),"FRANCE")</f>
        <v>FRANCE</v>
      </c>
      <c r="Q526" s="1"/>
      <c r="R526" s="1"/>
      <c r="S526" s="1"/>
      <c r="T526" s="1" t="str">
        <f ca="1">IFERROR(__xludf.DUMMYFUNCTION("""COMPUTED_VALUE"""),"GOUGEON Audrey")</f>
        <v>GOUGEON Audrey</v>
      </c>
      <c r="U526" s="1" t="str">
        <f ca="1">IFERROR(__xludf.DUMMYFUNCTION("""COMPUTED_VALUE"""),"ROUSSEL Olivier")</f>
        <v>ROUSSEL Olivier</v>
      </c>
      <c r="V526" s="1" t="str">
        <f ca="1">IFERROR(__xludf.DUMMYFUNCTION("""COMPUTED_VALUE"""),"audreygougeon.ortho@yahoo.com")</f>
        <v>audreygougeon.ortho@yahoo.com</v>
      </c>
      <c r="W526" s="1" t="str">
        <f ca="1">IFERROR(__xludf.DUMMYFUNCTION("""COMPUTED_VALUE"""),"audreygougeon.ortho@yahoo.com")</f>
        <v>audreygougeon.ortho@yahoo.com</v>
      </c>
      <c r="X526" s="1" t="str">
        <f ca="1">IFERROR(__xludf.DUMMYFUNCTION("""COMPUTED_VALUE"""),"+221 77 798 15 38")</f>
        <v>+221 77 798 15 38</v>
      </c>
      <c r="Y526" s="1" t="str">
        <f ca="1">IFERROR(__xludf.DUMMYFUNCTION("""COMPUTED_VALUE"""),"+33 7 49 51 18 18")</f>
        <v>+33 7 49 51 18 18</v>
      </c>
      <c r="Z526" s="1" t="str">
        <f ca="1">IFERROR(__xludf.DUMMYFUNCTION("""COMPUTED_VALUE"""),"+221")</f>
        <v>+221</v>
      </c>
      <c r="AA526" s="1" t="str">
        <f ca="1">IFERROR(__xludf.DUMMYFUNCTION("""COMPUTED_VALUE"""),"+221")</f>
        <v>+221</v>
      </c>
      <c r="AB526" s="2">
        <f ca="1">IFERROR(__xludf.DUMMYFUNCTION("""COMPUTED_VALUE"""),30691)</f>
        <v>30691</v>
      </c>
      <c r="AC526" s="2">
        <f ca="1">IFERROR(__xludf.DUMMYFUNCTION("""COMPUTED_VALUE"""),30908)</f>
        <v>30908</v>
      </c>
      <c r="AD526" s="1" t="str">
        <f ca="1">IFERROR(__xludf.DUMMYFUNCTION("""COMPUTED_VALUE"""),"MERE")</f>
        <v>MERE</v>
      </c>
      <c r="AE526" s="1" t="str">
        <f ca="1">IFERROR(__xludf.DUMMYFUNCTION("""COMPUTED_VALUE"""),"PERE")</f>
        <v>PERE</v>
      </c>
      <c r="AF526" s="1" t="str">
        <f ca="1">IFERROR(__xludf.DUMMYFUNCTION("""COMPUTED_VALUE"""),"FRANCE")</f>
        <v>FRANCE</v>
      </c>
      <c r="AG526" s="1" t="str">
        <f ca="1">IFERROR(__xludf.DUMMYFUNCTION("""COMPUTED_VALUE"""),"FRANCE")</f>
        <v>FRANCE</v>
      </c>
      <c r="AH526" s="1"/>
      <c r="AI526" s="1"/>
      <c r="AJ526" s="1" t="str">
        <f ca="1">IFERROR(__xludf.DUMMYFUNCTION("""COMPUTED_VALUE"""),"F1549")</f>
        <v>F1549</v>
      </c>
      <c r="AK526" s="1" t="str">
        <f ca="1">IFERROR(__xludf.DUMMYFUNCTION("""COMPUTED_VALUE"""),"CONCUBINAGE")</f>
        <v>CONCUBINAGE</v>
      </c>
      <c r="AL526" s="1" t="str">
        <f ca="1">IFERROR(__xludf.DUMMYFUNCTION("""COMPUTED_VALUE"""),"CONCUBINAGE")</f>
        <v>CONCUBINAGE</v>
      </c>
      <c r="AM526" s="1" t="str">
        <f ca="1">IFERROR(__xludf.DUMMYFUNCTION("""COMPUTED_VALUE"""),"F1549")</f>
        <v>F1549</v>
      </c>
    </row>
    <row r="527" spans="1:39" ht="13" x14ac:dyDescent="0.15">
      <c r="A527" s="1" t="str">
        <f ca="1">IFERROR(__xludf.DUMMYFUNCTION("""COMPUTED_VALUE"""),"ROUYER Louis")</f>
        <v>ROUYER Louis</v>
      </c>
      <c r="B527" s="1" t="str">
        <f ca="1">IFERROR(__xludf.DUMMYFUNCTION("""COMPUTED_VALUE"""),"ROUYER")</f>
        <v>ROUYER</v>
      </c>
      <c r="C527" s="1" t="str">
        <f ca="1">IFERROR(__xludf.DUMMYFUNCTION("""COMPUTED_VALUE"""),"Louis")</f>
        <v>Louis</v>
      </c>
      <c r="D527" s="1" t="str">
        <f ca="1">IFERROR(__xludf.DUMMYFUNCTION("""COMPUTED_VALUE"""),"1550E1")</f>
        <v>1550E1</v>
      </c>
      <c r="E527" s="2">
        <f ca="1">IFERROR(__xludf.DUMMYFUNCTION("""COMPUTED_VALUE"""),42020)</f>
        <v>42020</v>
      </c>
      <c r="F527" s="1" t="str">
        <f ca="1">IFERROR(__xludf.DUMMYFUNCTION("""COMPUTED_VALUE"""),"CM2A")</f>
        <v>CM2A</v>
      </c>
      <c r="G527" s="1" t="str">
        <f ca="1">IFERROR(__xludf.DUMMYFUNCTION("""COMPUTED_VALUE"""),"CM2")</f>
        <v>CM2</v>
      </c>
      <c r="H527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527" s="1"/>
      <c r="J527" s="1"/>
      <c r="K527" s="1"/>
      <c r="L527" s="1"/>
      <c r="M527" s="1"/>
      <c r="N527" s="1" t="str">
        <f ca="1">IFERROR(__xludf.DUMMYFUNCTION("""COMPUTED_VALUE"""),"Garçon")</f>
        <v>Garçon</v>
      </c>
      <c r="O527" s="1"/>
      <c r="P527" s="1" t="str">
        <f ca="1">IFERROR(__xludf.DUMMYFUNCTION("""COMPUTED_VALUE"""),"SENEGAL")</f>
        <v>SENEGAL</v>
      </c>
      <c r="Q527" s="1"/>
      <c r="R527" s="1"/>
      <c r="S527" s="1"/>
      <c r="T527" s="1" t="str">
        <f ca="1">IFERROR(__xludf.DUMMYFUNCTION("""COMPUTED_VALUE"""),"SOW Maty")</f>
        <v>SOW Maty</v>
      </c>
      <c r="U527" s="1" t="str">
        <f ca="1">IFERROR(__xludf.DUMMYFUNCTION("""COMPUTED_VALUE"""),"ROUYER Michel")</f>
        <v>ROUYER Michel</v>
      </c>
      <c r="V527" s="1" t="str">
        <f ca="1">IFERROR(__xludf.DUMMYFUNCTION("""COMPUTED_VALUE"""),"sowmaty16@gmail.com")</f>
        <v>sowmaty16@gmail.com</v>
      </c>
      <c r="W527" s="1" t="str">
        <f ca="1">IFERROR(__xludf.DUMMYFUNCTION("""COMPUTED_VALUE"""),"michel.rouyer5@wanadoo.fr")</f>
        <v>michel.rouyer5@wanadoo.fr</v>
      </c>
      <c r="X527" s="1" t="str">
        <f ca="1">IFERROR(__xludf.DUMMYFUNCTION("""COMPUTED_VALUE"""),"+221 78 152 73 69")</f>
        <v>+221 78 152 73 69</v>
      </c>
      <c r="Y527" s="1" t="str">
        <f ca="1">IFERROR(__xludf.DUMMYFUNCTION("""COMPUTED_VALUE"""),"78 520 91 82")</f>
        <v>78 520 91 82</v>
      </c>
      <c r="Z527" s="1" t="str">
        <f ca="1">IFERROR(__xludf.DUMMYFUNCTION("""COMPUTED_VALUE"""),"+221")</f>
        <v>+221</v>
      </c>
      <c r="AA527" s="1" t="str">
        <f ca="1">IFERROR(__xludf.DUMMYFUNCTION("""COMPUTED_VALUE"""),"+33 6 75 49 30 82")</f>
        <v>+33 6 75 49 30 82</v>
      </c>
      <c r="AB527" s="2">
        <f ca="1">IFERROR(__xludf.DUMMYFUNCTION("""COMPUTED_VALUE"""),37686)</f>
        <v>37686</v>
      </c>
      <c r="AC527" s="2">
        <f ca="1">IFERROR(__xludf.DUMMYFUNCTION("""COMPUTED_VALUE"""),20553)</f>
        <v>20553</v>
      </c>
      <c r="AD527" s="1" t="str">
        <f ca="1">IFERROR(__xludf.DUMMYFUNCTION("""COMPUTED_VALUE"""),"AUTRE LIEN")</f>
        <v>AUTRE LIEN</v>
      </c>
      <c r="AE527" s="1" t="str">
        <f ca="1">IFERROR(__xludf.DUMMYFUNCTION("""COMPUTED_VALUE"""),"PERE")</f>
        <v>PERE</v>
      </c>
      <c r="AF527" s="1" t="str">
        <f ca="1">IFERROR(__xludf.DUMMYFUNCTION("""COMPUTED_VALUE"""),"SENEGAL")</f>
        <v>SENEGAL</v>
      </c>
      <c r="AG527" s="1" t="str">
        <f ca="1">IFERROR(__xludf.DUMMYFUNCTION("""COMPUTED_VALUE"""),"FRANCE")</f>
        <v>FRANCE</v>
      </c>
      <c r="AH527" s="1"/>
      <c r="AI527" s="1"/>
      <c r="AJ527" s="1" t="str">
        <f ca="1">IFERROR(__xludf.DUMMYFUNCTION("""COMPUTED_VALUE"""),"F1550")</f>
        <v>F1550</v>
      </c>
      <c r="AK527" s="1" t="str">
        <f ca="1">IFERROR(__xludf.DUMMYFUNCTION("""COMPUTED_VALUE"""),"Marié(e)")</f>
        <v>Marié(e)</v>
      </c>
      <c r="AL527" s="1" t="str">
        <f ca="1">IFERROR(__xludf.DUMMYFUNCTION("""COMPUTED_VALUE"""),"Veuf(ve)")</f>
        <v>Veuf(ve)</v>
      </c>
      <c r="AM527" s="1" t="str">
        <f ca="1">IFERROR(__xludf.DUMMYFUNCTION("""COMPUTED_VALUE"""),"F1550")</f>
        <v>F1550</v>
      </c>
    </row>
    <row r="528" spans="1:39" ht="13" x14ac:dyDescent="0.15">
      <c r="A528" s="1" t="str">
        <f ca="1">IFERROR(__xludf.DUMMYFUNCTION("""COMPUTED_VALUE"""),"ROWLAND Noah Dilhane")</f>
        <v>ROWLAND Noah Dilhane</v>
      </c>
      <c r="B528" s="1" t="str">
        <f ca="1">IFERROR(__xludf.DUMMYFUNCTION("""COMPUTED_VALUE"""),"ROWLAND")</f>
        <v>ROWLAND</v>
      </c>
      <c r="C528" s="1" t="str">
        <f ca="1">IFERROR(__xludf.DUMMYFUNCTION("""COMPUTED_VALUE"""),"Noah Dilhane")</f>
        <v>Noah Dilhane</v>
      </c>
      <c r="D528" s="1" t="str">
        <f ca="1">IFERROR(__xludf.DUMMYFUNCTION("""COMPUTED_VALUE"""),"1551E1")</f>
        <v>1551E1</v>
      </c>
      <c r="E528" s="2">
        <f ca="1">IFERROR(__xludf.DUMMYFUNCTION("""COMPUTED_VALUE"""),39801)</f>
        <v>39801</v>
      </c>
      <c r="F528" s="1" t="str">
        <f ca="1">IFERROR(__xludf.DUMMYFUNCTION("""COMPUTED_VALUE"""),"TERMINALE2")</f>
        <v>TERMINALE2</v>
      </c>
      <c r="G528" s="1" t="str">
        <f ca="1">IFERROR(__xludf.DUMMYFUNCTION("""COMPUTED_VALUE"""),"Terminale")</f>
        <v>Terminale</v>
      </c>
      <c r="H528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528" s="1" t="str">
        <f ca="1">IFERROR(__xludf.DUMMYFUNCTION("""COMPUTED_VALUE"""),"LVA Anglais")</f>
        <v>LVA Anglais</v>
      </c>
      <c r="J528" s="1" t="str">
        <f ca="1">IFERROR(__xludf.DUMMYFUNCTION("""COMPUTED_VALUE"""),"LVB Espagnol")</f>
        <v>LVB Espagnol</v>
      </c>
      <c r="K528" s="1"/>
      <c r="L528" s="1"/>
      <c r="M528" s="1" t="str">
        <f ca="1">IFERROR(__xludf.DUMMYFUNCTION("""COMPUTED_VALUE"""),"SPE LLCE AMC, SPE SES")</f>
        <v>SPE LLCE AMC, SPE SES</v>
      </c>
      <c r="N528" s="1" t="str">
        <f ca="1">IFERROR(__xludf.DUMMYFUNCTION("""COMPUTED_VALUE"""),"Garçon")</f>
        <v>Garçon</v>
      </c>
      <c r="O528" s="1"/>
      <c r="P528" s="1" t="str">
        <f ca="1">IFERROR(__xludf.DUMMYFUNCTION("""COMPUTED_VALUE"""),"ALLEMAGNE")</f>
        <v>ALLEMAGNE</v>
      </c>
      <c r="Q528" s="1" t="str">
        <f ca="1">IFERROR(__xludf.DUMMYFUNCTION("""COMPUTED_VALUE"""),"SENEGAL")</f>
        <v>SENEGAL</v>
      </c>
      <c r="R528" s="1" t="str">
        <f ca="1">IFERROR(__xludf.DUMMYFUNCTION("""COMPUTED_VALUE"""),"noah.rowland@lfjpsaly.org")</f>
        <v>noah.rowland@lfjpsaly.org</v>
      </c>
      <c r="S528" s="1"/>
      <c r="T528" s="1" t="str">
        <f ca="1">IFERROR(__xludf.DUMMYFUNCTION("""COMPUTED_VALUE"""),"NDIAYE Mariem Luise")</f>
        <v>NDIAYE Mariem Luise</v>
      </c>
      <c r="U528" s="1"/>
      <c r="V528" s="1" t="str">
        <f ca="1">IFERROR(__xludf.DUMMYFUNCTION("""COMPUTED_VALUE"""),"mariem.ndiaye@gmail.com")</f>
        <v>mariem.ndiaye@gmail.com</v>
      </c>
      <c r="W528" s="1"/>
      <c r="X528" s="1" t="str">
        <f ca="1">IFERROR(__xludf.DUMMYFUNCTION("""COMPUTED_VALUE"""),"+221 77 335 65 97")</f>
        <v>+221 77 335 65 97</v>
      </c>
      <c r="Y528" s="1"/>
      <c r="Z528" s="1"/>
      <c r="AA528" s="1"/>
      <c r="AB528" s="2">
        <f ca="1">IFERROR(__xludf.DUMMYFUNCTION("""COMPUTED_VALUE"""),31408)</f>
        <v>31408</v>
      </c>
      <c r="AC528" s="1"/>
      <c r="AD528" s="1" t="str">
        <f ca="1">IFERROR(__xludf.DUMMYFUNCTION("""COMPUTED_VALUE"""),"MERE")</f>
        <v>MERE</v>
      </c>
      <c r="AE528" s="1"/>
      <c r="AF528" s="1" t="str">
        <f ca="1">IFERROR(__xludf.DUMMYFUNCTION("""COMPUTED_VALUE"""),"ALLEMAGNE")</f>
        <v>ALLEMAGNE</v>
      </c>
      <c r="AG528" s="1"/>
      <c r="AH528" s="1"/>
      <c r="AI528" s="1"/>
      <c r="AJ528" s="1" t="str">
        <f ca="1">IFERROR(__xludf.DUMMYFUNCTION("""COMPUTED_VALUE"""),"F1551")</f>
        <v>F1551</v>
      </c>
      <c r="AK528" s="1"/>
      <c r="AL528" s="1"/>
      <c r="AM528" s="1" t="str">
        <f ca="1">IFERROR(__xludf.DUMMYFUNCTION("""COMPUTED_VALUE"""),"F1551")</f>
        <v>F1551</v>
      </c>
    </row>
    <row r="529" spans="1:39" ht="13" x14ac:dyDescent="0.15">
      <c r="A529" s="1" t="str">
        <f ca="1">IFERROR(__xludf.DUMMYFUNCTION("""COMPUTED_VALUE"""),"RUIZ PEREZ Raphaël")</f>
        <v>RUIZ PEREZ Raphaël</v>
      </c>
      <c r="B529" s="1" t="str">
        <f ca="1">IFERROR(__xludf.DUMMYFUNCTION("""COMPUTED_VALUE"""),"RUIZ PEREZ")</f>
        <v>RUIZ PEREZ</v>
      </c>
      <c r="C529" s="1" t="str">
        <f ca="1">IFERROR(__xludf.DUMMYFUNCTION("""COMPUTED_VALUE"""),"Raphaël")</f>
        <v>Raphaël</v>
      </c>
      <c r="D529" s="1" t="str">
        <f ca="1">IFERROR(__xludf.DUMMYFUNCTION("""COMPUTED_VALUE"""),"1513E3")</f>
        <v>1513E3</v>
      </c>
      <c r="E529" s="2">
        <f ca="1">IFERROR(__xludf.DUMMYFUNCTION("""COMPUTED_VALUE"""),42091)</f>
        <v>42091</v>
      </c>
      <c r="F529" s="1" t="str">
        <f ca="1">IFERROR(__xludf.DUMMYFUNCTION("""COMPUTED_VALUE"""),"CM2B")</f>
        <v>CM2B</v>
      </c>
      <c r="G529" s="1" t="str">
        <f ca="1">IFERROR(__xludf.DUMMYFUNCTION("""COMPUTED_VALUE"""),"CM2")</f>
        <v>CM2</v>
      </c>
      <c r="H529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529" s="1"/>
      <c r="J529" s="1"/>
      <c r="K529" s="1"/>
      <c r="L529" s="1"/>
      <c r="M529" s="1"/>
      <c r="N529" s="1" t="str">
        <f ca="1">IFERROR(__xludf.DUMMYFUNCTION("""COMPUTED_VALUE"""),"Garçon")</f>
        <v>Garçon</v>
      </c>
      <c r="O529" s="1"/>
      <c r="P529" s="1" t="str">
        <f ca="1">IFERROR(__xludf.DUMMYFUNCTION("""COMPUTED_VALUE"""),"FRANCE")</f>
        <v>FRANCE</v>
      </c>
      <c r="Q529" s="1"/>
      <c r="R529" s="1"/>
      <c r="S529" s="1"/>
      <c r="T529" s="1" t="str">
        <f ca="1">IFERROR(__xludf.DUMMYFUNCTION("""COMPUTED_VALUE"""),"PEREZ Fanny")</f>
        <v>PEREZ Fanny</v>
      </c>
      <c r="U529" s="1" t="str">
        <f ca="1">IFERROR(__xludf.DUMMYFUNCTION("""COMPUTED_VALUE"""),"RUIZ Pierre")</f>
        <v>RUIZ Pierre</v>
      </c>
      <c r="V529" s="1" t="str">
        <f ca="1">IFERROR(__xludf.DUMMYFUNCTION("""COMPUTED_VALUE"""),"fannyperez25@hotmail.fr")</f>
        <v>fannyperez25@hotmail.fr</v>
      </c>
      <c r="W529" s="1" t="str">
        <f ca="1">IFERROR(__xludf.DUMMYFUNCTION("""COMPUTED_VALUE"""),"pierrotom@hotmail.fr")</f>
        <v>pierrotom@hotmail.fr</v>
      </c>
      <c r="X529" s="1" t="str">
        <f ca="1">IFERROR(__xludf.DUMMYFUNCTION("""COMPUTED_VALUE"""),"+221 78 110 31 38")</f>
        <v>+221 78 110 31 38</v>
      </c>
      <c r="Y529" s="1" t="str">
        <f ca="1">IFERROR(__xludf.DUMMYFUNCTION("""COMPUTED_VALUE"""),"+221 77 837 09 35")</f>
        <v>+221 77 837 09 35</v>
      </c>
      <c r="Z529" s="1" t="str">
        <f ca="1">IFERROR(__xludf.DUMMYFUNCTION("""COMPUTED_VALUE"""),"+221 77 837 09 35")</f>
        <v>+221 77 837 09 35</v>
      </c>
      <c r="AA529" s="1" t="str">
        <f ca="1">IFERROR(__xludf.DUMMYFUNCTION("""COMPUTED_VALUE"""),"+221")</f>
        <v>+221</v>
      </c>
      <c r="AB529" s="2">
        <f ca="1">IFERROR(__xludf.DUMMYFUNCTION("""COMPUTED_VALUE"""),31496)</f>
        <v>31496</v>
      </c>
      <c r="AC529" s="2">
        <f ca="1">IFERROR(__xludf.DUMMYFUNCTION("""COMPUTED_VALUE"""),46089)</f>
        <v>46089</v>
      </c>
      <c r="AD529" s="1" t="str">
        <f ca="1">IFERROR(__xludf.DUMMYFUNCTION("""COMPUTED_VALUE"""),"MERE")</f>
        <v>MERE</v>
      </c>
      <c r="AE529" s="1" t="str">
        <f ca="1">IFERROR(__xludf.DUMMYFUNCTION("""COMPUTED_VALUE"""),"PERE")</f>
        <v>PERE</v>
      </c>
      <c r="AF529" s="1" t="str">
        <f ca="1">IFERROR(__xludf.DUMMYFUNCTION("""COMPUTED_VALUE"""),"FRANCE")</f>
        <v>FRANCE</v>
      </c>
      <c r="AG529" s="1" t="str">
        <f ca="1">IFERROR(__xludf.DUMMYFUNCTION("""COMPUTED_VALUE"""),"FRANCE")</f>
        <v>FRANCE</v>
      </c>
      <c r="AH529" s="1"/>
      <c r="AI529" s="1"/>
      <c r="AJ529" s="1" t="str">
        <f ca="1">IFERROR(__xludf.DUMMYFUNCTION("""COMPUTED_VALUE"""),"F1513")</f>
        <v>F1513</v>
      </c>
      <c r="AK529" s="1" t="str">
        <f ca="1">IFERROR(__xludf.DUMMYFUNCTION("""COMPUTED_VALUE"""),"Célibataire")</f>
        <v>Célibataire</v>
      </c>
      <c r="AL529" s="1" t="str">
        <f ca="1">IFERROR(__xludf.DUMMYFUNCTION("""COMPUTED_VALUE"""),"Marié(e)")</f>
        <v>Marié(e)</v>
      </c>
      <c r="AM529" s="1" t="str">
        <f ca="1">IFERROR(__xludf.DUMMYFUNCTION("""COMPUTED_VALUE"""),"F1513")</f>
        <v>F1513</v>
      </c>
    </row>
    <row r="530" spans="1:39" ht="13" x14ac:dyDescent="0.15">
      <c r="A530" s="1" t="str">
        <f ca="1">IFERROR(__xludf.DUMMYFUNCTION("""COMPUTED_VALUE"""),"RUNG Agathe")</f>
        <v>RUNG Agathe</v>
      </c>
      <c r="B530" s="1" t="str">
        <f ca="1">IFERROR(__xludf.DUMMYFUNCTION("""COMPUTED_VALUE"""),"RUNG")</f>
        <v>RUNG</v>
      </c>
      <c r="C530" s="1" t="str">
        <f ca="1">IFERROR(__xludf.DUMMYFUNCTION("""COMPUTED_VALUE"""),"Agathe")</f>
        <v>Agathe</v>
      </c>
      <c r="D530" s="1" t="str">
        <f ca="1">IFERROR(__xludf.DUMMYFUNCTION("""COMPUTED_VALUE"""),"1553E1")</f>
        <v>1553E1</v>
      </c>
      <c r="E530" s="2">
        <f ca="1">IFERROR(__xludf.DUMMYFUNCTION("""COMPUTED_VALUE"""),39944)</f>
        <v>39944</v>
      </c>
      <c r="F530" s="1" t="str">
        <f ca="1">IFERROR(__xludf.DUMMYFUNCTION("""COMPUTED_VALUE"""),"1ERE2")</f>
        <v>1ERE2</v>
      </c>
      <c r="G530" s="1" t="str">
        <f ca="1">IFERROR(__xludf.DUMMYFUNCTION("""COMPUTED_VALUE"""),"1ère")</f>
        <v>1ère</v>
      </c>
      <c r="H530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530" s="1" t="str">
        <f ca="1">IFERROR(__xludf.DUMMYFUNCTION("""COMPUTED_VALUE"""),"LVA Anglais")</f>
        <v>LVA Anglais</v>
      </c>
      <c r="J530" s="1" t="str">
        <f ca="1">IFERROR(__xludf.DUMMYFUNCTION("""COMPUTED_VALUE"""),"LVB Espagnol")</f>
        <v>LVB Espagnol</v>
      </c>
      <c r="K530" s="1"/>
      <c r="L530" s="1"/>
      <c r="M530" s="1" t="str">
        <f ca="1">IFERROR(__xludf.DUMMYFUNCTION("""COMPUTED_VALUE"""),"SPE HGGSP, SPE MATHS, SPE SES")</f>
        <v>SPE HGGSP, SPE MATHS, SPE SES</v>
      </c>
      <c r="N530" s="1" t="str">
        <f ca="1">IFERROR(__xludf.DUMMYFUNCTION("""COMPUTED_VALUE"""),"Fille")</f>
        <v>Fille</v>
      </c>
      <c r="O530" s="1"/>
      <c r="P530" s="1" t="str">
        <f ca="1">IFERROR(__xludf.DUMMYFUNCTION("""COMPUTED_VALUE"""),"FRANCE")</f>
        <v>FRANCE</v>
      </c>
      <c r="Q530" s="1"/>
      <c r="R530" s="1" t="str">
        <f ca="1">IFERROR(__xludf.DUMMYFUNCTION("""COMPUTED_VALUE"""),"agathe.rung@lfjpsaly.org")</f>
        <v>agathe.rung@lfjpsaly.org</v>
      </c>
      <c r="S530" s="1" t="str">
        <f ca="1">IFERROR(__xludf.DUMMYFUNCTION("""COMPUTED_VALUE"""),"+221 78 168 51 30")</f>
        <v>+221 78 168 51 30</v>
      </c>
      <c r="T530" s="1" t="str">
        <f ca="1">IFERROR(__xludf.DUMMYFUNCTION("""COMPUTED_VALUE"""),"KREMER Laurence")</f>
        <v>KREMER Laurence</v>
      </c>
      <c r="U530" s="1" t="str">
        <f ca="1">IFERROR(__xludf.DUMMYFUNCTION("""COMPUTED_VALUE"""),"RUNG Steve")</f>
        <v>RUNG Steve</v>
      </c>
      <c r="V530" s="1" t="str">
        <f ca="1">IFERROR(__xludf.DUMMYFUNCTION("""COMPUTED_VALUE"""),"steve.laurence@laposte.net")</f>
        <v>steve.laurence@laposte.net</v>
      </c>
      <c r="W530" s="1" t="str">
        <f ca="1">IFERROR(__xludf.DUMMYFUNCTION("""COMPUTED_VALUE"""),"steverung@hotmail.com")</f>
        <v>steverung@hotmail.com</v>
      </c>
      <c r="X530" s="1" t="str">
        <f ca="1">IFERROR(__xludf.DUMMYFUNCTION("""COMPUTED_VALUE"""),"+221 77 713 88 54")</f>
        <v>+221 77 713 88 54</v>
      </c>
      <c r="Y530" s="1" t="str">
        <f ca="1">IFERROR(__xludf.DUMMYFUNCTION("""COMPUTED_VALUE"""),"+221 78 168 51 30")</f>
        <v>+221 78 168 51 30</v>
      </c>
      <c r="Z530" s="1"/>
      <c r="AA530" s="1" t="str">
        <f ca="1">IFERROR(__xludf.DUMMYFUNCTION("""COMPUTED_VALUE"""),"+221")</f>
        <v>+221</v>
      </c>
      <c r="AB530" s="2">
        <f ca="1">IFERROR(__xludf.DUMMYFUNCTION("""COMPUTED_VALUE"""),27862)</f>
        <v>27862</v>
      </c>
      <c r="AC530" s="2">
        <f ca="1">IFERROR(__xludf.DUMMYFUNCTION("""COMPUTED_VALUE"""),27471)</f>
        <v>27471</v>
      </c>
      <c r="AD530" s="1" t="str">
        <f ca="1">IFERROR(__xludf.DUMMYFUNCTION("""COMPUTED_VALUE"""),"MERE")</f>
        <v>MERE</v>
      </c>
      <c r="AE530" s="1" t="str">
        <f ca="1">IFERROR(__xludf.DUMMYFUNCTION("""COMPUTED_VALUE"""),"PERE")</f>
        <v>PERE</v>
      </c>
      <c r="AF530" s="1" t="str">
        <f ca="1">IFERROR(__xludf.DUMMYFUNCTION("""COMPUTED_VALUE"""),"FRANCE")</f>
        <v>FRANCE</v>
      </c>
      <c r="AG530" s="1" t="str">
        <f ca="1">IFERROR(__xludf.DUMMYFUNCTION("""COMPUTED_VALUE"""),"FRANCE")</f>
        <v>FRANCE</v>
      </c>
      <c r="AH530" s="1"/>
      <c r="AI530" s="1"/>
      <c r="AJ530" s="1" t="str">
        <f ca="1">IFERROR(__xludf.DUMMYFUNCTION("""COMPUTED_VALUE"""),"F1553")</f>
        <v>F1553</v>
      </c>
      <c r="AK530" s="1" t="str">
        <f ca="1">IFERROR(__xludf.DUMMYFUNCTION("""COMPUTED_VALUE"""),"Pacsé(e)")</f>
        <v>Pacsé(e)</v>
      </c>
      <c r="AL530" s="1" t="str">
        <f ca="1">IFERROR(__xludf.DUMMYFUNCTION("""COMPUTED_VALUE"""),"Pacsé(e)")</f>
        <v>Pacsé(e)</v>
      </c>
      <c r="AM530" s="1" t="str">
        <f ca="1">IFERROR(__xludf.DUMMYFUNCTION("""COMPUTED_VALUE"""),"F1553")</f>
        <v>F1553</v>
      </c>
    </row>
    <row r="531" spans="1:39" ht="13" x14ac:dyDescent="0.15">
      <c r="A531" s="1" t="str">
        <f ca="1">IFERROR(__xludf.DUMMYFUNCTION("""COMPUTED_VALUE"""),"RUNG Axel")</f>
        <v>RUNG Axel</v>
      </c>
      <c r="B531" s="1" t="str">
        <f ca="1">IFERROR(__xludf.DUMMYFUNCTION("""COMPUTED_VALUE"""),"RUNG")</f>
        <v>RUNG</v>
      </c>
      <c r="C531" s="1" t="str">
        <f ca="1">IFERROR(__xludf.DUMMYFUNCTION("""COMPUTED_VALUE"""),"Axel")</f>
        <v>Axel</v>
      </c>
      <c r="D531" s="1" t="str">
        <f ca="1">IFERROR(__xludf.DUMMYFUNCTION("""COMPUTED_VALUE"""),"1553E2")</f>
        <v>1553E2</v>
      </c>
      <c r="E531" s="2">
        <f ca="1">IFERROR(__xludf.DUMMYFUNCTION("""COMPUTED_VALUE"""),40973)</f>
        <v>40973</v>
      </c>
      <c r="F531" s="1" t="str">
        <f ca="1">IFERROR(__xludf.DUMMYFUNCTION("""COMPUTED_VALUE"""),"4EME1")</f>
        <v>4EME1</v>
      </c>
      <c r="G531" s="1" t="str">
        <f ca="1">IFERROR(__xludf.DUMMYFUNCTION("""COMPUTED_VALUE"""),"4ème")</f>
        <v>4ème</v>
      </c>
      <c r="H531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531" s="1" t="str">
        <f ca="1">IFERROR(__xludf.DUMMYFUNCTION("""COMPUTED_VALUE"""),"LVA Anglais")</f>
        <v>LVA Anglais</v>
      </c>
      <c r="J531" s="1" t="str">
        <f ca="1">IFERROR(__xludf.DUMMYFUNCTION("""COMPUTED_VALUE"""),"LVB Espagnol")</f>
        <v>LVB Espagnol</v>
      </c>
      <c r="K531" s="1"/>
      <c r="L531" s="1"/>
      <c r="M531" s="1"/>
      <c r="N531" s="1" t="str">
        <f ca="1">IFERROR(__xludf.DUMMYFUNCTION("""COMPUTED_VALUE"""),"Garçon")</f>
        <v>Garçon</v>
      </c>
      <c r="O531" s="1"/>
      <c r="P531" s="1" t="str">
        <f ca="1">IFERROR(__xludf.DUMMYFUNCTION("""COMPUTED_VALUE"""),"FRANCE")</f>
        <v>FRANCE</v>
      </c>
      <c r="Q531" s="1"/>
      <c r="R531" s="1" t="str">
        <f ca="1">IFERROR(__xludf.DUMMYFUNCTION("""COMPUTED_VALUE"""),"axel.rung@lfjpsaly.org")</f>
        <v>axel.rung@lfjpsaly.org</v>
      </c>
      <c r="S531" s="1" t="str">
        <f ca="1">IFERROR(__xludf.DUMMYFUNCTION("""COMPUTED_VALUE"""),"+221 78 168 51 30")</f>
        <v>+221 78 168 51 30</v>
      </c>
      <c r="T531" s="1" t="str">
        <f ca="1">IFERROR(__xludf.DUMMYFUNCTION("""COMPUTED_VALUE"""),"KREMER Laurence")</f>
        <v>KREMER Laurence</v>
      </c>
      <c r="U531" s="1" t="str">
        <f ca="1">IFERROR(__xludf.DUMMYFUNCTION("""COMPUTED_VALUE"""),"RUNG Steve")</f>
        <v>RUNG Steve</v>
      </c>
      <c r="V531" s="1" t="str">
        <f ca="1">IFERROR(__xludf.DUMMYFUNCTION("""COMPUTED_VALUE"""),"steve.laurence@laposte.net")</f>
        <v>steve.laurence@laposte.net</v>
      </c>
      <c r="W531" s="1" t="str">
        <f ca="1">IFERROR(__xludf.DUMMYFUNCTION("""COMPUTED_VALUE"""),"steverung@hotmail.com")</f>
        <v>steverung@hotmail.com</v>
      </c>
      <c r="X531" s="1" t="str">
        <f ca="1">IFERROR(__xludf.DUMMYFUNCTION("""COMPUTED_VALUE"""),"+221 77 713 88 54")</f>
        <v>+221 77 713 88 54</v>
      </c>
      <c r="Y531" s="1" t="str">
        <f ca="1">IFERROR(__xludf.DUMMYFUNCTION("""COMPUTED_VALUE"""),"+221 78 168 51 30")</f>
        <v>+221 78 168 51 30</v>
      </c>
      <c r="Z531" s="1"/>
      <c r="AA531" s="1" t="str">
        <f ca="1">IFERROR(__xludf.DUMMYFUNCTION("""COMPUTED_VALUE"""),"+221")</f>
        <v>+221</v>
      </c>
      <c r="AB531" s="2">
        <f ca="1">IFERROR(__xludf.DUMMYFUNCTION("""COMPUTED_VALUE"""),27862)</f>
        <v>27862</v>
      </c>
      <c r="AC531" s="2">
        <f ca="1">IFERROR(__xludf.DUMMYFUNCTION("""COMPUTED_VALUE"""),27471)</f>
        <v>27471</v>
      </c>
      <c r="AD531" s="1" t="str">
        <f ca="1">IFERROR(__xludf.DUMMYFUNCTION("""COMPUTED_VALUE"""),"MERE")</f>
        <v>MERE</v>
      </c>
      <c r="AE531" s="1" t="str">
        <f ca="1">IFERROR(__xludf.DUMMYFUNCTION("""COMPUTED_VALUE"""),"PERE")</f>
        <v>PERE</v>
      </c>
      <c r="AF531" s="1" t="str">
        <f ca="1">IFERROR(__xludf.DUMMYFUNCTION("""COMPUTED_VALUE"""),"FRANCE")</f>
        <v>FRANCE</v>
      </c>
      <c r="AG531" s="1" t="str">
        <f ca="1">IFERROR(__xludf.DUMMYFUNCTION("""COMPUTED_VALUE"""),"FRANCE")</f>
        <v>FRANCE</v>
      </c>
      <c r="AH531" s="1"/>
      <c r="AI531" s="1"/>
      <c r="AJ531" s="1" t="str">
        <f ca="1">IFERROR(__xludf.DUMMYFUNCTION("""COMPUTED_VALUE"""),"F1553")</f>
        <v>F1553</v>
      </c>
      <c r="AK531" s="1" t="str">
        <f ca="1">IFERROR(__xludf.DUMMYFUNCTION("""COMPUTED_VALUE"""),"Pacsé(e)")</f>
        <v>Pacsé(e)</v>
      </c>
      <c r="AL531" s="1" t="str">
        <f ca="1">IFERROR(__xludf.DUMMYFUNCTION("""COMPUTED_VALUE"""),"Pacsé(e)")</f>
        <v>Pacsé(e)</v>
      </c>
      <c r="AM531" s="1" t="str">
        <f ca="1">IFERROR(__xludf.DUMMYFUNCTION("""COMPUTED_VALUE"""),"F1553")</f>
        <v>F1553</v>
      </c>
    </row>
    <row r="532" spans="1:39" ht="13" x14ac:dyDescent="0.15">
      <c r="A532" s="1" t="str">
        <f ca="1">IFERROR(__xludf.DUMMYFUNCTION("""COMPUTED_VALUE"""),"SAAD Fares")</f>
        <v>SAAD Fares</v>
      </c>
      <c r="B532" s="1" t="str">
        <f ca="1">IFERROR(__xludf.DUMMYFUNCTION("""COMPUTED_VALUE"""),"SAAD")</f>
        <v>SAAD</v>
      </c>
      <c r="C532" s="1" t="str">
        <f ca="1">IFERROR(__xludf.DUMMYFUNCTION("""COMPUTED_VALUE"""),"Fares")</f>
        <v>Fares</v>
      </c>
      <c r="D532" s="1" t="str">
        <f ca="1">IFERROR(__xludf.DUMMYFUNCTION("""COMPUTED_VALUE"""),"1554E1")</f>
        <v>1554E1</v>
      </c>
      <c r="E532" s="2">
        <f ca="1">IFERROR(__xludf.DUMMYFUNCTION("""COMPUTED_VALUE"""),39937)</f>
        <v>39937</v>
      </c>
      <c r="F532" s="1" t="str">
        <f ca="1">IFERROR(__xludf.DUMMYFUNCTION("""COMPUTED_VALUE"""),"2NDE2")</f>
        <v>2NDE2</v>
      </c>
      <c r="G532" s="1" t="str">
        <f ca="1">IFERROR(__xludf.DUMMYFUNCTION("""COMPUTED_VALUE"""),"2nde")</f>
        <v>2nde</v>
      </c>
      <c r="H532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532" s="1" t="str">
        <f ca="1">IFERROR(__xludf.DUMMYFUNCTION("""COMPUTED_VALUE"""),"LVA Anglais")</f>
        <v>LVA Anglais</v>
      </c>
      <c r="J532" s="1" t="str">
        <f ca="1">IFERROR(__xludf.DUMMYFUNCTION("""COMPUTED_VALUE"""),"LVB Espagnol")</f>
        <v>LVB Espagnol</v>
      </c>
      <c r="K532" s="1"/>
      <c r="L532" s="1"/>
      <c r="M532" s="1"/>
      <c r="N532" s="1" t="str">
        <f ca="1">IFERROR(__xludf.DUMMYFUNCTION("""COMPUTED_VALUE"""),"Garçon")</f>
        <v>Garçon</v>
      </c>
      <c r="O532" s="1"/>
      <c r="P532" s="1" t="str">
        <f ca="1">IFERROR(__xludf.DUMMYFUNCTION("""COMPUTED_VALUE"""),"SENEGAL")</f>
        <v>SENEGAL</v>
      </c>
      <c r="Q532" s="1" t="str">
        <f ca="1">IFERROR(__xludf.DUMMYFUNCTION("""COMPUTED_VALUE"""),"LIBAN")</f>
        <v>LIBAN</v>
      </c>
      <c r="R532" s="1" t="str">
        <f ca="1">IFERROR(__xludf.DUMMYFUNCTION("""COMPUTED_VALUE"""),"fares.saad@lfjpsaly.org")</f>
        <v>fares.saad@lfjpsaly.org</v>
      </c>
      <c r="S532" s="1"/>
      <c r="T532" s="1" t="str">
        <f ca="1">IFERROR(__xludf.DUMMYFUNCTION("""COMPUTED_VALUE"""),"SAAD Nadia")</f>
        <v>SAAD Nadia</v>
      </c>
      <c r="U532" s="1" t="str">
        <f ca="1">IFERROR(__xludf.DUMMYFUNCTION("""COMPUTED_VALUE"""),"SAAD Hussein")</f>
        <v>SAAD Hussein</v>
      </c>
      <c r="V532" s="1" t="str">
        <f ca="1">IFERROR(__xludf.DUMMYFUNCTION("""COMPUTED_VALUE"""),"nadiasaad5109@gmail.com")</f>
        <v>nadiasaad5109@gmail.com</v>
      </c>
      <c r="W532" s="1" t="str">
        <f ca="1">IFERROR(__xludf.DUMMYFUNCTION("""COMPUTED_VALUE"""),"hussein.saad@papisen.sn")</f>
        <v>hussein.saad@papisen.sn</v>
      </c>
      <c r="X532" s="1" t="str">
        <f ca="1">IFERROR(__xludf.DUMMYFUNCTION("""COMPUTED_VALUE"""),"776447678")</f>
        <v>776447678</v>
      </c>
      <c r="Y532" s="1" t="str">
        <f ca="1">IFERROR(__xludf.DUMMYFUNCTION("""COMPUTED_VALUE"""),"776393001")</f>
        <v>776393001</v>
      </c>
      <c r="Z532" s="1"/>
      <c r="AA532" s="1"/>
      <c r="AB532" s="1"/>
      <c r="AC532" s="1"/>
      <c r="AD532" s="1" t="str">
        <f ca="1">IFERROR(__xludf.DUMMYFUNCTION("""COMPUTED_VALUE"""),"PERE")</f>
        <v>PERE</v>
      </c>
      <c r="AE532" s="1" t="str">
        <f ca="1">IFERROR(__xludf.DUMMYFUNCTION("""COMPUTED_VALUE"""),"MERE")</f>
        <v>MERE</v>
      </c>
      <c r="AF532" s="1" t="str">
        <f ca="1">IFERROR(__xludf.DUMMYFUNCTION("""COMPUTED_VALUE"""),"SENEGAL")</f>
        <v>SENEGAL</v>
      </c>
      <c r="AG532" s="1" t="str">
        <f ca="1">IFERROR(__xludf.DUMMYFUNCTION("""COMPUTED_VALUE"""),"LIBAN")</f>
        <v>LIBAN</v>
      </c>
      <c r="AH532" s="1" t="str">
        <f ca="1">IFERROR(__xludf.DUMMYFUNCTION("""COMPUTED_VALUE"""),"LIBAN")</f>
        <v>LIBAN</v>
      </c>
      <c r="AI532" s="1" t="str">
        <f ca="1">IFERROR(__xludf.DUMMYFUNCTION("""COMPUTED_VALUE"""),"SENEGAL")</f>
        <v>SENEGAL</v>
      </c>
      <c r="AJ532" s="1" t="str">
        <f ca="1">IFERROR(__xludf.DUMMYFUNCTION("""COMPUTED_VALUE"""),"F1554")</f>
        <v>F1554</v>
      </c>
      <c r="AK532" s="1"/>
      <c r="AL532" s="1"/>
      <c r="AM532" s="1" t="str">
        <f ca="1">IFERROR(__xludf.DUMMYFUNCTION("""COMPUTED_VALUE"""),"F1554")</f>
        <v>F1554</v>
      </c>
    </row>
    <row r="533" spans="1:39" ht="13" x14ac:dyDescent="0.15">
      <c r="A533" s="1" t="str">
        <f ca="1">IFERROR(__xludf.DUMMYFUNCTION("""COMPUTED_VALUE"""),"SAINTAGNE Enzo")</f>
        <v>SAINTAGNE Enzo</v>
      </c>
      <c r="B533" s="1" t="str">
        <f ca="1">IFERROR(__xludf.DUMMYFUNCTION("""COMPUTED_VALUE"""),"SAINTAGNE")</f>
        <v>SAINTAGNE</v>
      </c>
      <c r="C533" s="1" t="str">
        <f ca="1">IFERROR(__xludf.DUMMYFUNCTION("""COMPUTED_VALUE"""),"Enzo")</f>
        <v>Enzo</v>
      </c>
      <c r="D533" s="1" t="str">
        <f ca="1">IFERROR(__xludf.DUMMYFUNCTION("""COMPUTED_VALUE"""),"1555E2")</f>
        <v>1555E2</v>
      </c>
      <c r="E533" s="2">
        <f ca="1">IFERROR(__xludf.DUMMYFUNCTION("""COMPUTED_VALUE"""),39715)</f>
        <v>39715</v>
      </c>
      <c r="F533" s="1" t="str">
        <f ca="1">IFERROR(__xludf.DUMMYFUNCTION("""COMPUTED_VALUE"""),"2NDE2")</f>
        <v>2NDE2</v>
      </c>
      <c r="G533" s="1" t="str">
        <f ca="1">IFERROR(__xludf.DUMMYFUNCTION("""COMPUTED_VALUE"""),"2nde")</f>
        <v>2nde</v>
      </c>
      <c r="H533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533" s="1" t="str">
        <f ca="1">IFERROR(__xludf.DUMMYFUNCTION("""COMPUTED_VALUE"""),"LVA Anglais")</f>
        <v>LVA Anglais</v>
      </c>
      <c r="J533" s="1" t="str">
        <f ca="1">IFERROR(__xludf.DUMMYFUNCTION("""COMPUTED_VALUE"""),"LVB Espagnol")</f>
        <v>LVB Espagnol</v>
      </c>
      <c r="K533" s="1"/>
      <c r="L533" s="1"/>
      <c r="M533" s="1"/>
      <c r="N533" s="1" t="str">
        <f ca="1">IFERROR(__xludf.DUMMYFUNCTION("""COMPUTED_VALUE"""),"Garçon")</f>
        <v>Garçon</v>
      </c>
      <c r="O533" s="1"/>
      <c r="P533" s="1" t="str">
        <f ca="1">IFERROR(__xludf.DUMMYFUNCTION("""COMPUTED_VALUE"""),"FRANCE")</f>
        <v>FRANCE</v>
      </c>
      <c r="Q533" s="1"/>
      <c r="R533" s="1" t="str">
        <f ca="1">IFERROR(__xludf.DUMMYFUNCTION("""COMPUTED_VALUE"""),"enzo.saintagne@lfjpsaly.org")</f>
        <v>enzo.saintagne@lfjpsaly.org</v>
      </c>
      <c r="S533" s="1" t="str">
        <f ca="1">IFERROR(__xludf.DUMMYFUNCTION("""COMPUTED_VALUE"""),"+221 78 486 03 38")</f>
        <v>+221 78 486 03 38</v>
      </c>
      <c r="T533" s="1" t="str">
        <f ca="1">IFERROR(__xludf.DUMMYFUNCTION("""COMPUTED_VALUE"""),"SAINTAGNE Michel")</f>
        <v>SAINTAGNE Michel</v>
      </c>
      <c r="U533" s="1" t="str">
        <f ca="1">IFERROR(__xludf.DUMMYFUNCTION("""COMPUTED_VALUE"""),"NDIAYE Hélène")</f>
        <v>NDIAYE Hélène</v>
      </c>
      <c r="V533" s="1" t="str">
        <f ca="1">IFERROR(__xludf.DUMMYFUNCTION("""COMPUTED_VALUE"""),"saintagnemichel@yahoo.fr")</f>
        <v>saintagnemichel@yahoo.fr</v>
      </c>
      <c r="W533" s="1" t="str">
        <f ca="1">IFERROR(__xludf.DUMMYFUNCTION("""COMPUTED_VALUE"""),"saintagnemichel@yahoo.fr")</f>
        <v>saintagnemichel@yahoo.fr</v>
      </c>
      <c r="X533" s="1" t="str">
        <f ca="1">IFERROR(__xludf.DUMMYFUNCTION("""COMPUTED_VALUE"""),"+221 77 865 45 65")</f>
        <v>+221 77 865 45 65</v>
      </c>
      <c r="Y533" s="1" t="str">
        <f ca="1">IFERROR(__xludf.DUMMYFUNCTION("""COMPUTED_VALUE"""),"+221 78 385 76 60")</f>
        <v>+221 78 385 76 60</v>
      </c>
      <c r="Z533" s="1"/>
      <c r="AA533" s="1"/>
      <c r="AB533" s="2">
        <f ca="1">IFERROR(__xludf.DUMMYFUNCTION("""COMPUTED_VALUE"""),22224)</f>
        <v>22224</v>
      </c>
      <c r="AC533" s="2">
        <f ca="1">IFERROR(__xludf.DUMMYFUNCTION("""COMPUTED_VALUE"""),34781)</f>
        <v>34781</v>
      </c>
      <c r="AD533" s="1" t="str">
        <f ca="1">IFERROR(__xludf.DUMMYFUNCTION("""COMPUTED_VALUE"""),"PERE")</f>
        <v>PERE</v>
      </c>
      <c r="AE533" s="1" t="str">
        <f ca="1">IFERROR(__xludf.DUMMYFUNCTION("""COMPUTED_VALUE"""),"MERE")</f>
        <v>MERE</v>
      </c>
      <c r="AF533" s="1" t="str">
        <f ca="1">IFERROR(__xludf.DUMMYFUNCTION("""COMPUTED_VALUE"""),"FRANCE")</f>
        <v>FRANCE</v>
      </c>
      <c r="AG533" s="1" t="str">
        <f ca="1">IFERROR(__xludf.DUMMYFUNCTION("""COMPUTED_VALUE"""),"SENEGAL")</f>
        <v>SENEGAL</v>
      </c>
      <c r="AH533" s="1"/>
      <c r="AI533" s="1"/>
      <c r="AJ533" s="1" t="str">
        <f ca="1">IFERROR(__xludf.DUMMYFUNCTION("""COMPUTED_VALUE"""),"F1555")</f>
        <v>F1555</v>
      </c>
      <c r="AK533" s="1" t="str">
        <f ca="1">IFERROR(__xludf.DUMMYFUNCTION("""COMPUTED_VALUE"""),"Marié(e)")</f>
        <v>Marié(e)</v>
      </c>
      <c r="AL533" s="1" t="str">
        <f ca="1">IFERROR(__xludf.DUMMYFUNCTION("""COMPUTED_VALUE"""),"Marié(e)")</f>
        <v>Marié(e)</v>
      </c>
      <c r="AM533" s="1" t="str">
        <f ca="1">IFERROR(__xludf.DUMMYFUNCTION("""COMPUTED_VALUE"""),"F1555")</f>
        <v>F1555</v>
      </c>
    </row>
    <row r="534" spans="1:39" ht="13" x14ac:dyDescent="0.15">
      <c r="A534" s="1" t="str">
        <f ca="1">IFERROR(__xludf.DUMMYFUNCTION("""COMPUTED_VALUE"""),"SAKHO Rokhaya Marie Raissa")</f>
        <v>SAKHO Rokhaya Marie Raissa</v>
      </c>
      <c r="B534" s="1" t="str">
        <f ca="1">IFERROR(__xludf.DUMMYFUNCTION("""COMPUTED_VALUE"""),"SAKHO")</f>
        <v>SAKHO</v>
      </c>
      <c r="C534" s="1" t="str">
        <f ca="1">IFERROR(__xludf.DUMMYFUNCTION("""COMPUTED_VALUE"""),"Rokhaya Marie Raissa")</f>
        <v>Rokhaya Marie Raissa</v>
      </c>
      <c r="D534" s="1" t="str">
        <f ca="1">IFERROR(__xludf.DUMMYFUNCTION("""COMPUTED_VALUE"""),"1556E2")</f>
        <v>1556E2</v>
      </c>
      <c r="E534" s="2">
        <f ca="1">IFERROR(__xludf.DUMMYFUNCTION("""COMPUTED_VALUE"""),41020)</f>
        <v>41020</v>
      </c>
      <c r="F534" s="1" t="str">
        <f ca="1">IFERROR(__xludf.DUMMYFUNCTION("""COMPUTED_VALUE"""),"4EME1")</f>
        <v>4EME1</v>
      </c>
      <c r="G534" s="1" t="str">
        <f ca="1">IFERROR(__xludf.DUMMYFUNCTION("""COMPUTED_VALUE"""),"4ème")</f>
        <v>4ème</v>
      </c>
      <c r="H534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534" s="1" t="str">
        <f ca="1">IFERROR(__xludf.DUMMYFUNCTION("""COMPUTED_VALUE"""),"LVA Anglais")</f>
        <v>LVA Anglais</v>
      </c>
      <c r="J534" s="1" t="str">
        <f ca="1">IFERROR(__xludf.DUMMYFUNCTION("""COMPUTED_VALUE"""),"LVB Espagnol")</f>
        <v>LVB Espagnol</v>
      </c>
      <c r="K534" s="1"/>
      <c r="L534" s="1"/>
      <c r="M534" s="1"/>
      <c r="N534" s="1" t="str">
        <f ca="1">IFERROR(__xludf.DUMMYFUNCTION("""COMPUTED_VALUE"""),"Fille")</f>
        <v>Fille</v>
      </c>
      <c r="O534" s="1"/>
      <c r="P534" s="1" t="str">
        <f ca="1">IFERROR(__xludf.DUMMYFUNCTION("""COMPUTED_VALUE"""),"SENEGAL")</f>
        <v>SENEGAL</v>
      </c>
      <c r="Q534" s="1" t="str">
        <f ca="1">IFERROR(__xludf.DUMMYFUNCTION("""COMPUTED_VALUE"""),"CANADA")</f>
        <v>CANADA</v>
      </c>
      <c r="R534" s="1" t="str">
        <f ca="1">IFERROR(__xludf.DUMMYFUNCTION("""COMPUTED_VALUE"""),"rokhaya.sakho@lfjpsaly.org")</f>
        <v>rokhaya.sakho@lfjpsaly.org</v>
      </c>
      <c r="S534" s="1" t="str">
        <f ca="1">IFERROR(__xludf.DUMMYFUNCTION("""COMPUTED_VALUE"""),"+221")</f>
        <v>+221</v>
      </c>
      <c r="T534" s="1" t="str">
        <f ca="1">IFERROR(__xludf.DUMMYFUNCTION("""COMPUTED_VALUE"""),"DIOP Isseu")</f>
        <v>DIOP Isseu</v>
      </c>
      <c r="U534" s="1" t="str">
        <f ca="1">IFERROR(__xludf.DUMMYFUNCTION("""COMPUTED_VALUE"""),"SAKHO Thierno")</f>
        <v>SAKHO Thierno</v>
      </c>
      <c r="V534" s="1" t="str">
        <f ca="1">IFERROR(__xludf.DUMMYFUNCTION("""COMPUTED_VALUE"""),"isseudiop@gmail.com")</f>
        <v>isseudiop@gmail.com</v>
      </c>
      <c r="W534" s="1" t="str">
        <f ca="1">IFERROR(__xludf.DUMMYFUNCTION("""COMPUTED_VALUE"""),"financieresakho@gmail.com")</f>
        <v>financieresakho@gmail.com</v>
      </c>
      <c r="X534" s="1" t="str">
        <f ca="1">IFERROR(__xludf.DUMMYFUNCTION("""COMPUTED_VALUE"""),"+221 77 282 26 33")</f>
        <v>+221 77 282 26 33</v>
      </c>
      <c r="Y534" s="1" t="str">
        <f ca="1">IFERROR(__xludf.DUMMYFUNCTION("""COMPUTED_VALUE"""),"+221 77 253 15 09")</f>
        <v>+221 77 253 15 09</v>
      </c>
      <c r="Z534" s="1" t="str">
        <f ca="1">IFERROR(__xludf.DUMMYFUNCTION("""COMPUTED_VALUE"""),"+221")</f>
        <v>+221</v>
      </c>
      <c r="AA534" s="1" t="str">
        <f ca="1">IFERROR(__xludf.DUMMYFUNCTION("""COMPUTED_VALUE"""),"+221")</f>
        <v>+221</v>
      </c>
      <c r="AB534" s="2">
        <f ca="1">IFERROR(__xludf.DUMMYFUNCTION("""COMPUTED_VALUE"""),31050)</f>
        <v>31050</v>
      </c>
      <c r="AC534" s="2">
        <f ca="1">IFERROR(__xludf.DUMMYFUNCTION("""COMPUTED_VALUE"""),29984)</f>
        <v>29984</v>
      </c>
      <c r="AD534" s="1" t="str">
        <f ca="1">IFERROR(__xludf.DUMMYFUNCTION("""COMPUTED_VALUE"""),"MERE")</f>
        <v>MERE</v>
      </c>
      <c r="AE534" s="1" t="str">
        <f ca="1">IFERROR(__xludf.DUMMYFUNCTION("""COMPUTED_VALUE"""),"PERE")</f>
        <v>PERE</v>
      </c>
      <c r="AF534" s="1" t="str">
        <f ca="1">IFERROR(__xludf.DUMMYFUNCTION("""COMPUTED_VALUE"""),"SENEGAL")</f>
        <v>SENEGAL</v>
      </c>
      <c r="AG534" s="1" t="str">
        <f ca="1">IFERROR(__xludf.DUMMYFUNCTION("""COMPUTED_VALUE"""),"SENEGAL")</f>
        <v>SENEGAL</v>
      </c>
      <c r="AH534" s="1" t="str">
        <f ca="1">IFERROR(__xludf.DUMMYFUNCTION("""COMPUTED_VALUE"""),"CANADA")</f>
        <v>CANADA</v>
      </c>
      <c r="AI534" s="1"/>
      <c r="AJ534" s="1" t="str">
        <f ca="1">IFERROR(__xludf.DUMMYFUNCTION("""COMPUTED_VALUE"""),"F1556")</f>
        <v>F1556</v>
      </c>
      <c r="AK534" s="1" t="str">
        <f ca="1">IFERROR(__xludf.DUMMYFUNCTION("""COMPUTED_VALUE"""),"Marié(e)")</f>
        <v>Marié(e)</v>
      </c>
      <c r="AL534" s="1" t="str">
        <f ca="1">IFERROR(__xludf.DUMMYFUNCTION("""COMPUTED_VALUE"""),"Marié(e)")</f>
        <v>Marié(e)</v>
      </c>
      <c r="AM534" s="1" t="str">
        <f ca="1">IFERROR(__xludf.DUMMYFUNCTION("""COMPUTED_VALUE"""),"F1556")</f>
        <v>F1556</v>
      </c>
    </row>
    <row r="535" spans="1:39" ht="13" x14ac:dyDescent="0.15">
      <c r="A535" s="1" t="str">
        <f ca="1">IFERROR(__xludf.DUMMYFUNCTION("""COMPUTED_VALUE"""),"SAKHO Sokhna Sakina")</f>
        <v>SAKHO Sokhna Sakina</v>
      </c>
      <c r="B535" s="1" t="str">
        <f ca="1">IFERROR(__xludf.DUMMYFUNCTION("""COMPUTED_VALUE"""),"SAKHO")</f>
        <v>SAKHO</v>
      </c>
      <c r="C535" s="1" t="str">
        <f ca="1">IFERROR(__xludf.DUMMYFUNCTION("""COMPUTED_VALUE"""),"Sokhna Sakina")</f>
        <v>Sokhna Sakina</v>
      </c>
      <c r="D535" s="1" t="str">
        <f ca="1">IFERROR(__xludf.DUMMYFUNCTION("""COMPUTED_VALUE"""),"1556E1")</f>
        <v>1556E1</v>
      </c>
      <c r="E535" s="2">
        <f ca="1">IFERROR(__xludf.DUMMYFUNCTION("""COMPUTED_VALUE"""),42498)</f>
        <v>42498</v>
      </c>
      <c r="F535" s="1" t="str">
        <f ca="1">IFERROR(__xludf.DUMMYFUNCTION("""COMPUTED_VALUE"""),"CM1A")</f>
        <v>CM1A</v>
      </c>
      <c r="G535" s="1" t="str">
        <f ca="1">IFERROR(__xludf.DUMMYFUNCTION("""COMPUTED_VALUE"""),"CM1")</f>
        <v>CM1</v>
      </c>
      <c r="H535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535" s="1"/>
      <c r="J535" s="1"/>
      <c r="K535" s="1"/>
      <c r="L535" s="1"/>
      <c r="M535" s="1"/>
      <c r="N535" s="1" t="str">
        <f ca="1">IFERROR(__xludf.DUMMYFUNCTION("""COMPUTED_VALUE"""),"Fille")</f>
        <v>Fille</v>
      </c>
      <c r="O535" s="1"/>
      <c r="P535" s="1" t="str">
        <f ca="1">IFERROR(__xludf.DUMMYFUNCTION("""COMPUTED_VALUE"""),"SENEGAL")</f>
        <v>SENEGAL</v>
      </c>
      <c r="Q535" s="1" t="str">
        <f ca="1">IFERROR(__xludf.DUMMYFUNCTION("""COMPUTED_VALUE"""),"CANADA")</f>
        <v>CANADA</v>
      </c>
      <c r="R535" s="1"/>
      <c r="S535" s="1"/>
      <c r="T535" s="1" t="str">
        <f ca="1">IFERROR(__xludf.DUMMYFUNCTION("""COMPUTED_VALUE"""),"DIOP Isseu")</f>
        <v>DIOP Isseu</v>
      </c>
      <c r="U535" s="1" t="str">
        <f ca="1">IFERROR(__xludf.DUMMYFUNCTION("""COMPUTED_VALUE"""),"SAKHO Thierno")</f>
        <v>SAKHO Thierno</v>
      </c>
      <c r="V535" s="1" t="str">
        <f ca="1">IFERROR(__xludf.DUMMYFUNCTION("""COMPUTED_VALUE"""),"isseudiop@gmail.com")</f>
        <v>isseudiop@gmail.com</v>
      </c>
      <c r="W535" s="1" t="str">
        <f ca="1">IFERROR(__xludf.DUMMYFUNCTION("""COMPUTED_VALUE"""),"financieresakho@gmail.com")</f>
        <v>financieresakho@gmail.com</v>
      </c>
      <c r="X535" s="1" t="str">
        <f ca="1">IFERROR(__xludf.DUMMYFUNCTION("""COMPUTED_VALUE"""),"+221 77 282 26 33")</f>
        <v>+221 77 282 26 33</v>
      </c>
      <c r="Y535" s="1" t="str">
        <f ca="1">IFERROR(__xludf.DUMMYFUNCTION("""COMPUTED_VALUE"""),"+221 77 253 15 09")</f>
        <v>+221 77 253 15 09</v>
      </c>
      <c r="Z535" s="1" t="str">
        <f ca="1">IFERROR(__xludf.DUMMYFUNCTION("""COMPUTED_VALUE"""),"+221")</f>
        <v>+221</v>
      </c>
      <c r="AA535" s="1" t="str">
        <f ca="1">IFERROR(__xludf.DUMMYFUNCTION("""COMPUTED_VALUE"""),"+221")</f>
        <v>+221</v>
      </c>
      <c r="AB535" s="2">
        <f ca="1">IFERROR(__xludf.DUMMYFUNCTION("""COMPUTED_VALUE"""),31050)</f>
        <v>31050</v>
      </c>
      <c r="AC535" s="2">
        <f ca="1">IFERROR(__xludf.DUMMYFUNCTION("""COMPUTED_VALUE"""),29984)</f>
        <v>29984</v>
      </c>
      <c r="AD535" s="1" t="str">
        <f ca="1">IFERROR(__xludf.DUMMYFUNCTION("""COMPUTED_VALUE"""),"MERE")</f>
        <v>MERE</v>
      </c>
      <c r="AE535" s="1" t="str">
        <f ca="1">IFERROR(__xludf.DUMMYFUNCTION("""COMPUTED_VALUE"""),"PERE")</f>
        <v>PERE</v>
      </c>
      <c r="AF535" s="1" t="str">
        <f ca="1">IFERROR(__xludf.DUMMYFUNCTION("""COMPUTED_VALUE"""),"SENEGAL")</f>
        <v>SENEGAL</v>
      </c>
      <c r="AG535" s="1" t="str">
        <f ca="1">IFERROR(__xludf.DUMMYFUNCTION("""COMPUTED_VALUE"""),"SENEGAL")</f>
        <v>SENEGAL</v>
      </c>
      <c r="AH535" s="1" t="str">
        <f ca="1">IFERROR(__xludf.DUMMYFUNCTION("""COMPUTED_VALUE"""),"CANADA")</f>
        <v>CANADA</v>
      </c>
      <c r="AI535" s="1"/>
      <c r="AJ535" s="1" t="str">
        <f ca="1">IFERROR(__xludf.DUMMYFUNCTION("""COMPUTED_VALUE"""),"F1556")</f>
        <v>F1556</v>
      </c>
      <c r="AK535" s="1" t="str">
        <f ca="1">IFERROR(__xludf.DUMMYFUNCTION("""COMPUTED_VALUE"""),"Marié(e)")</f>
        <v>Marié(e)</v>
      </c>
      <c r="AL535" s="1" t="str">
        <f ca="1">IFERROR(__xludf.DUMMYFUNCTION("""COMPUTED_VALUE"""),"Marié(e)")</f>
        <v>Marié(e)</v>
      </c>
      <c r="AM535" s="1" t="str">
        <f ca="1">IFERROR(__xludf.DUMMYFUNCTION("""COMPUTED_VALUE"""),"F1556")</f>
        <v>F1556</v>
      </c>
    </row>
    <row r="536" spans="1:39" ht="13" x14ac:dyDescent="0.15">
      <c r="A536" s="1" t="str">
        <f ca="1">IFERROR(__xludf.DUMMYFUNCTION("""COMPUTED_VALUE"""),"SALL Aissatou")</f>
        <v>SALL Aissatou</v>
      </c>
      <c r="B536" s="1" t="str">
        <f ca="1">IFERROR(__xludf.DUMMYFUNCTION("""COMPUTED_VALUE"""),"SALL")</f>
        <v>SALL</v>
      </c>
      <c r="C536" s="1" t="str">
        <f ca="1">IFERROR(__xludf.DUMMYFUNCTION("""COMPUTED_VALUE"""),"Aissatou")</f>
        <v>Aissatou</v>
      </c>
      <c r="D536" s="1" t="str">
        <f ca="1">IFERROR(__xludf.DUMMYFUNCTION("""COMPUTED_VALUE"""),"1558E1")</f>
        <v>1558E1</v>
      </c>
      <c r="E536" s="2">
        <f ca="1">IFERROR(__xludf.DUMMYFUNCTION("""COMPUTED_VALUE"""),42676)</f>
        <v>42676</v>
      </c>
      <c r="F536" s="1" t="str">
        <f ca="1">IFERROR(__xludf.DUMMYFUNCTION("""COMPUTED_VALUE"""),"CM1A")</f>
        <v>CM1A</v>
      </c>
      <c r="G536" s="1" t="str">
        <f ca="1">IFERROR(__xludf.DUMMYFUNCTION("""COMPUTED_VALUE"""),"CM1")</f>
        <v>CM1</v>
      </c>
      <c r="H536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536" s="1"/>
      <c r="J536" s="1"/>
      <c r="K536" s="1"/>
      <c r="L536" s="1"/>
      <c r="M536" s="1"/>
      <c r="N536" s="1" t="str">
        <f ca="1">IFERROR(__xludf.DUMMYFUNCTION("""COMPUTED_VALUE"""),"Fille")</f>
        <v>Fille</v>
      </c>
      <c r="O536" s="1"/>
      <c r="P536" s="1" t="str">
        <f ca="1">IFERROR(__xludf.DUMMYFUNCTION("""COMPUTED_VALUE"""),"SENEGAL")</f>
        <v>SENEGAL</v>
      </c>
      <c r="Q536" s="1"/>
      <c r="R536" s="1"/>
      <c r="S536" s="1"/>
      <c r="T536" s="1" t="str">
        <f ca="1">IFERROR(__xludf.DUMMYFUNCTION("""COMPUTED_VALUE"""),"SALL Fanta")</f>
        <v>SALL Fanta</v>
      </c>
      <c r="U536" s="1" t="str">
        <f ca="1">IFERROR(__xludf.DUMMYFUNCTION("""COMPUTED_VALUE"""),"SALL Oumar")</f>
        <v>SALL Oumar</v>
      </c>
      <c r="V536" s="1" t="str">
        <f ca="1">IFERROR(__xludf.DUMMYFUNCTION("""COMPUTED_VALUE"""),"fantasakhosall@gmail.com")</f>
        <v>fantasakhosall@gmail.com</v>
      </c>
      <c r="W536" s="1" t="str">
        <f ca="1">IFERROR(__xludf.DUMMYFUNCTION("""COMPUTED_VALUE"""),"salloumar@hotmail.com")</f>
        <v>salloumar@hotmail.com</v>
      </c>
      <c r="X536" s="1" t="str">
        <f ca="1">IFERROR(__xludf.DUMMYFUNCTION("""COMPUTED_VALUE"""),"+221 78 893 12 13")</f>
        <v>+221 78 893 12 13</v>
      </c>
      <c r="Y536" s="1" t="str">
        <f ca="1">IFERROR(__xludf.DUMMYFUNCTION("""COMPUTED_VALUE"""),"+221 77 576 05 77")</f>
        <v>+221 77 576 05 77</v>
      </c>
      <c r="Z536" s="1" t="str">
        <f ca="1">IFERROR(__xludf.DUMMYFUNCTION("""COMPUTED_VALUE"""),"+221 78 893 12 13")</f>
        <v>+221 78 893 12 13</v>
      </c>
      <c r="AA536" s="1"/>
      <c r="AB536" s="2">
        <f ca="1">IFERROR(__xludf.DUMMYFUNCTION("""COMPUTED_VALUE"""),30707)</f>
        <v>30707</v>
      </c>
      <c r="AC536" s="2">
        <f ca="1">IFERROR(__xludf.DUMMYFUNCTION("""COMPUTED_VALUE"""),30252)</f>
        <v>30252</v>
      </c>
      <c r="AD536" s="1" t="str">
        <f ca="1">IFERROR(__xludf.DUMMYFUNCTION("""COMPUTED_VALUE"""),"MERE")</f>
        <v>MERE</v>
      </c>
      <c r="AE536" s="1" t="str">
        <f ca="1">IFERROR(__xludf.DUMMYFUNCTION("""COMPUTED_VALUE"""),"PERE")</f>
        <v>PERE</v>
      </c>
      <c r="AF536" s="1" t="str">
        <f ca="1">IFERROR(__xludf.DUMMYFUNCTION("""COMPUTED_VALUE"""),"SENEGAL")</f>
        <v>SENEGAL</v>
      </c>
      <c r="AG536" s="1" t="str">
        <f ca="1">IFERROR(__xludf.DUMMYFUNCTION("""COMPUTED_VALUE"""),"SENEGAL")</f>
        <v>SENEGAL</v>
      </c>
      <c r="AH536" s="1"/>
      <c r="AI536" s="1"/>
      <c r="AJ536" s="1" t="str">
        <f ca="1">IFERROR(__xludf.DUMMYFUNCTION("""COMPUTED_VALUE"""),"F1558")</f>
        <v>F1558</v>
      </c>
      <c r="AK536" s="1" t="str">
        <f ca="1">IFERROR(__xludf.DUMMYFUNCTION("""COMPUTED_VALUE"""),"Marié(e)")</f>
        <v>Marié(e)</v>
      </c>
      <c r="AL536" s="1" t="str">
        <f ca="1">IFERROR(__xludf.DUMMYFUNCTION("""COMPUTED_VALUE"""),"Marié(e)")</f>
        <v>Marié(e)</v>
      </c>
      <c r="AM536" s="1" t="str">
        <f ca="1">IFERROR(__xludf.DUMMYFUNCTION("""COMPUTED_VALUE"""),"F1558")</f>
        <v>F1558</v>
      </c>
    </row>
    <row r="537" spans="1:39" ht="13" x14ac:dyDescent="0.15">
      <c r="A537" s="1" t="str">
        <f ca="1">IFERROR(__xludf.DUMMYFUNCTION("""COMPUTED_VALUE"""),"SALL Arona Ababacar Alpha")</f>
        <v>SALL Arona Ababacar Alpha</v>
      </c>
      <c r="B537" s="1" t="str">
        <f ca="1">IFERROR(__xludf.DUMMYFUNCTION("""COMPUTED_VALUE"""),"SALL")</f>
        <v>SALL</v>
      </c>
      <c r="C537" s="1" t="str">
        <f ca="1">IFERROR(__xludf.DUMMYFUNCTION("""COMPUTED_VALUE"""),"Arona Ababacar Alpha")</f>
        <v>Arona Ababacar Alpha</v>
      </c>
      <c r="D537" s="1" t="str">
        <f ca="1">IFERROR(__xludf.DUMMYFUNCTION("""COMPUTED_VALUE"""),"1558E2")</f>
        <v>1558E2</v>
      </c>
      <c r="E537" s="2">
        <f ca="1">IFERROR(__xludf.DUMMYFUNCTION("""COMPUTED_VALUE"""),40865)</f>
        <v>40865</v>
      </c>
      <c r="F537" s="1" t="str">
        <f ca="1">IFERROR(__xludf.DUMMYFUNCTION("""COMPUTED_VALUE"""),"3EME2")</f>
        <v>3EME2</v>
      </c>
      <c r="G537" s="1" t="str">
        <f ca="1">IFERROR(__xludf.DUMMYFUNCTION("""COMPUTED_VALUE"""),"3ème")</f>
        <v>3ème</v>
      </c>
      <c r="H537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537" s="1" t="str">
        <f ca="1">IFERROR(__xludf.DUMMYFUNCTION("""COMPUTED_VALUE"""),"LVA Anglais")</f>
        <v>LVA Anglais</v>
      </c>
      <c r="J537" s="1" t="str">
        <f ca="1">IFERROR(__xludf.DUMMYFUNCTION("""COMPUTED_VALUE"""),"LVB Espagnol")</f>
        <v>LVB Espagnol</v>
      </c>
      <c r="K537" s="1"/>
      <c r="L537" s="1"/>
      <c r="M537" s="1"/>
      <c r="N537" s="1" t="str">
        <f ca="1">IFERROR(__xludf.DUMMYFUNCTION("""COMPUTED_VALUE"""),"Garçon")</f>
        <v>Garçon</v>
      </c>
      <c r="O537" s="1"/>
      <c r="P537" s="1" t="str">
        <f ca="1">IFERROR(__xludf.DUMMYFUNCTION("""COMPUTED_VALUE"""),"SENEGAL")</f>
        <v>SENEGAL</v>
      </c>
      <c r="Q537" s="1"/>
      <c r="R537" s="1" t="str">
        <f ca="1">IFERROR(__xludf.DUMMYFUNCTION("""COMPUTED_VALUE"""),"arona.sall@lfjpsaly.org")</f>
        <v>arona.sall@lfjpsaly.org</v>
      </c>
      <c r="S537" s="1" t="str">
        <f ca="1">IFERROR(__xludf.DUMMYFUNCTION("""COMPUTED_VALUE"""),"+221 78 994 39 64")</f>
        <v>+221 78 994 39 64</v>
      </c>
      <c r="T537" s="1" t="str">
        <f ca="1">IFERROR(__xludf.DUMMYFUNCTION("""COMPUTED_VALUE"""),"SALL Fanta")</f>
        <v>SALL Fanta</v>
      </c>
      <c r="U537" s="1" t="str">
        <f ca="1">IFERROR(__xludf.DUMMYFUNCTION("""COMPUTED_VALUE"""),"SALL Oumar")</f>
        <v>SALL Oumar</v>
      </c>
      <c r="V537" s="1" t="str">
        <f ca="1">IFERROR(__xludf.DUMMYFUNCTION("""COMPUTED_VALUE"""),"fantasakhosall@gmail.com")</f>
        <v>fantasakhosall@gmail.com</v>
      </c>
      <c r="W537" s="1" t="str">
        <f ca="1">IFERROR(__xludf.DUMMYFUNCTION("""COMPUTED_VALUE"""),"salloumar@hotmail.com")</f>
        <v>salloumar@hotmail.com</v>
      </c>
      <c r="X537" s="1" t="str">
        <f ca="1">IFERROR(__xludf.DUMMYFUNCTION("""COMPUTED_VALUE"""),"+221 78 893 12 13")</f>
        <v>+221 78 893 12 13</v>
      </c>
      <c r="Y537" s="1" t="str">
        <f ca="1">IFERROR(__xludf.DUMMYFUNCTION("""COMPUTED_VALUE"""),"+221 77 576 05 77")</f>
        <v>+221 77 576 05 77</v>
      </c>
      <c r="Z537" s="1" t="str">
        <f ca="1">IFERROR(__xludf.DUMMYFUNCTION("""COMPUTED_VALUE"""),"+221 78 893 12 13")</f>
        <v>+221 78 893 12 13</v>
      </c>
      <c r="AA537" s="1"/>
      <c r="AB537" s="2">
        <f ca="1">IFERROR(__xludf.DUMMYFUNCTION("""COMPUTED_VALUE"""),30707)</f>
        <v>30707</v>
      </c>
      <c r="AC537" s="2">
        <f ca="1">IFERROR(__xludf.DUMMYFUNCTION("""COMPUTED_VALUE"""),30252)</f>
        <v>30252</v>
      </c>
      <c r="AD537" s="1" t="str">
        <f ca="1">IFERROR(__xludf.DUMMYFUNCTION("""COMPUTED_VALUE"""),"MERE")</f>
        <v>MERE</v>
      </c>
      <c r="AE537" s="1" t="str">
        <f ca="1">IFERROR(__xludf.DUMMYFUNCTION("""COMPUTED_VALUE"""),"PERE")</f>
        <v>PERE</v>
      </c>
      <c r="AF537" s="1" t="str">
        <f ca="1">IFERROR(__xludf.DUMMYFUNCTION("""COMPUTED_VALUE"""),"SENEGAL")</f>
        <v>SENEGAL</v>
      </c>
      <c r="AG537" s="1" t="str">
        <f ca="1">IFERROR(__xludf.DUMMYFUNCTION("""COMPUTED_VALUE"""),"SENEGAL")</f>
        <v>SENEGAL</v>
      </c>
      <c r="AH537" s="1"/>
      <c r="AI537" s="1"/>
      <c r="AJ537" s="1" t="str">
        <f ca="1">IFERROR(__xludf.DUMMYFUNCTION("""COMPUTED_VALUE"""),"F1558")</f>
        <v>F1558</v>
      </c>
      <c r="AK537" s="1" t="str">
        <f ca="1">IFERROR(__xludf.DUMMYFUNCTION("""COMPUTED_VALUE"""),"Marié(e)")</f>
        <v>Marié(e)</v>
      </c>
      <c r="AL537" s="1" t="str">
        <f ca="1">IFERROR(__xludf.DUMMYFUNCTION("""COMPUTED_VALUE"""),"Marié(e)")</f>
        <v>Marié(e)</v>
      </c>
      <c r="AM537" s="1" t="str">
        <f ca="1">IFERROR(__xludf.DUMMYFUNCTION("""COMPUTED_VALUE"""),"F1558")</f>
        <v>F1558</v>
      </c>
    </row>
    <row r="538" spans="1:39" ht="13" x14ac:dyDescent="0.15">
      <c r="A538" s="1" t="str">
        <f ca="1">IFERROR(__xludf.DUMMYFUNCTION("""COMPUTED_VALUE"""),"SALL Mouhamed")</f>
        <v>SALL Mouhamed</v>
      </c>
      <c r="B538" s="1" t="str">
        <f ca="1">IFERROR(__xludf.DUMMYFUNCTION("""COMPUTED_VALUE"""),"SALL")</f>
        <v>SALL</v>
      </c>
      <c r="C538" s="1" t="str">
        <f ca="1">IFERROR(__xludf.DUMMYFUNCTION("""COMPUTED_VALUE"""),"Mouhamed")</f>
        <v>Mouhamed</v>
      </c>
      <c r="D538" s="1" t="str">
        <f ca="1">IFERROR(__xludf.DUMMYFUNCTION("""COMPUTED_VALUE"""),"1557E1")</f>
        <v>1557E1</v>
      </c>
      <c r="E538" s="2">
        <f ca="1">IFERROR(__xludf.DUMMYFUNCTION("""COMPUTED_VALUE"""),44080)</f>
        <v>44080</v>
      </c>
      <c r="F538" s="1" t="str">
        <f ca="1">IFERROR(__xludf.DUMMYFUNCTION("""COMPUTED_VALUE"""),"Mat 2")</f>
        <v>Mat 2</v>
      </c>
      <c r="G538" s="1" t="str">
        <f ca="1">IFERROR(__xludf.DUMMYFUNCTION("""COMPUTED_VALUE"""),"GS")</f>
        <v>GS</v>
      </c>
      <c r="H538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538" s="1"/>
      <c r="J538" s="1"/>
      <c r="K538" s="1"/>
      <c r="L538" s="1"/>
      <c r="M538" s="1"/>
      <c r="N538" s="1" t="str">
        <f ca="1">IFERROR(__xludf.DUMMYFUNCTION("""COMPUTED_VALUE"""),"Garçon")</f>
        <v>Garçon</v>
      </c>
      <c r="O538" s="1"/>
      <c r="P538" s="1" t="str">
        <f ca="1">IFERROR(__xludf.DUMMYFUNCTION("""COMPUTED_VALUE"""),"FRANCE")</f>
        <v>FRANCE</v>
      </c>
      <c r="Q538" s="1"/>
      <c r="R538" s="1"/>
      <c r="S538" s="1"/>
      <c r="T538" s="1" t="str">
        <f ca="1">IFERROR(__xludf.DUMMYFUNCTION("""COMPUTED_VALUE"""),"COLY Mariama")</f>
        <v>COLY Mariama</v>
      </c>
      <c r="U538" s="1"/>
      <c r="V538" s="1" t="str">
        <f ca="1">IFERROR(__xludf.DUMMYFUNCTION("""COMPUTED_VALUE"""),"mayacoly08@gmail.com")</f>
        <v>mayacoly08@gmail.com</v>
      </c>
      <c r="W538" s="1"/>
      <c r="X538" s="1" t="str">
        <f ca="1">IFERROR(__xludf.DUMMYFUNCTION("""COMPUTED_VALUE"""),"+33 6 64 16 58 30")</f>
        <v>+33 6 64 16 58 30</v>
      </c>
      <c r="Y538" s="1"/>
      <c r="Z538" s="1" t="str">
        <f ca="1">IFERROR(__xludf.DUMMYFUNCTION("""COMPUTED_VALUE"""),"+33 6 64 16 58 30")</f>
        <v>+33 6 64 16 58 30</v>
      </c>
      <c r="AA538" s="1"/>
      <c r="AB538" s="2">
        <f ca="1">IFERROR(__xludf.DUMMYFUNCTION("""COMPUTED_VALUE"""),33032)</f>
        <v>33032</v>
      </c>
      <c r="AC538" s="1"/>
      <c r="AD538" s="1" t="str">
        <f ca="1">IFERROR(__xludf.DUMMYFUNCTION("""COMPUTED_VALUE"""),"MERE")</f>
        <v>MERE</v>
      </c>
      <c r="AE538" s="1"/>
      <c r="AF538" s="1" t="str">
        <f ca="1">IFERROR(__xludf.DUMMYFUNCTION("""COMPUTED_VALUE"""),"SENEGAL")</f>
        <v>SENEGAL</v>
      </c>
      <c r="AG538" s="1"/>
      <c r="AH538" s="1"/>
      <c r="AI538" s="1"/>
      <c r="AJ538" s="1" t="str">
        <f ca="1">IFERROR(__xludf.DUMMYFUNCTION("""COMPUTED_VALUE"""),"F1557")</f>
        <v>F1557</v>
      </c>
      <c r="AK538" s="1" t="str">
        <f ca="1">IFERROR(__xludf.DUMMYFUNCTION("""COMPUTED_VALUE"""),"Séparé(e)")</f>
        <v>Séparé(e)</v>
      </c>
      <c r="AL538" s="1"/>
      <c r="AM538" s="1" t="str">
        <f ca="1">IFERROR(__xludf.DUMMYFUNCTION("""COMPUTED_VALUE"""),"F1557")</f>
        <v>F1557</v>
      </c>
    </row>
    <row r="539" spans="1:39" ht="13" x14ac:dyDescent="0.15">
      <c r="A539" s="1" t="str">
        <f ca="1">IFERROR(__xludf.DUMMYFUNCTION("""COMPUTED_VALUE"""),"SALL Tamsir")</f>
        <v>SALL Tamsir</v>
      </c>
      <c r="B539" s="1" t="str">
        <f ca="1">IFERROR(__xludf.DUMMYFUNCTION("""COMPUTED_VALUE"""),"SALL")</f>
        <v>SALL</v>
      </c>
      <c r="C539" s="1" t="str">
        <f ca="1">IFERROR(__xludf.DUMMYFUNCTION("""COMPUTED_VALUE"""),"Tamsir")</f>
        <v>Tamsir</v>
      </c>
      <c r="D539" s="1" t="str">
        <f ca="1">IFERROR(__xludf.DUMMYFUNCTION("""COMPUTED_VALUE"""),"1558E3")</f>
        <v>1558E3</v>
      </c>
      <c r="E539" s="2">
        <f ca="1">IFERROR(__xludf.DUMMYFUNCTION("""COMPUTED_VALUE"""),39491)</f>
        <v>39491</v>
      </c>
      <c r="F539" s="1" t="str">
        <f ca="1">IFERROR(__xludf.DUMMYFUNCTION("""COMPUTED_VALUE"""),"1ERE1")</f>
        <v>1ERE1</v>
      </c>
      <c r="G539" s="1" t="str">
        <f ca="1">IFERROR(__xludf.DUMMYFUNCTION("""COMPUTED_VALUE"""),"1ère")</f>
        <v>1ère</v>
      </c>
      <c r="H539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539" s="1" t="str">
        <f ca="1">IFERROR(__xludf.DUMMYFUNCTION("""COMPUTED_VALUE"""),"LVA Anglais")</f>
        <v>LVA Anglais</v>
      </c>
      <c r="J539" s="1" t="str">
        <f ca="1">IFERROR(__xludf.DUMMYFUNCTION("""COMPUTED_VALUE"""),"LVB Espagnol")</f>
        <v>LVB Espagnol</v>
      </c>
      <c r="K539" s="1"/>
      <c r="L539" s="1"/>
      <c r="M539" s="1" t="str">
        <f ca="1">IFERROR(__xludf.DUMMYFUNCTION("""COMPUTED_VALUE"""),"SPE HGGSP, SPE LLCE AMC, SPE SES")</f>
        <v>SPE HGGSP, SPE LLCE AMC, SPE SES</v>
      </c>
      <c r="N539" s="1" t="str">
        <f ca="1">IFERROR(__xludf.DUMMYFUNCTION("""COMPUTED_VALUE"""),"Garçon")</f>
        <v>Garçon</v>
      </c>
      <c r="O539" s="1"/>
      <c r="P539" s="1" t="str">
        <f ca="1">IFERROR(__xludf.DUMMYFUNCTION("""COMPUTED_VALUE"""),"SENEGAL")</f>
        <v>SENEGAL</v>
      </c>
      <c r="Q539" s="1"/>
      <c r="R539" s="1" t="str">
        <f ca="1">IFERROR(__xludf.DUMMYFUNCTION("""COMPUTED_VALUE"""),"tamsir.sall@lfjpsaly.org")</f>
        <v>tamsir.sall@lfjpsaly.org</v>
      </c>
      <c r="S539" s="1" t="str">
        <f ca="1">IFERROR(__xludf.DUMMYFUNCTION("""COMPUTED_VALUE"""),"+221 77 729 68 46")</f>
        <v>+221 77 729 68 46</v>
      </c>
      <c r="T539" s="1" t="str">
        <f ca="1">IFERROR(__xludf.DUMMYFUNCTION("""COMPUTED_VALUE"""),"SALL Fanta")</f>
        <v>SALL Fanta</v>
      </c>
      <c r="U539" s="1" t="str">
        <f ca="1">IFERROR(__xludf.DUMMYFUNCTION("""COMPUTED_VALUE"""),"SALL Oumar")</f>
        <v>SALL Oumar</v>
      </c>
      <c r="V539" s="1" t="str">
        <f ca="1">IFERROR(__xludf.DUMMYFUNCTION("""COMPUTED_VALUE"""),"fantasakhosall@gmail.com")</f>
        <v>fantasakhosall@gmail.com</v>
      </c>
      <c r="W539" s="1" t="str">
        <f ca="1">IFERROR(__xludf.DUMMYFUNCTION("""COMPUTED_VALUE"""),"salloumar@hotmail.com")</f>
        <v>salloumar@hotmail.com</v>
      </c>
      <c r="X539" s="1" t="str">
        <f ca="1">IFERROR(__xludf.DUMMYFUNCTION("""COMPUTED_VALUE"""),"+221 78 893 12 13")</f>
        <v>+221 78 893 12 13</v>
      </c>
      <c r="Y539" s="1" t="str">
        <f ca="1">IFERROR(__xludf.DUMMYFUNCTION("""COMPUTED_VALUE"""),"+221 77 576 05 77")</f>
        <v>+221 77 576 05 77</v>
      </c>
      <c r="Z539" s="1" t="str">
        <f ca="1">IFERROR(__xludf.DUMMYFUNCTION("""COMPUTED_VALUE"""),"+221 78 893 12 13")</f>
        <v>+221 78 893 12 13</v>
      </c>
      <c r="AA539" s="1"/>
      <c r="AB539" s="2">
        <f ca="1">IFERROR(__xludf.DUMMYFUNCTION("""COMPUTED_VALUE"""),30707)</f>
        <v>30707</v>
      </c>
      <c r="AC539" s="2">
        <f ca="1">IFERROR(__xludf.DUMMYFUNCTION("""COMPUTED_VALUE"""),30252)</f>
        <v>30252</v>
      </c>
      <c r="AD539" s="1" t="str">
        <f ca="1">IFERROR(__xludf.DUMMYFUNCTION("""COMPUTED_VALUE"""),"MERE")</f>
        <v>MERE</v>
      </c>
      <c r="AE539" s="1" t="str">
        <f ca="1">IFERROR(__xludf.DUMMYFUNCTION("""COMPUTED_VALUE"""),"PERE")</f>
        <v>PERE</v>
      </c>
      <c r="AF539" s="1" t="str">
        <f ca="1">IFERROR(__xludf.DUMMYFUNCTION("""COMPUTED_VALUE"""),"SENEGAL")</f>
        <v>SENEGAL</v>
      </c>
      <c r="AG539" s="1" t="str">
        <f ca="1">IFERROR(__xludf.DUMMYFUNCTION("""COMPUTED_VALUE"""),"SENEGAL")</f>
        <v>SENEGAL</v>
      </c>
      <c r="AH539" s="1"/>
      <c r="AI539" s="1"/>
      <c r="AJ539" s="1" t="str">
        <f ca="1">IFERROR(__xludf.DUMMYFUNCTION("""COMPUTED_VALUE"""),"F1558")</f>
        <v>F1558</v>
      </c>
      <c r="AK539" s="1" t="str">
        <f ca="1">IFERROR(__xludf.DUMMYFUNCTION("""COMPUTED_VALUE"""),"Marié(e)")</f>
        <v>Marié(e)</v>
      </c>
      <c r="AL539" s="1" t="str">
        <f ca="1">IFERROR(__xludf.DUMMYFUNCTION("""COMPUTED_VALUE"""),"Marié(e)")</f>
        <v>Marié(e)</v>
      </c>
      <c r="AM539" s="1" t="str">
        <f ca="1">IFERROR(__xludf.DUMMYFUNCTION("""COMPUTED_VALUE"""),"F1558")</f>
        <v>F1558</v>
      </c>
    </row>
    <row r="540" spans="1:39" ht="13" x14ac:dyDescent="0.15">
      <c r="A540" s="1" t="str">
        <f ca="1">IFERROR(__xludf.DUMMYFUNCTION("""COMPUTED_VALUE"""),"SAMASSA Nouah")</f>
        <v>SAMASSA Nouah</v>
      </c>
      <c r="B540" s="1" t="str">
        <f ca="1">IFERROR(__xludf.DUMMYFUNCTION("""COMPUTED_VALUE"""),"SAMASSA")</f>
        <v>SAMASSA</v>
      </c>
      <c r="C540" s="1" t="str">
        <f ca="1">IFERROR(__xludf.DUMMYFUNCTION("""COMPUTED_VALUE"""),"Nouah")</f>
        <v>Nouah</v>
      </c>
      <c r="D540" s="1" t="str">
        <f ca="1">IFERROR(__xludf.DUMMYFUNCTION("""COMPUTED_VALUE"""),"11687S2306")</f>
        <v>11687S2306</v>
      </c>
      <c r="E540" s="2">
        <f ca="1">IFERROR(__xludf.DUMMYFUNCTION("""COMPUTED_VALUE"""),40427)</f>
        <v>40427</v>
      </c>
      <c r="F540" s="1" t="str">
        <f ca="1">IFERROR(__xludf.DUMMYFUNCTION("""COMPUTED_VALUE"""),"2NDE2")</f>
        <v>2NDE2</v>
      </c>
      <c r="G540" s="1" t="str">
        <f ca="1">IFERROR(__xludf.DUMMYFUNCTION("""COMPUTED_VALUE"""),"2nde")</f>
        <v>2nde</v>
      </c>
      <c r="H540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540" s="1" t="str">
        <f ca="1">IFERROR(__xludf.DUMMYFUNCTION("""COMPUTED_VALUE"""),"LVA Anglais")</f>
        <v>LVA Anglais</v>
      </c>
      <c r="J540" s="1" t="str">
        <f ca="1">IFERROR(__xludf.DUMMYFUNCTION("""COMPUTED_VALUE"""),"LVB Espagnol")</f>
        <v>LVB Espagnol</v>
      </c>
      <c r="K540" s="1"/>
      <c r="L540" s="1"/>
      <c r="M540" s="1"/>
      <c r="N540" s="1" t="str">
        <f ca="1">IFERROR(__xludf.DUMMYFUNCTION("""COMPUTED_VALUE"""),"Garçon")</f>
        <v>Garçon</v>
      </c>
      <c r="O540" s="1"/>
      <c r="P540" s="1" t="str">
        <f ca="1">IFERROR(__xludf.DUMMYFUNCTION("""COMPUTED_VALUE"""),"FRANCE")</f>
        <v>FRANCE</v>
      </c>
      <c r="Q540" s="1" t="str">
        <f ca="1">IFERROR(__xludf.DUMMYFUNCTION("""COMPUTED_VALUE"""),"FRANCE")</f>
        <v>FRANCE</v>
      </c>
      <c r="R540" s="1" t="str">
        <f ca="1">IFERROR(__xludf.DUMMYFUNCTION("""COMPUTED_VALUE"""),"nouah.samassa@lfjpsaly.org")</f>
        <v>nouah.samassa@lfjpsaly.org</v>
      </c>
      <c r="S540" s="1" t="str">
        <f ca="1">IFERROR(__xludf.DUMMYFUNCTION("""COMPUTED_VALUE"""),"+221 77 589 10 76")</f>
        <v>+221 77 589 10 76</v>
      </c>
      <c r="T540" s="1" t="str">
        <f ca="1">IFERROR(__xludf.DUMMYFUNCTION("""COMPUTED_VALUE"""),"SISSOKO Oumou")</f>
        <v>SISSOKO Oumou</v>
      </c>
      <c r="U540" s="1" t="str">
        <f ca="1">IFERROR(__xludf.DUMMYFUNCTION("""COMPUTED_VALUE"""),"SAMASSA Abdoulaye")</f>
        <v>SAMASSA Abdoulaye</v>
      </c>
      <c r="V540" s="1" t="str">
        <f ca="1">IFERROR(__xludf.DUMMYFUNCTION("""COMPUTED_VALUE"""),"sissoko95170@gmail.com")</f>
        <v>sissoko95170@gmail.com</v>
      </c>
      <c r="W540" s="1" t="str">
        <f ca="1">IFERROR(__xludf.DUMMYFUNCTION("""COMPUTED_VALUE"""),"ably95@hotmail.com")</f>
        <v>ably95@hotmail.com</v>
      </c>
      <c r="X540" s="1" t="str">
        <f ca="1">IFERROR(__xludf.DUMMYFUNCTION("""COMPUTED_VALUE"""),"+221 77 589 10 76")</f>
        <v>+221 77 589 10 76</v>
      </c>
      <c r="Y540" s="1" t="str">
        <f ca="1">IFERROR(__xludf.DUMMYFUNCTION("""COMPUTED_VALUE"""),"+221 77 589 10 76")</f>
        <v>+221 77 589 10 76</v>
      </c>
      <c r="Z540" s="1" t="str">
        <f ca="1">IFERROR(__xludf.DUMMYFUNCTION("""COMPUTED_VALUE"""),"+33 6 20 28 13 91")</f>
        <v>+33 6 20 28 13 91</v>
      </c>
      <c r="AA540" s="1" t="str">
        <f ca="1">IFERROR(__xludf.DUMMYFUNCTION("""COMPUTED_VALUE"""),"+33 6 50 18 37 96")</f>
        <v>+33 6 50 18 37 96</v>
      </c>
      <c r="AB540" s="2">
        <f ca="1">IFERROR(__xludf.DUMMYFUNCTION("""COMPUTED_VALUE"""),31743)</f>
        <v>31743</v>
      </c>
      <c r="AC540" s="2">
        <f ca="1">IFERROR(__xludf.DUMMYFUNCTION("""COMPUTED_VALUE"""),30336)</f>
        <v>30336</v>
      </c>
      <c r="AD540" s="1" t="str">
        <f ca="1">IFERROR(__xludf.DUMMYFUNCTION("""COMPUTED_VALUE"""),"MERE")</f>
        <v>MERE</v>
      </c>
      <c r="AE540" s="1" t="str">
        <f ca="1">IFERROR(__xludf.DUMMYFUNCTION("""COMPUTED_VALUE"""),"PERE")</f>
        <v>PERE</v>
      </c>
      <c r="AF540" s="1" t="str">
        <f ca="1">IFERROR(__xludf.DUMMYFUNCTION("""COMPUTED_VALUE"""),"FRANCE")</f>
        <v>FRANCE</v>
      </c>
      <c r="AG540" s="1" t="str">
        <f ca="1">IFERROR(__xludf.DUMMYFUNCTION("""COMPUTED_VALUE"""),"FRANCE")</f>
        <v>FRANCE</v>
      </c>
      <c r="AH540" s="1"/>
      <c r="AI540" s="1"/>
      <c r="AJ540" s="1" t="str">
        <f ca="1">IFERROR(__xludf.DUMMYFUNCTION("""COMPUTED_VALUE"""),"U11687")</f>
        <v>U11687</v>
      </c>
      <c r="AK540" s="1" t="str">
        <f ca="1">IFERROR(__xludf.DUMMYFUNCTION("""COMPUTED_VALUE"""),"Marié(e)")</f>
        <v>Marié(e)</v>
      </c>
      <c r="AL540" s="1" t="str">
        <f ca="1">IFERROR(__xludf.DUMMYFUNCTION("""COMPUTED_VALUE"""),"Marié(e)")</f>
        <v>Marié(e)</v>
      </c>
      <c r="AM540" s="1" t="str">
        <f ca="1">IFERROR(__xludf.DUMMYFUNCTION("""COMPUTED_VALUE"""),"U11687")</f>
        <v>U11687</v>
      </c>
    </row>
    <row r="541" spans="1:39" ht="13" x14ac:dyDescent="0.15">
      <c r="A541" s="1" t="str">
        <f ca="1">IFERROR(__xludf.DUMMYFUNCTION("""COMPUTED_VALUE"""),"SAMB Abdou Aziz")</f>
        <v>SAMB Abdou Aziz</v>
      </c>
      <c r="B541" s="1" t="str">
        <f ca="1">IFERROR(__xludf.DUMMYFUNCTION("""COMPUTED_VALUE"""),"SAMB")</f>
        <v>SAMB</v>
      </c>
      <c r="C541" s="1" t="str">
        <f ca="1">IFERROR(__xludf.DUMMYFUNCTION("""COMPUTED_VALUE"""),"Abdou Aziz")</f>
        <v>Abdou Aziz</v>
      </c>
      <c r="D541" s="1" t="str">
        <f ca="1">IFERROR(__xludf.DUMMYFUNCTION("""COMPUTED_VALUE"""),"1561E1")</f>
        <v>1561E1</v>
      </c>
      <c r="E541" s="2">
        <f ca="1">IFERROR(__xludf.DUMMYFUNCTION("""COMPUTED_VALUE"""),40259)</f>
        <v>40259</v>
      </c>
      <c r="F541" s="1" t="str">
        <f ca="1">IFERROR(__xludf.DUMMYFUNCTION("""COMPUTED_VALUE"""),"3EME1")</f>
        <v>3EME1</v>
      </c>
      <c r="G541" s="1" t="str">
        <f ca="1">IFERROR(__xludf.DUMMYFUNCTION("""COMPUTED_VALUE"""),"3ème")</f>
        <v>3ème</v>
      </c>
      <c r="H541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541" s="1" t="str">
        <f ca="1">IFERROR(__xludf.DUMMYFUNCTION("""COMPUTED_VALUE"""),"LVA Anglais")</f>
        <v>LVA Anglais</v>
      </c>
      <c r="J541" s="1" t="str">
        <f ca="1">IFERROR(__xludf.DUMMYFUNCTION("""COMPUTED_VALUE"""),"LVB Espagnol")</f>
        <v>LVB Espagnol</v>
      </c>
      <c r="K541" s="1"/>
      <c r="L541" s="1"/>
      <c r="M541" s="1"/>
      <c r="N541" s="1" t="str">
        <f ca="1">IFERROR(__xludf.DUMMYFUNCTION("""COMPUTED_VALUE"""),"Garçon")</f>
        <v>Garçon</v>
      </c>
      <c r="O541" s="1"/>
      <c r="P541" s="1" t="str">
        <f ca="1">IFERROR(__xludf.DUMMYFUNCTION("""COMPUTED_VALUE"""),"FRANCE")</f>
        <v>FRANCE</v>
      </c>
      <c r="Q541" s="1" t="str">
        <f ca="1">IFERROR(__xludf.DUMMYFUNCTION("""COMPUTED_VALUE"""),"SENEGAL")</f>
        <v>SENEGAL</v>
      </c>
      <c r="R541" s="1" t="str">
        <f ca="1">IFERROR(__xludf.DUMMYFUNCTION("""COMPUTED_VALUE"""),"abdou.samb@lfjpsaly.org")</f>
        <v>abdou.samb@lfjpsaly.org</v>
      </c>
      <c r="S541" s="1" t="str">
        <f ca="1">IFERROR(__xludf.DUMMYFUNCTION("""COMPUTED_VALUE"""),"+221")</f>
        <v>+221</v>
      </c>
      <c r="T541" s="1" t="str">
        <f ca="1">IFERROR(__xludf.DUMMYFUNCTION("""COMPUTED_VALUE"""),"SAMB Faly")</f>
        <v>SAMB Faly</v>
      </c>
      <c r="U541" s="1" t="str">
        <f ca="1">IFERROR(__xludf.DUMMYFUNCTION("""COMPUTED_VALUE"""),"SAMB Amy Diop")</f>
        <v>SAMB Amy Diop</v>
      </c>
      <c r="V541" s="1" t="str">
        <f ca="1">IFERROR(__xludf.DUMMYFUNCTION("""COMPUTED_VALUE"""),"falysamb2@gmail.com")</f>
        <v>falysamb2@gmail.com</v>
      </c>
      <c r="W541" s="1" t="str">
        <f ca="1">IFERROR(__xludf.DUMMYFUNCTION("""COMPUTED_VALUE"""),"aminag2@yahoo.fr")</f>
        <v>aminag2@yahoo.fr</v>
      </c>
      <c r="X541" s="1" t="str">
        <f ca="1">IFERROR(__xludf.DUMMYFUNCTION("""COMPUTED_VALUE"""),"+221 77 477 00 97")</f>
        <v>+221 77 477 00 97</v>
      </c>
      <c r="Y541" s="1" t="str">
        <f ca="1">IFERROR(__xludf.DUMMYFUNCTION("""COMPUTED_VALUE"""),"+221 77 477 00 97")</f>
        <v>+221 77 477 00 97</v>
      </c>
      <c r="Z541" s="1" t="str">
        <f ca="1">IFERROR(__xludf.DUMMYFUNCTION("""COMPUTED_VALUE"""),"+221")</f>
        <v>+221</v>
      </c>
      <c r="AA541" s="1" t="str">
        <f ca="1">IFERROR(__xludf.DUMMYFUNCTION("""COMPUTED_VALUE"""),"+221")</f>
        <v>+221</v>
      </c>
      <c r="AB541" s="2">
        <f ca="1">IFERROR(__xludf.DUMMYFUNCTION("""COMPUTED_VALUE"""),29832)</f>
        <v>29832</v>
      </c>
      <c r="AC541" s="2">
        <f ca="1">IFERROR(__xludf.DUMMYFUNCTION("""COMPUTED_VALUE"""),29832)</f>
        <v>29832</v>
      </c>
      <c r="AD541" s="1" t="str">
        <f ca="1">IFERROR(__xludf.DUMMYFUNCTION("""COMPUTED_VALUE"""),"PERE")</f>
        <v>PERE</v>
      </c>
      <c r="AE541" s="1" t="str">
        <f ca="1">IFERROR(__xludf.DUMMYFUNCTION("""COMPUTED_VALUE"""),"MERE")</f>
        <v>MERE</v>
      </c>
      <c r="AF541" s="1" t="str">
        <f ca="1">IFERROR(__xludf.DUMMYFUNCTION("""COMPUTED_VALUE"""),"FRANCE")</f>
        <v>FRANCE</v>
      </c>
      <c r="AG541" s="1" t="str">
        <f ca="1">IFERROR(__xludf.DUMMYFUNCTION("""COMPUTED_VALUE"""),"SENEGAL")</f>
        <v>SENEGAL</v>
      </c>
      <c r="AH541" s="1" t="str">
        <f ca="1">IFERROR(__xludf.DUMMYFUNCTION("""COMPUTED_VALUE"""),"SENEGAL")</f>
        <v>SENEGAL</v>
      </c>
      <c r="AI541" s="1"/>
      <c r="AJ541" s="1" t="str">
        <f ca="1">IFERROR(__xludf.DUMMYFUNCTION("""COMPUTED_VALUE"""),"F1561")</f>
        <v>F1561</v>
      </c>
      <c r="AK541" s="1" t="str">
        <f ca="1">IFERROR(__xludf.DUMMYFUNCTION("""COMPUTED_VALUE"""),"Marié(e)")</f>
        <v>Marié(e)</v>
      </c>
      <c r="AL541" s="1" t="str">
        <f ca="1">IFERROR(__xludf.DUMMYFUNCTION("""COMPUTED_VALUE"""),"Marié(e)")</f>
        <v>Marié(e)</v>
      </c>
      <c r="AM541" s="1" t="str">
        <f ca="1">IFERROR(__xludf.DUMMYFUNCTION("""COMPUTED_VALUE"""),"F1561")</f>
        <v>F1561</v>
      </c>
    </row>
    <row r="542" spans="1:39" ht="13" x14ac:dyDescent="0.15">
      <c r="A542" s="1" t="str">
        <f ca="1">IFERROR(__xludf.DUMMYFUNCTION("""COMPUTED_VALUE"""),"SAMB Léo")</f>
        <v>SAMB Léo</v>
      </c>
      <c r="B542" s="1" t="str">
        <f ca="1">IFERROR(__xludf.DUMMYFUNCTION("""COMPUTED_VALUE"""),"SAMB")</f>
        <v>SAMB</v>
      </c>
      <c r="C542" s="1" t="str">
        <f ca="1">IFERROR(__xludf.DUMMYFUNCTION("""COMPUTED_VALUE"""),"Léo")</f>
        <v>Léo</v>
      </c>
      <c r="D542" s="1" t="str">
        <f ca="1">IFERROR(__xludf.DUMMYFUNCTION("""COMPUTED_VALUE"""),"1562E1")</f>
        <v>1562E1</v>
      </c>
      <c r="E542" s="2">
        <f ca="1">IFERROR(__xludf.DUMMYFUNCTION("""COMPUTED_VALUE"""),41848)</f>
        <v>41848</v>
      </c>
      <c r="F542" s="1" t="str">
        <f ca="1">IFERROR(__xludf.DUMMYFUNCTION("""COMPUTED_VALUE"""),"6EME1")</f>
        <v>6EME1</v>
      </c>
      <c r="G542" s="1" t="str">
        <f ca="1">IFERROR(__xludf.DUMMYFUNCTION("""COMPUTED_VALUE"""),"6ème")</f>
        <v>6ème</v>
      </c>
      <c r="H542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542" s="1" t="str">
        <f ca="1">IFERROR(__xludf.DUMMYFUNCTION("""COMPUTED_VALUE"""),"LVA Anglais")</f>
        <v>LVA Anglais</v>
      </c>
      <c r="J542" s="1" t="str">
        <f ca="1">IFERROR(__xludf.DUMMYFUNCTION("""COMPUTED_VALUE"""),"LVB Espagnol")</f>
        <v>LVB Espagnol</v>
      </c>
      <c r="K542" s="1"/>
      <c r="L542" s="1"/>
      <c r="M542" s="1"/>
      <c r="N542" s="1" t="str">
        <f ca="1">IFERROR(__xludf.DUMMYFUNCTION("""COMPUTED_VALUE"""),"Garçon")</f>
        <v>Garçon</v>
      </c>
      <c r="O542" s="1"/>
      <c r="P542" s="1" t="str">
        <f ca="1">IFERROR(__xludf.DUMMYFUNCTION("""COMPUTED_VALUE"""),"FRANCE")</f>
        <v>FRANCE</v>
      </c>
      <c r="Q542" s="1"/>
      <c r="R542" s="1" t="str">
        <f ca="1">IFERROR(__xludf.DUMMYFUNCTION("""COMPUTED_VALUE"""),"leo.samb@lfjpsaly.org")</f>
        <v>leo.samb@lfjpsaly.org</v>
      </c>
      <c r="S542" s="1" t="str">
        <f ca="1">IFERROR(__xludf.DUMMYFUNCTION("""COMPUTED_VALUE"""),"+221 78 952 87 28")</f>
        <v>+221 78 952 87 28</v>
      </c>
      <c r="T542" s="1" t="str">
        <f ca="1">IFERROR(__xludf.DUMMYFUNCTION("""COMPUTED_VALUE"""),"LAUDE Marie")</f>
        <v>LAUDE Marie</v>
      </c>
      <c r="U542" s="1" t="str">
        <f ca="1">IFERROR(__xludf.DUMMYFUNCTION("""COMPUTED_VALUE"""),"SAMB Gorgui")</f>
        <v>SAMB Gorgui</v>
      </c>
      <c r="V542" s="1" t="str">
        <f ca="1">IFERROR(__xludf.DUMMYFUNCTION("""COMPUTED_VALUE"""),"marielaude@gmail.com")</f>
        <v>marielaude@gmail.com</v>
      </c>
      <c r="W542" s="1" t="str">
        <f ca="1">IFERROR(__xludf.DUMMYFUNCTION("""COMPUTED_VALUE"""),"papsamba58@gmail.com")</f>
        <v>papsamba58@gmail.com</v>
      </c>
      <c r="X542" s="1" t="str">
        <f ca="1">IFERROR(__xludf.DUMMYFUNCTION("""COMPUTED_VALUE"""),"+221 77 736 44 12")</f>
        <v>+221 77 736 44 12</v>
      </c>
      <c r="Y542" s="1" t="str">
        <f ca="1">IFERROR(__xludf.DUMMYFUNCTION("""COMPUTED_VALUE"""),"77 405 65 25")</f>
        <v>77 405 65 25</v>
      </c>
      <c r="Z542" s="1"/>
      <c r="AA542" s="1"/>
      <c r="AB542" s="2">
        <f ca="1">IFERROR(__xludf.DUMMYFUNCTION("""COMPUTED_VALUE"""),28300)</f>
        <v>28300</v>
      </c>
      <c r="AC542" s="2">
        <f ca="1">IFERROR(__xludf.DUMMYFUNCTION("""COMPUTED_VALUE"""),21227)</f>
        <v>21227</v>
      </c>
      <c r="AD542" s="1" t="str">
        <f ca="1">IFERROR(__xludf.DUMMYFUNCTION("""COMPUTED_VALUE"""),"MERE")</f>
        <v>MERE</v>
      </c>
      <c r="AE542" s="1" t="str">
        <f ca="1">IFERROR(__xludf.DUMMYFUNCTION("""COMPUTED_VALUE"""),"PERE")</f>
        <v>PERE</v>
      </c>
      <c r="AF542" s="1" t="str">
        <f ca="1">IFERROR(__xludf.DUMMYFUNCTION("""COMPUTED_VALUE"""),"FRANCE")</f>
        <v>FRANCE</v>
      </c>
      <c r="AG542" s="1" t="str">
        <f ca="1">IFERROR(__xludf.DUMMYFUNCTION("""COMPUTED_VALUE"""),"SENEGAL")</f>
        <v>SENEGAL</v>
      </c>
      <c r="AH542" s="1"/>
      <c r="AI542" s="1"/>
      <c r="AJ542" s="1" t="str">
        <f ca="1">IFERROR(__xludf.DUMMYFUNCTION("""COMPUTED_VALUE"""),"F1562")</f>
        <v>F1562</v>
      </c>
      <c r="AK542" s="1" t="str">
        <f ca="1">IFERROR(__xludf.DUMMYFUNCTION("""COMPUTED_VALUE"""),"Séparé(e)")</f>
        <v>Séparé(e)</v>
      </c>
      <c r="AL542" s="1" t="str">
        <f ca="1">IFERROR(__xludf.DUMMYFUNCTION("""COMPUTED_VALUE"""),"Séparé(e)")</f>
        <v>Séparé(e)</v>
      </c>
      <c r="AM542" s="1" t="str">
        <f ca="1">IFERROR(__xludf.DUMMYFUNCTION("""COMPUTED_VALUE"""),"F1562")</f>
        <v>F1562</v>
      </c>
    </row>
    <row r="543" spans="1:39" ht="13" x14ac:dyDescent="0.15">
      <c r="A543" s="1" t="str">
        <f ca="1">IFERROR(__xludf.DUMMYFUNCTION("""COMPUTED_VALUE"""),"SAMB Nina")</f>
        <v>SAMB Nina</v>
      </c>
      <c r="B543" s="1" t="str">
        <f ca="1">IFERROR(__xludf.DUMMYFUNCTION("""COMPUTED_VALUE"""),"SAMB")</f>
        <v>SAMB</v>
      </c>
      <c r="C543" s="1" t="str">
        <f ca="1">IFERROR(__xludf.DUMMYFUNCTION("""COMPUTED_VALUE"""),"Nina")</f>
        <v>Nina</v>
      </c>
      <c r="D543" s="1" t="str">
        <f ca="1">IFERROR(__xludf.DUMMYFUNCTION("""COMPUTED_VALUE"""),"1562E2")</f>
        <v>1562E2</v>
      </c>
      <c r="E543" s="2">
        <f ca="1">IFERROR(__xludf.DUMMYFUNCTION("""COMPUTED_VALUE"""),42580)</f>
        <v>42580</v>
      </c>
      <c r="F543" s="1" t="str">
        <f ca="1">IFERROR(__xludf.DUMMYFUNCTION("""COMPUTED_VALUE"""),"CM1A")</f>
        <v>CM1A</v>
      </c>
      <c r="G543" s="1" t="str">
        <f ca="1">IFERROR(__xludf.DUMMYFUNCTION("""COMPUTED_VALUE"""),"CM1")</f>
        <v>CM1</v>
      </c>
      <c r="H543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543" s="1"/>
      <c r="J543" s="1"/>
      <c r="K543" s="1"/>
      <c r="L543" s="1"/>
      <c r="M543" s="1"/>
      <c r="N543" s="1" t="str">
        <f ca="1">IFERROR(__xludf.DUMMYFUNCTION("""COMPUTED_VALUE"""),"Fille")</f>
        <v>Fille</v>
      </c>
      <c r="O543" s="1"/>
      <c r="P543" s="1" t="str">
        <f ca="1">IFERROR(__xludf.DUMMYFUNCTION("""COMPUTED_VALUE"""),"FRANCE")</f>
        <v>FRANCE</v>
      </c>
      <c r="Q543" s="1" t="str">
        <f ca="1">IFERROR(__xludf.DUMMYFUNCTION("""COMPUTED_VALUE"""),"SENEGAL")</f>
        <v>SENEGAL</v>
      </c>
      <c r="R543" s="1"/>
      <c r="S543" s="1" t="str">
        <f ca="1">IFERROR(__xludf.DUMMYFUNCTION("""COMPUTED_VALUE"""),"+221")</f>
        <v>+221</v>
      </c>
      <c r="T543" s="1" t="str">
        <f ca="1">IFERROR(__xludf.DUMMYFUNCTION("""COMPUTED_VALUE"""),"LAUDE Marie")</f>
        <v>LAUDE Marie</v>
      </c>
      <c r="U543" s="1" t="str">
        <f ca="1">IFERROR(__xludf.DUMMYFUNCTION("""COMPUTED_VALUE"""),"SAMB Gorgui")</f>
        <v>SAMB Gorgui</v>
      </c>
      <c r="V543" s="1" t="str">
        <f ca="1">IFERROR(__xludf.DUMMYFUNCTION("""COMPUTED_VALUE"""),"marielaude@gmail.com")</f>
        <v>marielaude@gmail.com</v>
      </c>
      <c r="W543" s="1" t="str">
        <f ca="1">IFERROR(__xludf.DUMMYFUNCTION("""COMPUTED_VALUE"""),"papsamba58@gmail.com")</f>
        <v>papsamba58@gmail.com</v>
      </c>
      <c r="X543" s="1" t="str">
        <f ca="1">IFERROR(__xludf.DUMMYFUNCTION("""COMPUTED_VALUE"""),"+221 77 736 44 12")</f>
        <v>+221 77 736 44 12</v>
      </c>
      <c r="Y543" s="1" t="str">
        <f ca="1">IFERROR(__xludf.DUMMYFUNCTION("""COMPUTED_VALUE"""),"77 405 65 25")</f>
        <v>77 405 65 25</v>
      </c>
      <c r="Z543" s="1"/>
      <c r="AA543" s="1"/>
      <c r="AB543" s="2">
        <f ca="1">IFERROR(__xludf.DUMMYFUNCTION("""COMPUTED_VALUE"""),28300)</f>
        <v>28300</v>
      </c>
      <c r="AC543" s="2">
        <f ca="1">IFERROR(__xludf.DUMMYFUNCTION("""COMPUTED_VALUE"""),21227)</f>
        <v>21227</v>
      </c>
      <c r="AD543" s="1" t="str">
        <f ca="1">IFERROR(__xludf.DUMMYFUNCTION("""COMPUTED_VALUE"""),"MERE")</f>
        <v>MERE</v>
      </c>
      <c r="AE543" s="1" t="str">
        <f ca="1">IFERROR(__xludf.DUMMYFUNCTION("""COMPUTED_VALUE"""),"PERE")</f>
        <v>PERE</v>
      </c>
      <c r="AF543" s="1" t="str">
        <f ca="1">IFERROR(__xludf.DUMMYFUNCTION("""COMPUTED_VALUE"""),"FRANCE")</f>
        <v>FRANCE</v>
      </c>
      <c r="AG543" s="1" t="str">
        <f ca="1">IFERROR(__xludf.DUMMYFUNCTION("""COMPUTED_VALUE"""),"SENEGAL")</f>
        <v>SENEGAL</v>
      </c>
      <c r="AH543" s="1"/>
      <c r="AI543" s="1"/>
      <c r="AJ543" s="1" t="str">
        <f ca="1">IFERROR(__xludf.DUMMYFUNCTION("""COMPUTED_VALUE"""),"F1562")</f>
        <v>F1562</v>
      </c>
      <c r="AK543" s="1" t="str">
        <f ca="1">IFERROR(__xludf.DUMMYFUNCTION("""COMPUTED_VALUE"""),"Séparé(e)")</f>
        <v>Séparé(e)</v>
      </c>
      <c r="AL543" s="1" t="str">
        <f ca="1">IFERROR(__xludf.DUMMYFUNCTION("""COMPUTED_VALUE"""),"Séparé(e)")</f>
        <v>Séparé(e)</v>
      </c>
      <c r="AM543" s="1" t="str">
        <f ca="1">IFERROR(__xludf.DUMMYFUNCTION("""COMPUTED_VALUE"""),"F1562")</f>
        <v>F1562</v>
      </c>
    </row>
    <row r="544" spans="1:39" ht="13" x14ac:dyDescent="0.15">
      <c r="A544" s="1" t="str">
        <f ca="1">IFERROR(__xludf.DUMMYFUNCTION("""COMPUTED_VALUE"""),"SAMB Serigne Saliou")</f>
        <v>SAMB Serigne Saliou</v>
      </c>
      <c r="B544" s="1" t="str">
        <f ca="1">IFERROR(__xludf.DUMMYFUNCTION("""COMPUTED_VALUE"""),"SAMB")</f>
        <v>SAMB</v>
      </c>
      <c r="C544" s="1" t="str">
        <f ca="1">IFERROR(__xludf.DUMMYFUNCTION("""COMPUTED_VALUE"""),"Serigne Saliou")</f>
        <v>Serigne Saliou</v>
      </c>
      <c r="D544" s="1" t="str">
        <f ca="1">IFERROR(__xludf.DUMMYFUNCTION("""COMPUTED_VALUE"""),"1561E2")</f>
        <v>1561E2</v>
      </c>
      <c r="E544" s="2">
        <f ca="1">IFERROR(__xludf.DUMMYFUNCTION("""COMPUTED_VALUE"""),42477)</f>
        <v>42477</v>
      </c>
      <c r="F544" s="1" t="str">
        <f ca="1">IFERROR(__xludf.DUMMYFUNCTION("""COMPUTED_VALUE"""),"CM1A")</f>
        <v>CM1A</v>
      </c>
      <c r="G544" s="1" t="str">
        <f ca="1">IFERROR(__xludf.DUMMYFUNCTION("""COMPUTED_VALUE"""),"CM1")</f>
        <v>CM1</v>
      </c>
      <c r="H544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544" s="1"/>
      <c r="J544" s="1"/>
      <c r="K544" s="1"/>
      <c r="L544" s="1"/>
      <c r="M544" s="1"/>
      <c r="N544" s="1" t="str">
        <f ca="1">IFERROR(__xludf.DUMMYFUNCTION("""COMPUTED_VALUE"""),"Garçon")</f>
        <v>Garçon</v>
      </c>
      <c r="O544" s="1"/>
      <c r="P544" s="1" t="str">
        <f ca="1">IFERROR(__xludf.DUMMYFUNCTION("""COMPUTED_VALUE"""),"FRANCE")</f>
        <v>FRANCE</v>
      </c>
      <c r="Q544" s="1"/>
      <c r="R544" s="1"/>
      <c r="S544" s="1"/>
      <c r="T544" s="1" t="str">
        <f ca="1">IFERROR(__xludf.DUMMYFUNCTION("""COMPUTED_VALUE"""),"SAMB Faly")</f>
        <v>SAMB Faly</v>
      </c>
      <c r="U544" s="1" t="str">
        <f ca="1">IFERROR(__xludf.DUMMYFUNCTION("""COMPUTED_VALUE"""),"SAMB Amy Diop")</f>
        <v>SAMB Amy Diop</v>
      </c>
      <c r="V544" s="1" t="str">
        <f ca="1">IFERROR(__xludf.DUMMYFUNCTION("""COMPUTED_VALUE"""),"falysamb2@gmail.com")</f>
        <v>falysamb2@gmail.com</v>
      </c>
      <c r="W544" s="1" t="str">
        <f ca="1">IFERROR(__xludf.DUMMYFUNCTION("""COMPUTED_VALUE"""),"aminag2@yahoo.fr")</f>
        <v>aminag2@yahoo.fr</v>
      </c>
      <c r="X544" s="1" t="str">
        <f ca="1">IFERROR(__xludf.DUMMYFUNCTION("""COMPUTED_VALUE"""),"+221 77 477 00 97")</f>
        <v>+221 77 477 00 97</v>
      </c>
      <c r="Y544" s="1" t="str">
        <f ca="1">IFERROR(__xludf.DUMMYFUNCTION("""COMPUTED_VALUE"""),"+221 77 477 00 97")</f>
        <v>+221 77 477 00 97</v>
      </c>
      <c r="Z544" s="1" t="str">
        <f ca="1">IFERROR(__xludf.DUMMYFUNCTION("""COMPUTED_VALUE"""),"+221")</f>
        <v>+221</v>
      </c>
      <c r="AA544" s="1" t="str">
        <f ca="1">IFERROR(__xludf.DUMMYFUNCTION("""COMPUTED_VALUE"""),"+221")</f>
        <v>+221</v>
      </c>
      <c r="AB544" s="2">
        <f ca="1">IFERROR(__xludf.DUMMYFUNCTION("""COMPUTED_VALUE"""),29832)</f>
        <v>29832</v>
      </c>
      <c r="AC544" s="2">
        <f ca="1">IFERROR(__xludf.DUMMYFUNCTION("""COMPUTED_VALUE"""),29832)</f>
        <v>29832</v>
      </c>
      <c r="AD544" s="1" t="str">
        <f ca="1">IFERROR(__xludf.DUMMYFUNCTION("""COMPUTED_VALUE"""),"PERE")</f>
        <v>PERE</v>
      </c>
      <c r="AE544" s="1" t="str">
        <f ca="1">IFERROR(__xludf.DUMMYFUNCTION("""COMPUTED_VALUE"""),"MERE")</f>
        <v>MERE</v>
      </c>
      <c r="AF544" s="1" t="str">
        <f ca="1">IFERROR(__xludf.DUMMYFUNCTION("""COMPUTED_VALUE"""),"FRANCE")</f>
        <v>FRANCE</v>
      </c>
      <c r="AG544" s="1" t="str">
        <f ca="1">IFERROR(__xludf.DUMMYFUNCTION("""COMPUTED_VALUE"""),"SENEGAL")</f>
        <v>SENEGAL</v>
      </c>
      <c r="AH544" s="1" t="str">
        <f ca="1">IFERROR(__xludf.DUMMYFUNCTION("""COMPUTED_VALUE"""),"SENEGAL")</f>
        <v>SENEGAL</v>
      </c>
      <c r="AI544" s="1"/>
      <c r="AJ544" s="1" t="str">
        <f ca="1">IFERROR(__xludf.DUMMYFUNCTION("""COMPUTED_VALUE"""),"F1561")</f>
        <v>F1561</v>
      </c>
      <c r="AK544" s="1" t="str">
        <f ca="1">IFERROR(__xludf.DUMMYFUNCTION("""COMPUTED_VALUE"""),"Marié(e)")</f>
        <v>Marié(e)</v>
      </c>
      <c r="AL544" s="1" t="str">
        <f ca="1">IFERROR(__xludf.DUMMYFUNCTION("""COMPUTED_VALUE"""),"Marié(e)")</f>
        <v>Marié(e)</v>
      </c>
      <c r="AM544" s="1" t="str">
        <f ca="1">IFERROR(__xludf.DUMMYFUNCTION("""COMPUTED_VALUE"""),"F1561")</f>
        <v>F1561</v>
      </c>
    </row>
    <row r="545" spans="1:39" ht="13" x14ac:dyDescent="0.15">
      <c r="A545" s="1" t="str">
        <f ca="1">IFERROR(__xludf.DUMMYFUNCTION("""COMPUTED_VALUE"""),"SAMBA Babacar")</f>
        <v>SAMBA Babacar</v>
      </c>
      <c r="B545" s="1" t="str">
        <f ca="1">IFERROR(__xludf.DUMMYFUNCTION("""COMPUTED_VALUE"""),"SAMBA")</f>
        <v>SAMBA</v>
      </c>
      <c r="C545" s="1" t="str">
        <f ca="1">IFERROR(__xludf.DUMMYFUNCTION("""COMPUTED_VALUE"""),"Babacar")</f>
        <v>Babacar</v>
      </c>
      <c r="D545" s="1" t="str">
        <f ca="1">IFERROR(__xludf.DUMMYFUNCTION("""COMPUTED_VALUE"""),"1560E1")</f>
        <v>1560E1</v>
      </c>
      <c r="E545" s="2">
        <f ca="1">IFERROR(__xludf.DUMMYFUNCTION("""COMPUTED_VALUE"""),40156)</f>
        <v>40156</v>
      </c>
      <c r="F545" s="1" t="str">
        <f ca="1">IFERROR(__xludf.DUMMYFUNCTION("""COMPUTED_VALUE"""),"1ERE2")</f>
        <v>1ERE2</v>
      </c>
      <c r="G545" s="1" t="str">
        <f ca="1">IFERROR(__xludf.DUMMYFUNCTION("""COMPUTED_VALUE"""),"1ère")</f>
        <v>1ère</v>
      </c>
      <c r="H545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545" s="1" t="str">
        <f ca="1">IFERROR(__xludf.DUMMYFUNCTION("""COMPUTED_VALUE"""),"LVA Anglais")</f>
        <v>LVA Anglais</v>
      </c>
      <c r="J545" s="1" t="str">
        <f ca="1">IFERROR(__xludf.DUMMYFUNCTION("""COMPUTED_VALUE"""),"LVB Espagnol")</f>
        <v>LVB Espagnol</v>
      </c>
      <c r="K545" s="1"/>
      <c r="L545" s="1"/>
      <c r="M545" s="1" t="str">
        <f ca="1">IFERROR(__xludf.DUMMYFUNCTION("""COMPUTED_VALUE"""),"SPE MATHS, SPE SES, SPE SPC")</f>
        <v>SPE MATHS, SPE SES, SPE SPC</v>
      </c>
      <c r="N545" s="1" t="str">
        <f ca="1">IFERROR(__xludf.DUMMYFUNCTION("""COMPUTED_VALUE"""),"Garçon")</f>
        <v>Garçon</v>
      </c>
      <c r="O545" s="1"/>
      <c r="P545" s="1" t="str">
        <f ca="1">IFERROR(__xludf.DUMMYFUNCTION("""COMPUTED_VALUE"""),"FRANCE")</f>
        <v>FRANCE</v>
      </c>
      <c r="Q545" s="1" t="str">
        <f ca="1">IFERROR(__xludf.DUMMYFUNCTION("""COMPUTED_VALUE"""),"SENEGAL")</f>
        <v>SENEGAL</v>
      </c>
      <c r="R545" s="1" t="str">
        <f ca="1">IFERROR(__xludf.DUMMYFUNCTION("""COMPUTED_VALUE"""),"babacar.samba@lfjpsaly.org")</f>
        <v>babacar.samba@lfjpsaly.org</v>
      </c>
      <c r="S545" s="1" t="str">
        <f ca="1">IFERROR(__xludf.DUMMYFUNCTION("""COMPUTED_VALUE"""),"+221 76 543 42 66")</f>
        <v>+221 76 543 42 66</v>
      </c>
      <c r="T545" s="1" t="str">
        <f ca="1">IFERROR(__xludf.DUMMYFUNCTION("""COMPUTED_VALUE"""),"SAMBA Papa Dame")</f>
        <v>SAMBA Papa Dame</v>
      </c>
      <c r="U545" s="1" t="str">
        <f ca="1">IFERROR(__xludf.DUMMYFUNCTION("""COMPUTED_VALUE"""),"SAMBA Mame Diarra")</f>
        <v>SAMBA Mame Diarra</v>
      </c>
      <c r="V545" s="1" t="str">
        <f ca="1">IFERROR(__xludf.DUMMYFUNCTION("""COMPUTED_VALUE"""),"papa.dame.samba@gmail.com")</f>
        <v>papa.dame.samba@gmail.com</v>
      </c>
      <c r="W545" s="1" t="str">
        <f ca="1">IFERROR(__xludf.DUMMYFUNCTION("""COMPUTED_VALUE"""),"mamed.ba@gmail.com")</f>
        <v>mamed.ba@gmail.com</v>
      </c>
      <c r="X545" s="1" t="str">
        <f ca="1">IFERROR(__xludf.DUMMYFUNCTION("""COMPUTED_VALUE"""),"+221 77 213 33 77")</f>
        <v>+221 77 213 33 77</v>
      </c>
      <c r="Y545" s="1" t="str">
        <f ca="1">IFERROR(__xludf.DUMMYFUNCTION("""COMPUTED_VALUE"""),"+221 76 543 42 66")</f>
        <v>+221 76 543 42 66</v>
      </c>
      <c r="Z545" s="1" t="str">
        <f ca="1">IFERROR(__xludf.DUMMYFUNCTION("""COMPUTED_VALUE"""),"+33 4 45 90 20 93")</f>
        <v>+33 4 45 90 20 93</v>
      </c>
      <c r="AA545" s="1" t="str">
        <f ca="1">IFERROR(__xludf.DUMMYFUNCTION("""COMPUTED_VALUE"""),"+221 76 543 42 66")</f>
        <v>+221 76 543 42 66</v>
      </c>
      <c r="AB545" s="2">
        <f ca="1">IFERROR(__xludf.DUMMYFUNCTION("""COMPUTED_VALUE"""),28920)</f>
        <v>28920</v>
      </c>
      <c r="AC545" s="2">
        <f ca="1">IFERROR(__xludf.DUMMYFUNCTION("""COMPUTED_VALUE"""),30160)</f>
        <v>30160</v>
      </c>
      <c r="AD545" s="1" t="str">
        <f ca="1">IFERROR(__xludf.DUMMYFUNCTION("""COMPUTED_VALUE"""),"PERE")</f>
        <v>PERE</v>
      </c>
      <c r="AE545" s="1" t="str">
        <f ca="1">IFERROR(__xludf.DUMMYFUNCTION("""COMPUTED_VALUE"""),"MERE")</f>
        <v>MERE</v>
      </c>
      <c r="AF545" s="1" t="str">
        <f ca="1">IFERROR(__xludf.DUMMYFUNCTION("""COMPUTED_VALUE"""),"SENEGAL")</f>
        <v>SENEGAL</v>
      </c>
      <c r="AG545" s="1" t="str">
        <f ca="1">IFERROR(__xludf.DUMMYFUNCTION("""COMPUTED_VALUE"""),"SENEGAL")</f>
        <v>SENEGAL</v>
      </c>
      <c r="AH545" s="1" t="str">
        <f ca="1">IFERROR(__xludf.DUMMYFUNCTION("""COMPUTED_VALUE"""),"FRANCE")</f>
        <v>FRANCE</v>
      </c>
      <c r="AI545" s="1" t="str">
        <f ca="1">IFERROR(__xludf.DUMMYFUNCTION("""COMPUTED_VALUE"""),"FRANCE")</f>
        <v>FRANCE</v>
      </c>
      <c r="AJ545" s="1" t="str">
        <f ca="1">IFERROR(__xludf.DUMMYFUNCTION("""COMPUTED_VALUE"""),"F1560")</f>
        <v>F1560</v>
      </c>
      <c r="AK545" s="1" t="str">
        <f ca="1">IFERROR(__xludf.DUMMYFUNCTION("""COMPUTED_VALUE"""),"Marié(e)")</f>
        <v>Marié(e)</v>
      </c>
      <c r="AL545" s="1" t="str">
        <f ca="1">IFERROR(__xludf.DUMMYFUNCTION("""COMPUTED_VALUE"""),"Marié(e)")</f>
        <v>Marié(e)</v>
      </c>
      <c r="AM545" s="1" t="str">
        <f ca="1">IFERROR(__xludf.DUMMYFUNCTION("""COMPUTED_VALUE"""),"F1560")</f>
        <v>F1560</v>
      </c>
    </row>
    <row r="546" spans="1:39" ht="13" x14ac:dyDescent="0.15">
      <c r="A546" s="1" t="str">
        <f ca="1">IFERROR(__xludf.DUMMYFUNCTION("""COMPUTED_VALUE"""),"SAMBA Seydina Ousmane")</f>
        <v>SAMBA Seydina Ousmane</v>
      </c>
      <c r="B546" s="1" t="str">
        <f ca="1">IFERROR(__xludf.DUMMYFUNCTION("""COMPUTED_VALUE"""),"SAMBA")</f>
        <v>SAMBA</v>
      </c>
      <c r="C546" s="1" t="str">
        <f ca="1">IFERROR(__xludf.DUMMYFUNCTION("""COMPUTED_VALUE"""),"Seydina Ousmane")</f>
        <v>Seydina Ousmane</v>
      </c>
      <c r="D546" s="1" t="str">
        <f ca="1">IFERROR(__xludf.DUMMYFUNCTION("""COMPUTED_VALUE"""),"1560E2")</f>
        <v>1560E2</v>
      </c>
      <c r="E546" s="2">
        <f ca="1">IFERROR(__xludf.DUMMYFUNCTION("""COMPUTED_VALUE"""),43316)</f>
        <v>43316</v>
      </c>
      <c r="F546" s="1" t="str">
        <f ca="1">IFERROR(__xludf.DUMMYFUNCTION("""COMPUTED_VALUE"""),"CE1A")</f>
        <v>CE1A</v>
      </c>
      <c r="G546" s="1" t="str">
        <f ca="1">IFERROR(__xludf.DUMMYFUNCTION("""COMPUTED_VALUE"""),"CE1")</f>
        <v>CE1</v>
      </c>
      <c r="H546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546" s="1"/>
      <c r="J546" s="1"/>
      <c r="K546" s="1"/>
      <c r="L546" s="1"/>
      <c r="M546" s="1"/>
      <c r="N546" s="1" t="str">
        <f ca="1">IFERROR(__xludf.DUMMYFUNCTION("""COMPUTED_VALUE"""),"Garçon")</f>
        <v>Garçon</v>
      </c>
      <c r="O546" s="1"/>
      <c r="P546" s="1" t="str">
        <f ca="1">IFERROR(__xludf.DUMMYFUNCTION("""COMPUTED_VALUE"""),"FRANCE")</f>
        <v>FRANCE</v>
      </c>
      <c r="Q546" s="1" t="str">
        <f ca="1">IFERROR(__xludf.DUMMYFUNCTION("""COMPUTED_VALUE"""),"SENEGAL")</f>
        <v>SENEGAL</v>
      </c>
      <c r="R546" s="1"/>
      <c r="S546" s="1"/>
      <c r="T546" s="1" t="str">
        <f ca="1">IFERROR(__xludf.DUMMYFUNCTION("""COMPUTED_VALUE"""),"SAMBA Papa Dame")</f>
        <v>SAMBA Papa Dame</v>
      </c>
      <c r="U546" s="1" t="str">
        <f ca="1">IFERROR(__xludf.DUMMYFUNCTION("""COMPUTED_VALUE"""),"SAMBA Mame Diarra")</f>
        <v>SAMBA Mame Diarra</v>
      </c>
      <c r="V546" s="1" t="str">
        <f ca="1">IFERROR(__xludf.DUMMYFUNCTION("""COMPUTED_VALUE"""),"papa.dame.samba@gmail.com")</f>
        <v>papa.dame.samba@gmail.com</v>
      </c>
      <c r="W546" s="1" t="str">
        <f ca="1">IFERROR(__xludf.DUMMYFUNCTION("""COMPUTED_VALUE"""),"mamed.ba@gmail.com")</f>
        <v>mamed.ba@gmail.com</v>
      </c>
      <c r="X546" s="1" t="str">
        <f ca="1">IFERROR(__xludf.DUMMYFUNCTION("""COMPUTED_VALUE"""),"+221 77 213 33 77")</f>
        <v>+221 77 213 33 77</v>
      </c>
      <c r="Y546" s="1" t="str">
        <f ca="1">IFERROR(__xludf.DUMMYFUNCTION("""COMPUTED_VALUE"""),"+221 76 543 42 66")</f>
        <v>+221 76 543 42 66</v>
      </c>
      <c r="Z546" s="1" t="str">
        <f ca="1">IFERROR(__xludf.DUMMYFUNCTION("""COMPUTED_VALUE"""),"+33 4 45 90 20 93")</f>
        <v>+33 4 45 90 20 93</v>
      </c>
      <c r="AA546" s="1" t="str">
        <f ca="1">IFERROR(__xludf.DUMMYFUNCTION("""COMPUTED_VALUE"""),"+221 76 543 42 66")</f>
        <v>+221 76 543 42 66</v>
      </c>
      <c r="AB546" s="2">
        <f ca="1">IFERROR(__xludf.DUMMYFUNCTION("""COMPUTED_VALUE"""),28920)</f>
        <v>28920</v>
      </c>
      <c r="AC546" s="2">
        <f ca="1">IFERROR(__xludf.DUMMYFUNCTION("""COMPUTED_VALUE"""),30160)</f>
        <v>30160</v>
      </c>
      <c r="AD546" s="1" t="str">
        <f ca="1">IFERROR(__xludf.DUMMYFUNCTION("""COMPUTED_VALUE"""),"PERE")</f>
        <v>PERE</v>
      </c>
      <c r="AE546" s="1" t="str">
        <f ca="1">IFERROR(__xludf.DUMMYFUNCTION("""COMPUTED_VALUE"""),"MERE")</f>
        <v>MERE</v>
      </c>
      <c r="AF546" s="1" t="str">
        <f ca="1">IFERROR(__xludf.DUMMYFUNCTION("""COMPUTED_VALUE"""),"SENEGAL")</f>
        <v>SENEGAL</v>
      </c>
      <c r="AG546" s="1" t="str">
        <f ca="1">IFERROR(__xludf.DUMMYFUNCTION("""COMPUTED_VALUE"""),"SENEGAL")</f>
        <v>SENEGAL</v>
      </c>
      <c r="AH546" s="1" t="str">
        <f ca="1">IFERROR(__xludf.DUMMYFUNCTION("""COMPUTED_VALUE"""),"FRANCE")</f>
        <v>FRANCE</v>
      </c>
      <c r="AI546" s="1" t="str">
        <f ca="1">IFERROR(__xludf.DUMMYFUNCTION("""COMPUTED_VALUE"""),"FRANCE")</f>
        <v>FRANCE</v>
      </c>
      <c r="AJ546" s="1" t="str">
        <f ca="1">IFERROR(__xludf.DUMMYFUNCTION("""COMPUTED_VALUE"""),"F1560")</f>
        <v>F1560</v>
      </c>
      <c r="AK546" s="1" t="str">
        <f ca="1">IFERROR(__xludf.DUMMYFUNCTION("""COMPUTED_VALUE"""),"Marié(e)")</f>
        <v>Marié(e)</v>
      </c>
      <c r="AL546" s="1" t="str">
        <f ca="1">IFERROR(__xludf.DUMMYFUNCTION("""COMPUTED_VALUE"""),"Marié(e)")</f>
        <v>Marié(e)</v>
      </c>
      <c r="AM546" s="1" t="str">
        <f ca="1">IFERROR(__xludf.DUMMYFUNCTION("""COMPUTED_VALUE"""),"F1560")</f>
        <v>F1560</v>
      </c>
    </row>
    <row r="547" spans="1:39" ht="13" x14ac:dyDescent="0.15">
      <c r="A547" s="1" t="str">
        <f ca="1">IFERROR(__xludf.DUMMYFUNCTION("""COMPUTED_VALUE"""),"SAMBA Soukeyna")</f>
        <v>SAMBA Soukeyna</v>
      </c>
      <c r="B547" s="1" t="str">
        <f ca="1">IFERROR(__xludf.DUMMYFUNCTION("""COMPUTED_VALUE"""),"SAMBA")</f>
        <v>SAMBA</v>
      </c>
      <c r="C547" s="1" t="str">
        <f ca="1">IFERROR(__xludf.DUMMYFUNCTION("""COMPUTED_VALUE"""),"Soukeyna")</f>
        <v>Soukeyna</v>
      </c>
      <c r="D547" s="1" t="str">
        <f ca="1">IFERROR(__xludf.DUMMYFUNCTION("""COMPUTED_VALUE"""),"1560E3")</f>
        <v>1560E3</v>
      </c>
      <c r="E547" s="2">
        <f ca="1">IFERROR(__xludf.DUMMYFUNCTION("""COMPUTED_VALUE"""),42244)</f>
        <v>42244</v>
      </c>
      <c r="F547" s="1" t="str">
        <f ca="1">IFERROR(__xludf.DUMMYFUNCTION("""COMPUTED_VALUE"""),"CM2A")</f>
        <v>CM2A</v>
      </c>
      <c r="G547" s="1" t="str">
        <f ca="1">IFERROR(__xludf.DUMMYFUNCTION("""COMPUTED_VALUE"""),"CM2")</f>
        <v>CM2</v>
      </c>
      <c r="H547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547" s="1"/>
      <c r="J547" s="1"/>
      <c r="K547" s="1"/>
      <c r="L547" s="1"/>
      <c r="M547" s="1"/>
      <c r="N547" s="1" t="str">
        <f ca="1">IFERROR(__xludf.DUMMYFUNCTION("""COMPUTED_VALUE"""),"Fille")</f>
        <v>Fille</v>
      </c>
      <c r="O547" s="1"/>
      <c r="P547" s="1" t="str">
        <f ca="1">IFERROR(__xludf.DUMMYFUNCTION("""COMPUTED_VALUE"""),"FRANCE")</f>
        <v>FRANCE</v>
      </c>
      <c r="Q547" s="1" t="str">
        <f ca="1">IFERROR(__xludf.DUMMYFUNCTION("""COMPUTED_VALUE"""),"SENEGAL")</f>
        <v>SENEGAL</v>
      </c>
      <c r="R547" s="1"/>
      <c r="S547" s="1"/>
      <c r="T547" s="1" t="str">
        <f ca="1">IFERROR(__xludf.DUMMYFUNCTION("""COMPUTED_VALUE"""),"SAMBA Papa Dame")</f>
        <v>SAMBA Papa Dame</v>
      </c>
      <c r="U547" s="1" t="str">
        <f ca="1">IFERROR(__xludf.DUMMYFUNCTION("""COMPUTED_VALUE"""),"SAMBA Mame Diarra")</f>
        <v>SAMBA Mame Diarra</v>
      </c>
      <c r="V547" s="1" t="str">
        <f ca="1">IFERROR(__xludf.DUMMYFUNCTION("""COMPUTED_VALUE"""),"papa.dame.samba@gmail.com")</f>
        <v>papa.dame.samba@gmail.com</v>
      </c>
      <c r="W547" s="1" t="str">
        <f ca="1">IFERROR(__xludf.DUMMYFUNCTION("""COMPUTED_VALUE"""),"mamed.ba@gmail.com")</f>
        <v>mamed.ba@gmail.com</v>
      </c>
      <c r="X547" s="1" t="str">
        <f ca="1">IFERROR(__xludf.DUMMYFUNCTION("""COMPUTED_VALUE"""),"+221 77 213 33 77")</f>
        <v>+221 77 213 33 77</v>
      </c>
      <c r="Y547" s="1" t="str">
        <f ca="1">IFERROR(__xludf.DUMMYFUNCTION("""COMPUTED_VALUE"""),"+221 76 543 42 66")</f>
        <v>+221 76 543 42 66</v>
      </c>
      <c r="Z547" s="1" t="str">
        <f ca="1">IFERROR(__xludf.DUMMYFUNCTION("""COMPUTED_VALUE"""),"+33 4 45 90 20 93")</f>
        <v>+33 4 45 90 20 93</v>
      </c>
      <c r="AA547" s="1" t="str">
        <f ca="1">IFERROR(__xludf.DUMMYFUNCTION("""COMPUTED_VALUE"""),"+221 76 543 42 66")</f>
        <v>+221 76 543 42 66</v>
      </c>
      <c r="AB547" s="2">
        <f ca="1">IFERROR(__xludf.DUMMYFUNCTION("""COMPUTED_VALUE"""),28920)</f>
        <v>28920</v>
      </c>
      <c r="AC547" s="2">
        <f ca="1">IFERROR(__xludf.DUMMYFUNCTION("""COMPUTED_VALUE"""),30160)</f>
        <v>30160</v>
      </c>
      <c r="AD547" s="1" t="str">
        <f ca="1">IFERROR(__xludf.DUMMYFUNCTION("""COMPUTED_VALUE"""),"PERE")</f>
        <v>PERE</v>
      </c>
      <c r="AE547" s="1" t="str">
        <f ca="1">IFERROR(__xludf.DUMMYFUNCTION("""COMPUTED_VALUE"""),"MERE")</f>
        <v>MERE</v>
      </c>
      <c r="AF547" s="1" t="str">
        <f ca="1">IFERROR(__xludf.DUMMYFUNCTION("""COMPUTED_VALUE"""),"SENEGAL")</f>
        <v>SENEGAL</v>
      </c>
      <c r="AG547" s="1" t="str">
        <f ca="1">IFERROR(__xludf.DUMMYFUNCTION("""COMPUTED_VALUE"""),"SENEGAL")</f>
        <v>SENEGAL</v>
      </c>
      <c r="AH547" s="1" t="str">
        <f ca="1">IFERROR(__xludf.DUMMYFUNCTION("""COMPUTED_VALUE"""),"FRANCE")</f>
        <v>FRANCE</v>
      </c>
      <c r="AI547" s="1" t="str">
        <f ca="1">IFERROR(__xludf.DUMMYFUNCTION("""COMPUTED_VALUE"""),"FRANCE")</f>
        <v>FRANCE</v>
      </c>
      <c r="AJ547" s="1" t="str">
        <f ca="1">IFERROR(__xludf.DUMMYFUNCTION("""COMPUTED_VALUE"""),"F1560")</f>
        <v>F1560</v>
      </c>
      <c r="AK547" s="1" t="str">
        <f ca="1">IFERROR(__xludf.DUMMYFUNCTION("""COMPUTED_VALUE"""),"Marié(e)")</f>
        <v>Marié(e)</v>
      </c>
      <c r="AL547" s="1" t="str">
        <f ca="1">IFERROR(__xludf.DUMMYFUNCTION("""COMPUTED_VALUE"""),"Marié(e)")</f>
        <v>Marié(e)</v>
      </c>
      <c r="AM547" s="1" t="str">
        <f ca="1">IFERROR(__xludf.DUMMYFUNCTION("""COMPUTED_VALUE"""),"F1560")</f>
        <v>F1560</v>
      </c>
    </row>
    <row r="548" spans="1:39" ht="13" x14ac:dyDescent="0.15">
      <c r="A548" s="1" t="str">
        <f ca="1">IFERROR(__xludf.DUMMYFUNCTION("""COMPUTED_VALUE"""),"SAMBE Khady Thérèse")</f>
        <v>SAMBE Khady Thérèse</v>
      </c>
      <c r="B548" s="1" t="str">
        <f ca="1">IFERROR(__xludf.DUMMYFUNCTION("""COMPUTED_VALUE"""),"SAMBE")</f>
        <v>SAMBE</v>
      </c>
      <c r="C548" s="1" t="str">
        <f ca="1">IFERROR(__xludf.DUMMYFUNCTION("""COMPUTED_VALUE"""),"Khady Thérèse")</f>
        <v>Khady Thérèse</v>
      </c>
      <c r="D548" s="1" t="str">
        <f ca="1">IFERROR(__xludf.DUMMYFUNCTION("""COMPUTED_VALUE"""),"11730S2395")</f>
        <v>11730S2395</v>
      </c>
      <c r="E548" s="2">
        <f ca="1">IFERROR(__xludf.DUMMYFUNCTION("""COMPUTED_VALUE"""),44176)</f>
        <v>44176</v>
      </c>
      <c r="F548" s="1" t="str">
        <f ca="1">IFERROR(__xludf.DUMMYFUNCTION("""COMPUTED_VALUE"""),"Mat 2")</f>
        <v>Mat 2</v>
      </c>
      <c r="G548" s="1" t="str">
        <f ca="1">IFERROR(__xludf.DUMMYFUNCTION("""COMPUTED_VALUE"""),"GS")</f>
        <v>GS</v>
      </c>
      <c r="H548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548" s="1"/>
      <c r="J548" s="1"/>
      <c r="K548" s="1"/>
      <c r="L548" s="1"/>
      <c r="M548" s="1"/>
      <c r="N548" s="1" t="str">
        <f ca="1">IFERROR(__xludf.DUMMYFUNCTION("""COMPUTED_VALUE"""),"Fille")</f>
        <v>Fille</v>
      </c>
      <c r="O548" s="1"/>
      <c r="P548" s="1" t="str">
        <f ca="1">IFERROR(__xludf.DUMMYFUNCTION("""COMPUTED_VALUE"""),"SENEGAL")</f>
        <v>SENEGAL</v>
      </c>
      <c r="Q548" s="1"/>
      <c r="R548" s="1"/>
      <c r="S548" s="1" t="str">
        <f ca="1">IFERROR(__xludf.DUMMYFUNCTION("""COMPUTED_VALUE"""),"+221")</f>
        <v>+221</v>
      </c>
      <c r="T548" s="1" t="str">
        <f ca="1">IFERROR(__xludf.DUMMYFUNCTION("""COMPUTED_VALUE"""),"SAMBE Ousmane")</f>
        <v>SAMBE Ousmane</v>
      </c>
      <c r="U548" s="1" t="str">
        <f ca="1">IFERROR(__xludf.DUMMYFUNCTION("""COMPUTED_VALUE"""),"SAMBE Aliou")</f>
        <v>SAMBE Aliou</v>
      </c>
      <c r="V548" s="1" t="str">
        <f ca="1">IFERROR(__xludf.DUMMYFUNCTION("""COMPUTED_VALUE"""),"ousbi34@gmail.com")</f>
        <v>ousbi34@gmail.com</v>
      </c>
      <c r="W548" s="1" t="str">
        <f ca="1">IFERROR(__xludf.DUMMYFUNCTION("""COMPUTED_VALUE"""),"ousbi34@live.fr")</f>
        <v>ousbi34@live.fr</v>
      </c>
      <c r="X548" s="1" t="str">
        <f ca="1">IFERROR(__xludf.DUMMYFUNCTION("""COMPUTED_VALUE"""),"+33 6 41 25 59 52")</f>
        <v>+33 6 41 25 59 52</v>
      </c>
      <c r="Y548" s="1" t="str">
        <f ca="1">IFERROR(__xludf.DUMMYFUNCTION("""COMPUTED_VALUE"""),"+221 77 567 54 62")</f>
        <v>+221 77 567 54 62</v>
      </c>
      <c r="Z548" s="1" t="str">
        <f ca="1">IFERROR(__xludf.DUMMYFUNCTION("""COMPUTED_VALUE"""),"+221")</f>
        <v>+221</v>
      </c>
      <c r="AA548" s="1" t="str">
        <f ca="1">IFERROR(__xludf.DUMMYFUNCTION("""COMPUTED_VALUE"""),"+221")</f>
        <v>+221</v>
      </c>
      <c r="AB548" s="2">
        <f ca="1">IFERROR(__xludf.DUMMYFUNCTION("""COMPUTED_VALUE"""),32504)</f>
        <v>32504</v>
      </c>
      <c r="AC548" s="2">
        <f ca="1">IFERROR(__xludf.DUMMYFUNCTION("""COMPUTED_VALUE"""),20862)</f>
        <v>20862</v>
      </c>
      <c r="AD548" s="1" t="str">
        <f ca="1">IFERROR(__xludf.DUMMYFUNCTION("""COMPUTED_VALUE"""),"PERE")</f>
        <v>PERE</v>
      </c>
      <c r="AE548" s="1" t="str">
        <f ca="1">IFERROR(__xludf.DUMMYFUNCTION("""COMPUTED_VALUE"""),"GRAND-PÈRE")</f>
        <v>GRAND-PÈRE</v>
      </c>
      <c r="AF548" s="1" t="str">
        <f ca="1">IFERROR(__xludf.DUMMYFUNCTION("""COMPUTED_VALUE"""),"SENEGAL")</f>
        <v>SENEGAL</v>
      </c>
      <c r="AG548" s="1" t="str">
        <f ca="1">IFERROR(__xludf.DUMMYFUNCTION("""COMPUTED_VALUE"""),"SENEGAL")</f>
        <v>SENEGAL</v>
      </c>
      <c r="AH548" s="1"/>
      <c r="AI548" s="1"/>
      <c r="AJ548" s="1" t="str">
        <f ca="1">IFERROR(__xludf.DUMMYFUNCTION("""COMPUTED_VALUE"""),"U11730")</f>
        <v>U11730</v>
      </c>
      <c r="AK548" s="1" t="str">
        <f ca="1">IFERROR(__xludf.DUMMYFUNCTION("""COMPUTED_VALUE"""),"CONCUBINAGE")</f>
        <v>CONCUBINAGE</v>
      </c>
      <c r="AL548" s="1" t="str">
        <f ca="1">IFERROR(__xludf.DUMMYFUNCTION("""COMPUTED_VALUE"""),"Marié(e)")</f>
        <v>Marié(e)</v>
      </c>
      <c r="AM548" s="1" t="str">
        <f ca="1">IFERROR(__xludf.DUMMYFUNCTION("""COMPUTED_VALUE"""),"U11730")</f>
        <v>U11730</v>
      </c>
    </row>
    <row r="549" spans="1:39" ht="13" x14ac:dyDescent="0.15">
      <c r="A549" s="1" t="str">
        <f ca="1">IFERROR(__xludf.DUMMYFUNCTION("""COMPUTED_VALUE"""),"SARR Bassine Marie")</f>
        <v>SARR Bassine Marie</v>
      </c>
      <c r="B549" s="1" t="str">
        <f ca="1">IFERROR(__xludf.DUMMYFUNCTION("""COMPUTED_VALUE"""),"SARR")</f>
        <v>SARR</v>
      </c>
      <c r="C549" s="1" t="str">
        <f ca="1">IFERROR(__xludf.DUMMYFUNCTION("""COMPUTED_VALUE"""),"Bassine Marie")</f>
        <v>Bassine Marie</v>
      </c>
      <c r="D549" s="1" t="str">
        <f ca="1">IFERROR(__xludf.DUMMYFUNCTION("""COMPUTED_VALUE"""),"11851S2671")</f>
        <v>11851S2671</v>
      </c>
      <c r="E549" s="2">
        <f ca="1">IFERROR(__xludf.DUMMYFUNCTION("""COMPUTED_VALUE"""),44158)</f>
        <v>44158</v>
      </c>
      <c r="F549" s="1" t="str">
        <f ca="1">IFERROR(__xludf.DUMMYFUNCTION("""COMPUTED_VALUE"""),"Mat 2")</f>
        <v>Mat 2</v>
      </c>
      <c r="G549" s="1" t="str">
        <f ca="1">IFERROR(__xludf.DUMMYFUNCTION("""COMPUTED_VALUE"""),"GS")</f>
        <v>GS</v>
      </c>
      <c r="H549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549" s="1"/>
      <c r="J549" s="1"/>
      <c r="K549" s="1"/>
      <c r="L549" s="1"/>
      <c r="M549" s="1"/>
      <c r="N549" s="1" t="str">
        <f ca="1">IFERROR(__xludf.DUMMYFUNCTION("""COMPUTED_VALUE"""),"Fille")</f>
        <v>Fille</v>
      </c>
      <c r="O549" s="1"/>
      <c r="P549" s="1" t="str">
        <f ca="1">IFERROR(__xludf.DUMMYFUNCTION("""COMPUTED_VALUE"""),"SENEGAL")</f>
        <v>SENEGAL</v>
      </c>
      <c r="Q549" s="1" t="str">
        <f ca="1">IFERROR(__xludf.DUMMYFUNCTION("""COMPUTED_VALUE"""),"SENEGAL")</f>
        <v>SENEGAL</v>
      </c>
      <c r="R549" s="1"/>
      <c r="S549" s="1" t="str">
        <f ca="1">IFERROR(__xludf.DUMMYFUNCTION("""COMPUTED_VALUE"""),"+221")</f>
        <v>+221</v>
      </c>
      <c r="T549" s="1" t="str">
        <f ca="1">IFERROR(__xludf.DUMMYFUNCTION("""COMPUTED_VALUE"""),"TOURE Mawi")</f>
        <v>TOURE Mawi</v>
      </c>
      <c r="U549" s="1"/>
      <c r="V549" s="1" t="str">
        <f ca="1">IFERROR(__xludf.DUMMYFUNCTION("""COMPUTED_VALUE"""),"mawitoure67@gmail.com")</f>
        <v>mawitoure67@gmail.com</v>
      </c>
      <c r="W549" s="1"/>
      <c r="X549" s="1" t="str">
        <f ca="1">IFERROR(__xludf.DUMMYFUNCTION("""COMPUTED_VALUE"""),"+221 78 441 26 35")</f>
        <v>+221 78 441 26 35</v>
      </c>
      <c r="Y549" s="1"/>
      <c r="Z549" s="1" t="str">
        <f ca="1">IFERROR(__xludf.DUMMYFUNCTION("""COMPUTED_VALUE"""),"+221 78 441 26 35")</f>
        <v>+221 78 441 26 35</v>
      </c>
      <c r="AA549" s="1"/>
      <c r="AB549" s="2">
        <f ca="1">IFERROR(__xludf.DUMMYFUNCTION("""COMPUTED_VALUE"""),33127)</f>
        <v>33127</v>
      </c>
      <c r="AC549" s="1"/>
      <c r="AD549" s="1" t="str">
        <f ca="1">IFERROR(__xludf.DUMMYFUNCTION("""COMPUTED_VALUE"""),"MERE")</f>
        <v>MERE</v>
      </c>
      <c r="AE549" s="1"/>
      <c r="AF549" s="1" t="str">
        <f ca="1">IFERROR(__xludf.DUMMYFUNCTION("""COMPUTED_VALUE"""),"SENEGAL")</f>
        <v>SENEGAL</v>
      </c>
      <c r="AG549" s="1"/>
      <c r="AH549" s="1" t="str">
        <f ca="1">IFERROR(__xludf.DUMMYFUNCTION("""COMPUTED_VALUE"""),"SENEGAL")</f>
        <v>SENEGAL</v>
      </c>
      <c r="AI549" s="1"/>
      <c r="AJ549" s="1" t="str">
        <f ca="1">IFERROR(__xludf.DUMMYFUNCTION("""COMPUTED_VALUE"""),"U11851")</f>
        <v>U11851</v>
      </c>
      <c r="AK549" s="1" t="str">
        <f ca="1">IFERROR(__xludf.DUMMYFUNCTION("""COMPUTED_VALUE"""),"Veuf(ve)")</f>
        <v>Veuf(ve)</v>
      </c>
      <c r="AL549" s="1"/>
      <c r="AM549" s="1" t="str">
        <f ca="1">IFERROR(__xludf.DUMMYFUNCTION("""COMPUTED_VALUE"""),"U11851")</f>
        <v>U11851</v>
      </c>
    </row>
    <row r="550" spans="1:39" ht="13" x14ac:dyDescent="0.15">
      <c r="A550" s="1" t="str">
        <f ca="1">IFERROR(__xludf.DUMMYFUNCTION("""COMPUTED_VALUE"""),"SARR Fatou Bintou")</f>
        <v>SARR Fatou Bintou</v>
      </c>
      <c r="B550" s="1" t="str">
        <f ca="1">IFERROR(__xludf.DUMMYFUNCTION("""COMPUTED_VALUE"""),"SARR")</f>
        <v>SARR</v>
      </c>
      <c r="C550" s="1" t="str">
        <f ca="1">IFERROR(__xludf.DUMMYFUNCTION("""COMPUTED_VALUE"""),"Fatou Bintou")</f>
        <v>Fatou Bintou</v>
      </c>
      <c r="D550" s="1" t="str">
        <f ca="1">IFERROR(__xludf.DUMMYFUNCTION("""COMPUTED_VALUE"""),"11864S2699")</f>
        <v>11864S2699</v>
      </c>
      <c r="E550" s="2">
        <f ca="1">IFERROR(__xludf.DUMMYFUNCTION("""COMPUTED_VALUE"""),41002)</f>
        <v>41002</v>
      </c>
      <c r="F550" s="1" t="str">
        <f ca="1">IFERROR(__xludf.DUMMYFUNCTION("""COMPUTED_VALUE"""),"3EME2")</f>
        <v>3EME2</v>
      </c>
      <c r="G550" s="1" t="str">
        <f ca="1">IFERROR(__xludf.DUMMYFUNCTION("""COMPUTED_VALUE"""),"3ème")</f>
        <v>3ème</v>
      </c>
      <c r="H550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550" s="1" t="str">
        <f ca="1">IFERROR(__xludf.DUMMYFUNCTION("""COMPUTED_VALUE"""),"LVA Anglais")</f>
        <v>LVA Anglais</v>
      </c>
      <c r="J550" s="1" t="str">
        <f ca="1">IFERROR(__xludf.DUMMYFUNCTION("""COMPUTED_VALUE"""),"LVB Espagnol")</f>
        <v>LVB Espagnol</v>
      </c>
      <c r="K550" s="1"/>
      <c r="L550" s="1"/>
      <c r="M550" s="1"/>
      <c r="N550" s="1" t="str">
        <f ca="1">IFERROR(__xludf.DUMMYFUNCTION("""COMPUTED_VALUE"""),"Fille")</f>
        <v>Fille</v>
      </c>
      <c r="O550" s="1"/>
      <c r="P550" s="1" t="str">
        <f ca="1">IFERROR(__xludf.DUMMYFUNCTION("""COMPUTED_VALUE"""),"ITALIE")</f>
        <v>ITALIE</v>
      </c>
      <c r="Q550" s="1" t="str">
        <f ca="1">IFERROR(__xludf.DUMMYFUNCTION("""COMPUTED_VALUE"""),"SENEGAL")</f>
        <v>SENEGAL</v>
      </c>
      <c r="R550" s="1" t="str">
        <f ca="1">IFERROR(__xludf.DUMMYFUNCTION("""COMPUTED_VALUE"""),"fatou.sarr@lfjpsaly.org")</f>
        <v>fatou.sarr@lfjpsaly.org</v>
      </c>
      <c r="S550" s="1" t="str">
        <f ca="1">IFERROR(__xludf.DUMMYFUNCTION("""COMPUTED_VALUE"""),"+221 77 430 53 53")</f>
        <v>+221 77 430 53 53</v>
      </c>
      <c r="T550" s="1" t="str">
        <f ca="1">IFERROR(__xludf.DUMMYFUNCTION("""COMPUTED_VALUE"""),"SARR Yahya")</f>
        <v>SARR Yahya</v>
      </c>
      <c r="U550" s="1" t="str">
        <f ca="1">IFERROR(__xludf.DUMMYFUNCTION("""COMPUTED_VALUE"""),"FALL Ramatoulaye")</f>
        <v>FALL Ramatoulaye</v>
      </c>
      <c r="V550" s="1" t="str">
        <f ca="1">IFERROR(__xludf.DUMMYFUNCTION("""COMPUTED_VALUE"""),"mamminasarr2@gmail.com")</f>
        <v>mamminasarr2@gmail.com</v>
      </c>
      <c r="W550" s="1" t="str">
        <f ca="1">IFERROR(__xludf.DUMMYFUNCTION("""COMPUTED_VALUE"""),"rouanafall@gmail.com")</f>
        <v>rouanafall@gmail.com</v>
      </c>
      <c r="X550" s="1" t="str">
        <f ca="1">IFERROR(__xludf.DUMMYFUNCTION("""COMPUTED_VALUE"""),"+221 71 128 79 30")</f>
        <v>+221 71 128 79 30</v>
      </c>
      <c r="Y550" s="1" t="str">
        <f ca="1">IFERROR(__xludf.DUMMYFUNCTION("""COMPUTED_VALUE"""),"+221 77 430 53 53")</f>
        <v>+221 77 430 53 53</v>
      </c>
      <c r="Z550" s="1" t="str">
        <f ca="1">IFERROR(__xludf.DUMMYFUNCTION("""COMPUTED_VALUE"""),"+221 77 784 15 22")</f>
        <v>+221 77 784 15 22</v>
      </c>
      <c r="AA550" s="1" t="str">
        <f ca="1">IFERROR(__xludf.DUMMYFUNCTION("""COMPUTED_VALUE"""),"+221 77 430 53 53")</f>
        <v>+221 77 430 53 53</v>
      </c>
      <c r="AB550" s="2">
        <f ca="1">IFERROR(__xludf.DUMMYFUNCTION("""COMPUTED_VALUE"""),25775)</f>
        <v>25775</v>
      </c>
      <c r="AC550" s="2">
        <f ca="1">IFERROR(__xludf.DUMMYFUNCTION("""COMPUTED_VALUE"""),31456)</f>
        <v>31456</v>
      </c>
      <c r="AD550" s="1" t="str">
        <f ca="1">IFERROR(__xludf.DUMMYFUNCTION("""COMPUTED_VALUE"""),"PERE")</f>
        <v>PERE</v>
      </c>
      <c r="AE550" s="1" t="str">
        <f ca="1">IFERROR(__xludf.DUMMYFUNCTION("""COMPUTED_VALUE"""),"MERE")</f>
        <v>MERE</v>
      </c>
      <c r="AF550" s="1" t="str">
        <f ca="1">IFERROR(__xludf.DUMMYFUNCTION("""COMPUTED_VALUE"""),"ITALIE")</f>
        <v>ITALIE</v>
      </c>
      <c r="AG550" s="1" t="str">
        <f ca="1">IFERROR(__xludf.DUMMYFUNCTION("""COMPUTED_VALUE"""),"SENEGAL")</f>
        <v>SENEGAL</v>
      </c>
      <c r="AH550" s="1" t="str">
        <f ca="1">IFERROR(__xludf.DUMMYFUNCTION("""COMPUTED_VALUE"""),"SENEGAL")</f>
        <v>SENEGAL</v>
      </c>
      <c r="AI550" s="1" t="str">
        <f ca="1">IFERROR(__xludf.DUMMYFUNCTION("""COMPUTED_VALUE"""),"ITALIE")</f>
        <v>ITALIE</v>
      </c>
      <c r="AJ550" s="1" t="str">
        <f ca="1">IFERROR(__xludf.DUMMYFUNCTION("""COMPUTED_VALUE"""),"U11864")</f>
        <v>U11864</v>
      </c>
      <c r="AK550" s="1" t="str">
        <f ca="1">IFERROR(__xludf.DUMMYFUNCTION("""COMPUTED_VALUE"""),"Marié(e)")</f>
        <v>Marié(e)</v>
      </c>
      <c r="AL550" s="1" t="str">
        <f ca="1">IFERROR(__xludf.DUMMYFUNCTION("""COMPUTED_VALUE"""),"Marié(e)")</f>
        <v>Marié(e)</v>
      </c>
      <c r="AM550" s="1" t="str">
        <f ca="1">IFERROR(__xludf.DUMMYFUNCTION("""COMPUTED_VALUE"""),"U11864")</f>
        <v>U11864</v>
      </c>
    </row>
    <row r="551" spans="1:39" ht="13" x14ac:dyDescent="0.15">
      <c r="A551" s="1" t="str">
        <f ca="1">IFERROR(__xludf.DUMMYFUNCTION("""COMPUTED_VALUE"""),"SARR Mame Diarra Bousso")</f>
        <v>SARR Mame Diarra Bousso</v>
      </c>
      <c r="B551" s="1" t="str">
        <f ca="1">IFERROR(__xludf.DUMMYFUNCTION("""COMPUTED_VALUE"""),"SARR")</f>
        <v>SARR</v>
      </c>
      <c r="C551" s="1" t="str">
        <f ca="1">IFERROR(__xludf.DUMMYFUNCTION("""COMPUTED_VALUE"""),"Mame Diarra Bousso")</f>
        <v>Mame Diarra Bousso</v>
      </c>
      <c r="D551" s="1" t="str">
        <f ca="1">IFERROR(__xludf.DUMMYFUNCTION("""COMPUTED_VALUE"""),"1565E2")</f>
        <v>1565E2</v>
      </c>
      <c r="E551" s="2">
        <f ca="1">IFERROR(__xludf.DUMMYFUNCTION("""COMPUTED_VALUE"""),39673)</f>
        <v>39673</v>
      </c>
      <c r="F551" s="1" t="str">
        <f ca="1">IFERROR(__xludf.DUMMYFUNCTION("""COMPUTED_VALUE"""),"1ERE2")</f>
        <v>1ERE2</v>
      </c>
      <c r="G551" s="1" t="str">
        <f ca="1">IFERROR(__xludf.DUMMYFUNCTION("""COMPUTED_VALUE"""),"1ère")</f>
        <v>1ère</v>
      </c>
      <c r="H551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551" s="1" t="str">
        <f ca="1">IFERROR(__xludf.DUMMYFUNCTION("""COMPUTED_VALUE"""),"LVA Anglais")</f>
        <v>LVA Anglais</v>
      </c>
      <c r="J551" s="1" t="str">
        <f ca="1">IFERROR(__xludf.DUMMYFUNCTION("""COMPUTED_VALUE"""),"LVB Espagnol")</f>
        <v>LVB Espagnol</v>
      </c>
      <c r="K551" s="1"/>
      <c r="L551" s="1"/>
      <c r="M551" s="1" t="str">
        <f ca="1">IFERROR(__xludf.DUMMYFUNCTION("""COMPUTED_VALUE"""),"SPE LLCE AMC, SPE SES, SPE SPC")</f>
        <v>SPE LLCE AMC, SPE SES, SPE SPC</v>
      </c>
      <c r="N551" s="1" t="str">
        <f ca="1">IFERROR(__xludf.DUMMYFUNCTION("""COMPUTED_VALUE"""),"Fille")</f>
        <v>Fille</v>
      </c>
      <c r="O551" s="1"/>
      <c r="P551" s="1" t="str">
        <f ca="1">IFERROR(__xludf.DUMMYFUNCTION("""COMPUTED_VALUE"""),"FRANCE")</f>
        <v>FRANCE</v>
      </c>
      <c r="Q551" s="1" t="str">
        <f ca="1">IFERROR(__xludf.DUMMYFUNCTION("""COMPUTED_VALUE"""),"SENEGAL")</f>
        <v>SENEGAL</v>
      </c>
      <c r="R551" s="1" t="str">
        <f ca="1">IFERROR(__xludf.DUMMYFUNCTION("""COMPUTED_VALUE"""),"mame.sarr@lfjpsaly.org")</f>
        <v>mame.sarr@lfjpsaly.org</v>
      </c>
      <c r="S551" s="1"/>
      <c r="T551" s="1" t="str">
        <f ca="1">IFERROR(__xludf.DUMMYFUNCTION("""COMPUTED_VALUE"""),"MBAYE Aminatou")</f>
        <v>MBAYE Aminatou</v>
      </c>
      <c r="U551" s="1" t="str">
        <f ca="1">IFERROR(__xludf.DUMMYFUNCTION("""COMPUTED_VALUE"""),"SAMB Idrissa")</f>
        <v>SAMB Idrissa</v>
      </c>
      <c r="V551" s="1" t="str">
        <f ca="1">IFERROR(__xludf.DUMMYFUNCTION("""COMPUTED_VALUE"""),"minatoumbaye@yahoo.fr")</f>
        <v>minatoumbaye@yahoo.fr</v>
      </c>
      <c r="W551" s="1" t="str">
        <f ca="1">IFERROR(__xludf.DUMMYFUNCTION("""COMPUTED_VALUE"""),"minatoumbaye@yahoo.fr")</f>
        <v>minatoumbaye@yahoo.fr</v>
      </c>
      <c r="X551" s="1" t="str">
        <f ca="1">IFERROR(__xludf.DUMMYFUNCTION("""COMPUTED_VALUE"""),"+221 77 319 24 17")</f>
        <v>+221 77 319 24 17</v>
      </c>
      <c r="Y551" s="1" t="str">
        <f ca="1">IFERROR(__xludf.DUMMYFUNCTION("""COMPUTED_VALUE"""),"+221 77 100 63 08")</f>
        <v>+221 77 100 63 08</v>
      </c>
      <c r="Z551" s="1" t="str">
        <f ca="1">IFERROR(__xludf.DUMMYFUNCTION("""COMPUTED_VALUE"""),"+221")</f>
        <v>+221</v>
      </c>
      <c r="AA551" s="1" t="str">
        <f ca="1">IFERROR(__xludf.DUMMYFUNCTION("""COMPUTED_VALUE"""),"+221")</f>
        <v>+221</v>
      </c>
      <c r="AB551" s="2">
        <f ca="1">IFERROR(__xludf.DUMMYFUNCTION("""COMPUTED_VALUE"""),31634)</f>
        <v>31634</v>
      </c>
      <c r="AC551" s="2">
        <f ca="1">IFERROR(__xludf.DUMMYFUNCTION("""COMPUTED_VALUE"""),28872)</f>
        <v>28872</v>
      </c>
      <c r="AD551" s="1" t="str">
        <f ca="1">IFERROR(__xludf.DUMMYFUNCTION("""COMPUTED_VALUE"""),"MERE")</f>
        <v>MERE</v>
      </c>
      <c r="AE551" s="1" t="str">
        <f ca="1">IFERROR(__xludf.DUMMYFUNCTION("""COMPUTED_VALUE"""),"AUTRE FAM.")</f>
        <v>AUTRE FAM.</v>
      </c>
      <c r="AF551" s="1" t="str">
        <f ca="1">IFERROR(__xludf.DUMMYFUNCTION("""COMPUTED_VALUE"""),"FRANCE")</f>
        <v>FRANCE</v>
      </c>
      <c r="AG551" s="1" t="str">
        <f ca="1">IFERROR(__xludf.DUMMYFUNCTION("""COMPUTED_VALUE"""),"SENEGAL")</f>
        <v>SENEGAL</v>
      </c>
      <c r="AH551" s="1" t="str">
        <f ca="1">IFERROR(__xludf.DUMMYFUNCTION("""COMPUTED_VALUE"""),"SENEGAL")</f>
        <v>SENEGAL</v>
      </c>
      <c r="AI551" s="1"/>
      <c r="AJ551" s="1" t="str">
        <f ca="1">IFERROR(__xludf.DUMMYFUNCTION("""COMPUTED_VALUE"""),"F1565")</f>
        <v>F1565</v>
      </c>
      <c r="AK551" s="1" t="str">
        <f ca="1">IFERROR(__xludf.DUMMYFUNCTION("""COMPUTED_VALUE"""),"Marié(e)")</f>
        <v>Marié(e)</v>
      </c>
      <c r="AL551" s="1" t="str">
        <f ca="1">IFERROR(__xludf.DUMMYFUNCTION("""COMPUTED_VALUE"""),"Marié(e)")</f>
        <v>Marié(e)</v>
      </c>
      <c r="AM551" s="1" t="str">
        <f ca="1">IFERROR(__xludf.DUMMYFUNCTION("""COMPUTED_VALUE"""),"F1565")</f>
        <v>F1565</v>
      </c>
    </row>
    <row r="552" spans="1:39" ht="13" x14ac:dyDescent="0.15">
      <c r="A552" s="1" t="str">
        <f ca="1">IFERROR(__xludf.DUMMYFUNCTION("""COMPUTED_VALUE"""),"SARR Sokhna Faty")</f>
        <v>SARR Sokhna Faty</v>
      </c>
      <c r="B552" s="1" t="str">
        <f ca="1">IFERROR(__xludf.DUMMYFUNCTION("""COMPUTED_VALUE"""),"SARR")</f>
        <v>SARR</v>
      </c>
      <c r="C552" s="1" t="str">
        <f ca="1">IFERROR(__xludf.DUMMYFUNCTION("""COMPUTED_VALUE"""),"Sokhna Faty")</f>
        <v>Sokhna Faty</v>
      </c>
      <c r="D552" s="1" t="str">
        <f ca="1">IFERROR(__xludf.DUMMYFUNCTION("""COMPUTED_VALUE"""),"1565E1")</f>
        <v>1565E1</v>
      </c>
      <c r="E552" s="2">
        <f ca="1">IFERROR(__xludf.DUMMYFUNCTION("""COMPUTED_VALUE"""),40148)</f>
        <v>40148</v>
      </c>
      <c r="F552" s="1" t="str">
        <f ca="1">IFERROR(__xludf.DUMMYFUNCTION("""COMPUTED_VALUE"""),"1ERE1")</f>
        <v>1ERE1</v>
      </c>
      <c r="G552" s="1" t="str">
        <f ca="1">IFERROR(__xludf.DUMMYFUNCTION("""COMPUTED_VALUE"""),"1ère")</f>
        <v>1ère</v>
      </c>
      <c r="H552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552" s="1" t="str">
        <f ca="1">IFERROR(__xludf.DUMMYFUNCTION("""COMPUTED_VALUE"""),"LVA Anglais")</f>
        <v>LVA Anglais</v>
      </c>
      <c r="J552" s="1" t="str">
        <f ca="1">IFERROR(__xludf.DUMMYFUNCTION("""COMPUTED_VALUE"""),"LVB Espagnol")</f>
        <v>LVB Espagnol</v>
      </c>
      <c r="K552" s="1"/>
      <c r="L552" s="1"/>
      <c r="M552" s="1" t="str">
        <f ca="1">IFERROR(__xludf.DUMMYFUNCTION("""COMPUTED_VALUE"""),"SPE HGGSP, SPE LLCE AMC, SPE SES")</f>
        <v>SPE HGGSP, SPE LLCE AMC, SPE SES</v>
      </c>
      <c r="N552" s="1" t="str">
        <f ca="1">IFERROR(__xludf.DUMMYFUNCTION("""COMPUTED_VALUE"""),"Fille")</f>
        <v>Fille</v>
      </c>
      <c r="O552" s="1"/>
      <c r="P552" s="1" t="str">
        <f ca="1">IFERROR(__xludf.DUMMYFUNCTION("""COMPUTED_VALUE"""),"FRANCE")</f>
        <v>FRANCE</v>
      </c>
      <c r="Q552" s="1" t="str">
        <f ca="1">IFERROR(__xludf.DUMMYFUNCTION("""COMPUTED_VALUE"""),"SENEGAL")</f>
        <v>SENEGAL</v>
      </c>
      <c r="R552" s="1" t="str">
        <f ca="1">IFERROR(__xludf.DUMMYFUNCTION("""COMPUTED_VALUE"""),"sokhna.sarr@lfjpsaly.org")</f>
        <v>sokhna.sarr@lfjpsaly.org</v>
      </c>
      <c r="S552" s="1"/>
      <c r="T552" s="1" t="str">
        <f ca="1">IFERROR(__xludf.DUMMYFUNCTION("""COMPUTED_VALUE"""),"MBAYE Aminatou")</f>
        <v>MBAYE Aminatou</v>
      </c>
      <c r="U552" s="1" t="str">
        <f ca="1">IFERROR(__xludf.DUMMYFUNCTION("""COMPUTED_VALUE"""),"SAMB Idrissa")</f>
        <v>SAMB Idrissa</v>
      </c>
      <c r="V552" s="1" t="str">
        <f ca="1">IFERROR(__xludf.DUMMYFUNCTION("""COMPUTED_VALUE"""),"minatoumbaye@yahoo.fr")</f>
        <v>minatoumbaye@yahoo.fr</v>
      </c>
      <c r="W552" s="1" t="str">
        <f ca="1">IFERROR(__xludf.DUMMYFUNCTION("""COMPUTED_VALUE"""),"minatoumbaye@yahoo.fr")</f>
        <v>minatoumbaye@yahoo.fr</v>
      </c>
      <c r="X552" s="1" t="str">
        <f ca="1">IFERROR(__xludf.DUMMYFUNCTION("""COMPUTED_VALUE"""),"+221 77 319 24 17")</f>
        <v>+221 77 319 24 17</v>
      </c>
      <c r="Y552" s="1" t="str">
        <f ca="1">IFERROR(__xludf.DUMMYFUNCTION("""COMPUTED_VALUE"""),"+221 77 100 63 08")</f>
        <v>+221 77 100 63 08</v>
      </c>
      <c r="Z552" s="1" t="str">
        <f ca="1">IFERROR(__xludf.DUMMYFUNCTION("""COMPUTED_VALUE"""),"+221")</f>
        <v>+221</v>
      </c>
      <c r="AA552" s="1" t="str">
        <f ca="1">IFERROR(__xludf.DUMMYFUNCTION("""COMPUTED_VALUE"""),"+221")</f>
        <v>+221</v>
      </c>
      <c r="AB552" s="2">
        <f ca="1">IFERROR(__xludf.DUMMYFUNCTION("""COMPUTED_VALUE"""),31634)</f>
        <v>31634</v>
      </c>
      <c r="AC552" s="2">
        <f ca="1">IFERROR(__xludf.DUMMYFUNCTION("""COMPUTED_VALUE"""),28872)</f>
        <v>28872</v>
      </c>
      <c r="AD552" s="1" t="str">
        <f ca="1">IFERROR(__xludf.DUMMYFUNCTION("""COMPUTED_VALUE"""),"MERE")</f>
        <v>MERE</v>
      </c>
      <c r="AE552" s="1" t="str">
        <f ca="1">IFERROR(__xludf.DUMMYFUNCTION("""COMPUTED_VALUE"""),"PERE")</f>
        <v>PERE</v>
      </c>
      <c r="AF552" s="1" t="str">
        <f ca="1">IFERROR(__xludf.DUMMYFUNCTION("""COMPUTED_VALUE"""),"FRANCE")</f>
        <v>FRANCE</v>
      </c>
      <c r="AG552" s="1" t="str">
        <f ca="1">IFERROR(__xludf.DUMMYFUNCTION("""COMPUTED_VALUE"""),"SENEGAL")</f>
        <v>SENEGAL</v>
      </c>
      <c r="AH552" s="1" t="str">
        <f ca="1">IFERROR(__xludf.DUMMYFUNCTION("""COMPUTED_VALUE"""),"SENEGAL")</f>
        <v>SENEGAL</v>
      </c>
      <c r="AI552" s="1"/>
      <c r="AJ552" s="1" t="str">
        <f ca="1">IFERROR(__xludf.DUMMYFUNCTION("""COMPUTED_VALUE"""),"F1565")</f>
        <v>F1565</v>
      </c>
      <c r="AK552" s="1" t="str">
        <f ca="1">IFERROR(__xludf.DUMMYFUNCTION("""COMPUTED_VALUE"""),"Marié(e)")</f>
        <v>Marié(e)</v>
      </c>
      <c r="AL552" s="1" t="str">
        <f ca="1">IFERROR(__xludf.DUMMYFUNCTION("""COMPUTED_VALUE"""),"Marié(e)")</f>
        <v>Marié(e)</v>
      </c>
      <c r="AM552" s="1" t="str">
        <f ca="1">IFERROR(__xludf.DUMMYFUNCTION("""COMPUTED_VALUE"""),"F1565")</f>
        <v>F1565</v>
      </c>
    </row>
    <row r="553" spans="1:39" ht="13" x14ac:dyDescent="0.15">
      <c r="A553" s="1" t="str">
        <f ca="1">IFERROR(__xludf.DUMMYFUNCTION("""COMPUTED_VALUE"""),"SARRY Ndeye Fally")</f>
        <v>SARRY Ndeye Fally</v>
      </c>
      <c r="B553" s="1" t="str">
        <f ca="1">IFERROR(__xludf.DUMMYFUNCTION("""COMPUTED_VALUE"""),"SARRY")</f>
        <v>SARRY</v>
      </c>
      <c r="C553" s="1" t="str">
        <f ca="1">IFERROR(__xludf.DUMMYFUNCTION("""COMPUTED_VALUE"""),"Ndeye Fally")</f>
        <v>Ndeye Fally</v>
      </c>
      <c r="D553" s="1" t="str">
        <f ca="1">IFERROR(__xludf.DUMMYFUNCTION("""COMPUTED_VALUE"""),"1206E2")</f>
        <v>1206E2</v>
      </c>
      <c r="E553" s="2">
        <f ca="1">IFERROR(__xludf.DUMMYFUNCTION("""COMPUTED_VALUE"""),39631)</f>
        <v>39631</v>
      </c>
      <c r="F553" s="1" t="str">
        <f ca="1">IFERROR(__xludf.DUMMYFUNCTION("""COMPUTED_VALUE"""),"2NDE1 COOP")</f>
        <v>2NDE1 COOP</v>
      </c>
      <c r="G553" s="1" t="str">
        <f ca="1">IFERROR(__xludf.DUMMYFUNCTION("""COMPUTED_VALUE"""),"2nde")</f>
        <v>2nde</v>
      </c>
      <c r="H553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553" s="1" t="str">
        <f ca="1">IFERROR(__xludf.DUMMYFUNCTION("""COMPUTED_VALUE"""),"LVA Anglais")</f>
        <v>LVA Anglais</v>
      </c>
      <c r="J553" s="1" t="str">
        <f ca="1">IFERROR(__xludf.DUMMYFUNCTION("""COMPUTED_VALUE"""),"LVB Espagnol")</f>
        <v>LVB Espagnol</v>
      </c>
      <c r="K553" s="1"/>
      <c r="L553" s="1"/>
      <c r="M553" s="1"/>
      <c r="N553" s="1" t="str">
        <f ca="1">IFERROR(__xludf.DUMMYFUNCTION("""COMPUTED_VALUE"""),"Fille")</f>
        <v>Fille</v>
      </c>
      <c r="O553" s="1"/>
      <c r="P553" s="1" t="str">
        <f ca="1">IFERROR(__xludf.DUMMYFUNCTION("""COMPUTED_VALUE"""),"SENEGAL")</f>
        <v>SENEGAL</v>
      </c>
      <c r="Q553" s="1"/>
      <c r="R553" s="1" t="str">
        <f ca="1">IFERROR(__xludf.DUMMYFUNCTION("""COMPUTED_VALUE"""),"ndeye.sarry@lfjpsaly.org")</f>
        <v>ndeye.sarry@lfjpsaly.org</v>
      </c>
      <c r="S553" s="1"/>
      <c r="T553" s="1" t="str">
        <f ca="1">IFERROR(__xludf.DUMMYFUNCTION("""COMPUTED_VALUE"""),"SARRY Khadim Rassoul")</f>
        <v>SARRY Khadim Rassoul</v>
      </c>
      <c r="U553" s="1" t="str">
        <f ca="1">IFERROR(__xludf.DUMMYFUNCTION("""COMPUTED_VALUE"""),"BASSEL Arame")</f>
        <v>BASSEL Arame</v>
      </c>
      <c r="V553" s="1" t="str">
        <f ca="1">IFERROR(__xludf.DUMMYFUNCTION("""COMPUTED_VALUE"""),"khadimrassoulsarry89@gmail.com")</f>
        <v>khadimrassoulsarry89@gmail.com</v>
      </c>
      <c r="W553" s="1" t="str">
        <f ca="1">IFERROR(__xludf.DUMMYFUNCTION("""COMPUTED_VALUE"""),"niangdiarraniang533@gmail.com")</f>
        <v>niangdiarraniang533@gmail.com</v>
      </c>
      <c r="X553" s="1" t="str">
        <f ca="1">IFERROR(__xludf.DUMMYFUNCTION("""COMPUTED_VALUE"""),"+221 77 815 35 31")</f>
        <v>+221 77 815 35 31</v>
      </c>
      <c r="Y553" s="1" t="str">
        <f ca="1">IFERROR(__xludf.DUMMYFUNCTION("""COMPUTED_VALUE"""),"+221 77 547 77 06")</f>
        <v>+221 77 547 77 06</v>
      </c>
      <c r="Z553" s="1" t="str">
        <f ca="1">IFERROR(__xludf.DUMMYFUNCTION("""COMPUTED_VALUE"""),"+221 77 815 35 31")</f>
        <v>+221 77 815 35 31</v>
      </c>
      <c r="AA553" s="1" t="str">
        <f ca="1">IFERROR(__xludf.DUMMYFUNCTION("""COMPUTED_VALUE"""),"+221 77 421 29 75")</f>
        <v>+221 77 421 29 75</v>
      </c>
      <c r="AB553" s="2">
        <f ca="1">IFERROR(__xludf.DUMMYFUNCTION("""COMPUTED_VALUE"""),38011)</f>
        <v>38011</v>
      </c>
      <c r="AC553" s="2">
        <f ca="1">IFERROR(__xludf.DUMMYFUNCTION("""COMPUTED_VALUE"""),29163)</f>
        <v>29163</v>
      </c>
      <c r="AD553" s="1" t="str">
        <f ca="1">IFERROR(__xludf.DUMMYFUNCTION("""COMPUTED_VALUE"""),"FRERE")</f>
        <v>FRERE</v>
      </c>
      <c r="AE553" s="1" t="str">
        <f ca="1">IFERROR(__xludf.DUMMYFUNCTION("""COMPUTED_VALUE"""),"MERE")</f>
        <v>MERE</v>
      </c>
      <c r="AF553" s="1" t="str">
        <f ca="1">IFERROR(__xludf.DUMMYFUNCTION("""COMPUTED_VALUE"""),"SENEGAL")</f>
        <v>SENEGAL</v>
      </c>
      <c r="AG553" s="1" t="str">
        <f ca="1">IFERROR(__xludf.DUMMYFUNCTION("""COMPUTED_VALUE"""),"SENEGAL")</f>
        <v>SENEGAL</v>
      </c>
      <c r="AH553" s="1"/>
      <c r="AI553" s="1"/>
      <c r="AJ553" s="1" t="str">
        <f ca="1">IFERROR(__xludf.DUMMYFUNCTION("""COMPUTED_VALUE"""),"F1206")</f>
        <v>F1206</v>
      </c>
      <c r="AK553" s="1" t="str">
        <f ca="1">IFERROR(__xludf.DUMMYFUNCTION("""COMPUTED_VALUE"""),"Marié(e)")</f>
        <v>Marié(e)</v>
      </c>
      <c r="AL553" s="1" t="str">
        <f ca="1">IFERROR(__xludf.DUMMYFUNCTION("""COMPUTED_VALUE"""),"Marié(e)")</f>
        <v>Marié(e)</v>
      </c>
      <c r="AM553" s="1" t="str">
        <f ca="1">IFERROR(__xludf.DUMMYFUNCTION("""COMPUTED_VALUE"""),"F1206")</f>
        <v>F1206</v>
      </c>
    </row>
    <row r="554" spans="1:39" ht="13" x14ac:dyDescent="0.15">
      <c r="A554" s="1" t="str">
        <f ca="1">IFERROR(__xludf.DUMMYFUNCTION("""COMPUTED_VALUE"""),"SAVI Loris Tahirou")</f>
        <v>SAVI Loris Tahirou</v>
      </c>
      <c r="B554" s="1" t="str">
        <f ca="1">IFERROR(__xludf.DUMMYFUNCTION("""COMPUTED_VALUE"""),"SAVI")</f>
        <v>SAVI</v>
      </c>
      <c r="C554" s="1" t="str">
        <f ca="1">IFERROR(__xludf.DUMMYFUNCTION("""COMPUTED_VALUE"""),"Loris Tahirou")</f>
        <v>Loris Tahirou</v>
      </c>
      <c r="D554" s="1" t="str">
        <f ca="1">IFERROR(__xludf.DUMMYFUNCTION("""COMPUTED_VALUE"""),"11745S2446")</f>
        <v>11745S2446</v>
      </c>
      <c r="E554" s="2">
        <f ca="1">IFERROR(__xludf.DUMMYFUNCTION("""COMPUTED_VALUE"""),39681)</f>
        <v>39681</v>
      </c>
      <c r="F554" s="1" t="str">
        <f ca="1">IFERROR(__xludf.DUMMYFUNCTION("""COMPUTED_VALUE"""),"1ERE1")</f>
        <v>1ERE1</v>
      </c>
      <c r="G554" s="1" t="str">
        <f ca="1">IFERROR(__xludf.DUMMYFUNCTION("""COMPUTED_VALUE"""),"1ère")</f>
        <v>1ère</v>
      </c>
      <c r="H554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554" s="1" t="str">
        <f ca="1">IFERROR(__xludf.DUMMYFUNCTION("""COMPUTED_VALUE"""),"LVA Anglais")</f>
        <v>LVA Anglais</v>
      </c>
      <c r="J554" s="1" t="str">
        <f ca="1">IFERROR(__xludf.DUMMYFUNCTION("""COMPUTED_VALUE"""),"LVB Espagnol")</f>
        <v>LVB Espagnol</v>
      </c>
      <c r="K554" s="1"/>
      <c r="L554" s="1"/>
      <c r="M554" s="1" t="str">
        <f ca="1">IFERROR(__xludf.DUMMYFUNCTION("""COMPUTED_VALUE"""),"SPE LLCE AMC, SPE MATHS, SPE SPC")</f>
        <v>SPE LLCE AMC, SPE MATHS, SPE SPC</v>
      </c>
      <c r="N554" s="1" t="str">
        <f ca="1">IFERROR(__xludf.DUMMYFUNCTION("""COMPUTED_VALUE"""),"Garçon")</f>
        <v>Garçon</v>
      </c>
      <c r="O554" s="1"/>
      <c r="P554" s="1" t="str">
        <f ca="1">IFERROR(__xludf.DUMMYFUNCTION("""COMPUTED_VALUE"""),"ITALIE")</f>
        <v>ITALIE</v>
      </c>
      <c r="Q554" s="1" t="str">
        <f ca="1">IFERROR(__xludf.DUMMYFUNCTION("""COMPUTED_VALUE"""),"SENEGAL")</f>
        <v>SENEGAL</v>
      </c>
      <c r="R554" s="1" t="str">
        <f ca="1">IFERROR(__xludf.DUMMYFUNCTION("""COMPUTED_VALUE"""),"loris.savi@lfjpsaly.org")</f>
        <v>loris.savi@lfjpsaly.org</v>
      </c>
      <c r="S554" s="1" t="str">
        <f ca="1">IFERROR(__xludf.DUMMYFUNCTION("""COMPUTED_VALUE"""),"+221")</f>
        <v>+221</v>
      </c>
      <c r="T554" s="1" t="str">
        <f ca="1">IFERROR(__xludf.DUMMYFUNCTION("""COMPUTED_VALUE"""),"SAVI Diabou")</f>
        <v>SAVI Diabou</v>
      </c>
      <c r="U554" s="1" t="str">
        <f ca="1">IFERROR(__xludf.DUMMYFUNCTION("""COMPUTED_VALUE"""),"SAVI Sergio")</f>
        <v>SAVI Sergio</v>
      </c>
      <c r="V554" s="1" t="str">
        <f ca="1">IFERROR(__xludf.DUMMYFUNCTION("""COMPUTED_VALUE"""),"diabou.savi@gmail.com")</f>
        <v>diabou.savi@gmail.com</v>
      </c>
      <c r="W554" s="1" t="str">
        <f ca="1">IFERROR(__xludf.DUMMYFUNCTION("""COMPUTED_VALUE"""),"serge.savi@gmail.com")</f>
        <v>serge.savi@gmail.com</v>
      </c>
      <c r="X554" s="1" t="str">
        <f ca="1">IFERROR(__xludf.DUMMYFUNCTION("""COMPUTED_VALUE"""),"+221 77 576 85 54")</f>
        <v>+221 77 576 85 54</v>
      </c>
      <c r="Y554" s="1" t="str">
        <f ca="1">IFERROR(__xludf.DUMMYFUNCTION("""COMPUTED_VALUE"""),"+221 77 576 85 54")</f>
        <v>+221 77 576 85 54</v>
      </c>
      <c r="Z554" s="1" t="str">
        <f ca="1">IFERROR(__xludf.DUMMYFUNCTION("""COMPUTED_VALUE"""),"+221 77 576 85 54")</f>
        <v>+221 77 576 85 54</v>
      </c>
      <c r="AA554" s="1" t="str">
        <f ca="1">IFERROR(__xludf.DUMMYFUNCTION("""COMPUTED_VALUE"""),"+221")</f>
        <v>+221</v>
      </c>
      <c r="AB554" s="2">
        <f ca="1">IFERROR(__xludf.DUMMYFUNCTION("""COMPUTED_VALUE"""),30254)</f>
        <v>30254</v>
      </c>
      <c r="AC554" s="2">
        <f ca="1">IFERROR(__xludf.DUMMYFUNCTION("""COMPUTED_VALUE"""),18311)</f>
        <v>18311</v>
      </c>
      <c r="AD554" s="1" t="str">
        <f ca="1">IFERROR(__xludf.DUMMYFUNCTION("""COMPUTED_VALUE"""),"MERE")</f>
        <v>MERE</v>
      </c>
      <c r="AE554" s="1" t="str">
        <f ca="1">IFERROR(__xludf.DUMMYFUNCTION("""COMPUTED_VALUE"""),"PERE")</f>
        <v>PERE</v>
      </c>
      <c r="AF554" s="1" t="str">
        <f ca="1">IFERROR(__xludf.DUMMYFUNCTION("""COMPUTED_VALUE"""),"SENEGAL")</f>
        <v>SENEGAL</v>
      </c>
      <c r="AG554" s="1" t="str">
        <f ca="1">IFERROR(__xludf.DUMMYFUNCTION("""COMPUTED_VALUE"""),"ITALIE")</f>
        <v>ITALIE</v>
      </c>
      <c r="AH554" s="1"/>
      <c r="AI554" s="1"/>
      <c r="AJ554" s="1" t="str">
        <f ca="1">IFERROR(__xludf.DUMMYFUNCTION("""COMPUTED_VALUE"""),"U11745")</f>
        <v>U11745</v>
      </c>
      <c r="AK554" s="1" t="str">
        <f ca="1">IFERROR(__xludf.DUMMYFUNCTION("""COMPUTED_VALUE"""),"Marié(e)")</f>
        <v>Marié(e)</v>
      </c>
      <c r="AL554" s="1" t="str">
        <f ca="1">IFERROR(__xludf.DUMMYFUNCTION("""COMPUTED_VALUE"""),"Marié(e)")</f>
        <v>Marié(e)</v>
      </c>
      <c r="AM554" s="1" t="str">
        <f ca="1">IFERROR(__xludf.DUMMYFUNCTION("""COMPUTED_VALUE"""),"U11745")</f>
        <v>U11745</v>
      </c>
    </row>
    <row r="555" spans="1:39" ht="13" x14ac:dyDescent="0.15">
      <c r="A555" s="1" t="str">
        <f ca="1">IFERROR(__xludf.DUMMYFUNCTION("""COMPUTED_VALUE"""),"SAYEGH Jade")</f>
        <v>SAYEGH Jade</v>
      </c>
      <c r="B555" s="1" t="str">
        <f ca="1">IFERROR(__xludf.DUMMYFUNCTION("""COMPUTED_VALUE"""),"SAYEGH")</f>
        <v>SAYEGH</v>
      </c>
      <c r="C555" s="1" t="str">
        <f ca="1">IFERROR(__xludf.DUMMYFUNCTION("""COMPUTED_VALUE"""),"Jade")</f>
        <v>Jade</v>
      </c>
      <c r="D555" s="1" t="str">
        <f ca="1">IFERROR(__xludf.DUMMYFUNCTION("""COMPUTED_VALUE"""),"1567E1")</f>
        <v>1567E1</v>
      </c>
      <c r="E555" s="2">
        <f ca="1">IFERROR(__xludf.DUMMYFUNCTION("""COMPUTED_VALUE"""),41562)</f>
        <v>41562</v>
      </c>
      <c r="F555" s="1" t="str">
        <f ca="1">IFERROR(__xludf.DUMMYFUNCTION("""COMPUTED_VALUE"""),"5EME1")</f>
        <v>5EME1</v>
      </c>
      <c r="G555" s="1" t="str">
        <f ca="1">IFERROR(__xludf.DUMMYFUNCTION("""COMPUTED_VALUE"""),"5ème")</f>
        <v>5ème</v>
      </c>
      <c r="H555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555" s="1" t="str">
        <f ca="1">IFERROR(__xludf.DUMMYFUNCTION("""COMPUTED_VALUE"""),"LVA Anglais")</f>
        <v>LVA Anglais</v>
      </c>
      <c r="J555" s="1" t="str">
        <f ca="1">IFERROR(__xludf.DUMMYFUNCTION("""COMPUTED_VALUE"""),"LVB Espagnol")</f>
        <v>LVB Espagnol</v>
      </c>
      <c r="K555" s="1"/>
      <c r="L555" s="1"/>
      <c r="M555" s="1"/>
      <c r="N555" s="1" t="str">
        <f ca="1">IFERROR(__xludf.DUMMYFUNCTION("""COMPUTED_VALUE"""),"Fille")</f>
        <v>Fille</v>
      </c>
      <c r="O555" s="1"/>
      <c r="P555" s="1" t="str">
        <f ca="1">IFERROR(__xludf.DUMMYFUNCTION("""COMPUTED_VALUE"""),"FRANCE")</f>
        <v>FRANCE</v>
      </c>
      <c r="Q555" s="1"/>
      <c r="R555" s="1" t="str">
        <f ca="1">IFERROR(__xludf.DUMMYFUNCTION("""COMPUTED_VALUE"""),"jade.sayegh@lfjpsaly.org")</f>
        <v>jade.sayegh@lfjpsaly.org</v>
      </c>
      <c r="S555" s="1" t="str">
        <f ca="1">IFERROR(__xludf.DUMMYFUNCTION("""COMPUTED_VALUE"""),"+221 77 158 23 18")</f>
        <v>+221 77 158 23 18</v>
      </c>
      <c r="T555" s="1" t="str">
        <f ca="1">IFERROR(__xludf.DUMMYFUNCTION("""COMPUTED_VALUE"""),"SAYEGH Sarah")</f>
        <v>SAYEGH Sarah</v>
      </c>
      <c r="U555" s="1" t="str">
        <f ca="1">IFERROR(__xludf.DUMMYFUNCTION("""COMPUTED_VALUE"""),"SAYEGH Rayan")</f>
        <v>SAYEGH Rayan</v>
      </c>
      <c r="V555" s="1" t="str">
        <f ca="1">IFERROR(__xludf.DUMMYFUNCTION("""COMPUTED_VALUE"""),"sarahdina@live.fr")</f>
        <v>sarahdina@live.fr</v>
      </c>
      <c r="W555" s="1" t="str">
        <f ca="1">IFERROR(__xludf.DUMMYFUNCTION("""COMPUTED_VALUE"""),"sayeghrayan@yahoo.fr")</f>
        <v>sayeghrayan@yahoo.fr</v>
      </c>
      <c r="X555" s="1" t="str">
        <f ca="1">IFERROR(__xludf.DUMMYFUNCTION("""COMPUTED_VALUE"""),"+221 77 158 23 18")</f>
        <v>+221 77 158 23 18</v>
      </c>
      <c r="Y555" s="1" t="str">
        <f ca="1">IFERROR(__xludf.DUMMYFUNCTION("""COMPUTED_VALUE"""),"+221 77 644 70 87")</f>
        <v>+221 77 644 70 87</v>
      </c>
      <c r="Z555" s="1" t="str">
        <f ca="1">IFERROR(__xludf.DUMMYFUNCTION("""COMPUTED_VALUE"""),"+221")</f>
        <v>+221</v>
      </c>
      <c r="AA555" s="1"/>
      <c r="AB555" s="2">
        <f ca="1">IFERROR(__xludf.DUMMYFUNCTION("""COMPUTED_VALUE"""),31144)</f>
        <v>31144</v>
      </c>
      <c r="AC555" s="2">
        <f ca="1">IFERROR(__xludf.DUMMYFUNCTION("""COMPUTED_VALUE"""),31612)</f>
        <v>31612</v>
      </c>
      <c r="AD555" s="1" t="str">
        <f ca="1">IFERROR(__xludf.DUMMYFUNCTION("""COMPUTED_VALUE"""),"MERE")</f>
        <v>MERE</v>
      </c>
      <c r="AE555" s="1" t="str">
        <f ca="1">IFERROR(__xludf.DUMMYFUNCTION("""COMPUTED_VALUE"""),"PERE")</f>
        <v>PERE</v>
      </c>
      <c r="AF555" s="1" t="str">
        <f ca="1">IFERROR(__xludf.DUMMYFUNCTION("""COMPUTED_VALUE"""),"FRANCE")</f>
        <v>FRANCE</v>
      </c>
      <c r="AG555" s="1" t="str">
        <f ca="1">IFERROR(__xludf.DUMMYFUNCTION("""COMPUTED_VALUE"""),"FRANCE")</f>
        <v>FRANCE</v>
      </c>
      <c r="AH555" s="1"/>
      <c r="AI555" s="1"/>
      <c r="AJ555" s="1" t="str">
        <f ca="1">IFERROR(__xludf.DUMMYFUNCTION("""COMPUTED_VALUE"""),"F1567")</f>
        <v>F1567</v>
      </c>
      <c r="AK555" s="1" t="str">
        <f ca="1">IFERROR(__xludf.DUMMYFUNCTION("""COMPUTED_VALUE"""),"Marié(e)")</f>
        <v>Marié(e)</v>
      </c>
      <c r="AL555" s="1" t="str">
        <f ca="1">IFERROR(__xludf.DUMMYFUNCTION("""COMPUTED_VALUE"""),"Marié(e)")</f>
        <v>Marié(e)</v>
      </c>
      <c r="AM555" s="1" t="str">
        <f ca="1">IFERROR(__xludf.DUMMYFUNCTION("""COMPUTED_VALUE"""),"F1567")</f>
        <v>F1567</v>
      </c>
    </row>
    <row r="556" spans="1:39" ht="13" x14ac:dyDescent="0.15">
      <c r="A556" s="1" t="str">
        <f ca="1">IFERROR(__xludf.DUMMYFUNCTION("""COMPUTED_VALUE"""),"SAYEGH Joy")</f>
        <v>SAYEGH Joy</v>
      </c>
      <c r="B556" s="1" t="str">
        <f ca="1">IFERROR(__xludf.DUMMYFUNCTION("""COMPUTED_VALUE"""),"SAYEGH")</f>
        <v>SAYEGH</v>
      </c>
      <c r="C556" s="1" t="str">
        <f ca="1">IFERROR(__xludf.DUMMYFUNCTION("""COMPUTED_VALUE"""),"Joy")</f>
        <v>Joy</v>
      </c>
      <c r="D556" s="1" t="str">
        <f ca="1">IFERROR(__xludf.DUMMYFUNCTION("""COMPUTED_VALUE"""),"1567E2")</f>
        <v>1567E2</v>
      </c>
      <c r="E556" s="2">
        <f ca="1">IFERROR(__xludf.DUMMYFUNCTION("""COMPUTED_VALUE"""),42044)</f>
        <v>42044</v>
      </c>
      <c r="F556" s="1" t="str">
        <f ca="1">IFERROR(__xludf.DUMMYFUNCTION("""COMPUTED_VALUE"""),"CM2B")</f>
        <v>CM2B</v>
      </c>
      <c r="G556" s="1" t="str">
        <f ca="1">IFERROR(__xludf.DUMMYFUNCTION("""COMPUTED_VALUE"""),"CM2")</f>
        <v>CM2</v>
      </c>
      <c r="H556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556" s="1"/>
      <c r="J556" s="1"/>
      <c r="K556" s="1"/>
      <c r="L556" s="1"/>
      <c r="M556" s="1"/>
      <c r="N556" s="1" t="str">
        <f ca="1">IFERROR(__xludf.DUMMYFUNCTION("""COMPUTED_VALUE"""),"Fille")</f>
        <v>Fille</v>
      </c>
      <c r="O556" s="1"/>
      <c r="P556" s="1" t="str">
        <f ca="1">IFERROR(__xludf.DUMMYFUNCTION("""COMPUTED_VALUE"""),"FRANCE")</f>
        <v>FRANCE</v>
      </c>
      <c r="Q556" s="1"/>
      <c r="R556" s="1"/>
      <c r="S556" s="1"/>
      <c r="T556" s="1" t="str">
        <f ca="1">IFERROR(__xludf.DUMMYFUNCTION("""COMPUTED_VALUE"""),"SAYEGH Sarah")</f>
        <v>SAYEGH Sarah</v>
      </c>
      <c r="U556" s="1" t="str">
        <f ca="1">IFERROR(__xludf.DUMMYFUNCTION("""COMPUTED_VALUE"""),"SAYEGH Rayan")</f>
        <v>SAYEGH Rayan</v>
      </c>
      <c r="V556" s="1" t="str">
        <f ca="1">IFERROR(__xludf.DUMMYFUNCTION("""COMPUTED_VALUE"""),"sarahdina@live.fr")</f>
        <v>sarahdina@live.fr</v>
      </c>
      <c r="W556" s="1" t="str">
        <f ca="1">IFERROR(__xludf.DUMMYFUNCTION("""COMPUTED_VALUE"""),"sayeghrayan@yahoo.fr")</f>
        <v>sayeghrayan@yahoo.fr</v>
      </c>
      <c r="X556" s="1" t="str">
        <f ca="1">IFERROR(__xludf.DUMMYFUNCTION("""COMPUTED_VALUE"""),"+221 77 158 23 18")</f>
        <v>+221 77 158 23 18</v>
      </c>
      <c r="Y556" s="1" t="str">
        <f ca="1">IFERROR(__xludf.DUMMYFUNCTION("""COMPUTED_VALUE"""),"+221 77 644 70 87")</f>
        <v>+221 77 644 70 87</v>
      </c>
      <c r="Z556" s="1" t="str">
        <f ca="1">IFERROR(__xludf.DUMMYFUNCTION("""COMPUTED_VALUE"""),"+221")</f>
        <v>+221</v>
      </c>
      <c r="AA556" s="1"/>
      <c r="AB556" s="2">
        <f ca="1">IFERROR(__xludf.DUMMYFUNCTION("""COMPUTED_VALUE"""),31144)</f>
        <v>31144</v>
      </c>
      <c r="AC556" s="2">
        <f ca="1">IFERROR(__xludf.DUMMYFUNCTION("""COMPUTED_VALUE"""),31612)</f>
        <v>31612</v>
      </c>
      <c r="AD556" s="1" t="str">
        <f ca="1">IFERROR(__xludf.DUMMYFUNCTION("""COMPUTED_VALUE"""),"MERE")</f>
        <v>MERE</v>
      </c>
      <c r="AE556" s="1" t="str">
        <f ca="1">IFERROR(__xludf.DUMMYFUNCTION("""COMPUTED_VALUE"""),"PERE")</f>
        <v>PERE</v>
      </c>
      <c r="AF556" s="1" t="str">
        <f ca="1">IFERROR(__xludf.DUMMYFUNCTION("""COMPUTED_VALUE"""),"FRANCE")</f>
        <v>FRANCE</v>
      </c>
      <c r="AG556" s="1" t="str">
        <f ca="1">IFERROR(__xludf.DUMMYFUNCTION("""COMPUTED_VALUE"""),"FRANCE")</f>
        <v>FRANCE</v>
      </c>
      <c r="AH556" s="1"/>
      <c r="AI556" s="1"/>
      <c r="AJ556" s="1" t="str">
        <f ca="1">IFERROR(__xludf.DUMMYFUNCTION("""COMPUTED_VALUE"""),"F1567")</f>
        <v>F1567</v>
      </c>
      <c r="AK556" s="1" t="str">
        <f ca="1">IFERROR(__xludf.DUMMYFUNCTION("""COMPUTED_VALUE"""),"Marié(e)")</f>
        <v>Marié(e)</v>
      </c>
      <c r="AL556" s="1" t="str">
        <f ca="1">IFERROR(__xludf.DUMMYFUNCTION("""COMPUTED_VALUE"""),"Marié(e)")</f>
        <v>Marié(e)</v>
      </c>
      <c r="AM556" s="1" t="str">
        <f ca="1">IFERROR(__xludf.DUMMYFUNCTION("""COMPUTED_VALUE"""),"F1567")</f>
        <v>F1567</v>
      </c>
    </row>
    <row r="557" spans="1:39" ht="13" x14ac:dyDescent="0.15">
      <c r="A557" s="1" t="str">
        <f ca="1">IFERROR(__xludf.DUMMYFUNCTION("""COMPUTED_VALUE"""),"SCHILLING Myriam")</f>
        <v>SCHILLING Myriam</v>
      </c>
      <c r="B557" s="1" t="str">
        <f ca="1">IFERROR(__xludf.DUMMYFUNCTION("""COMPUTED_VALUE"""),"SCHILLING")</f>
        <v>SCHILLING</v>
      </c>
      <c r="C557" s="1" t="str">
        <f ca="1">IFERROR(__xludf.DUMMYFUNCTION("""COMPUTED_VALUE"""),"Myriam")</f>
        <v>Myriam</v>
      </c>
      <c r="D557" s="1" t="str">
        <f ca="1">IFERROR(__xludf.DUMMYFUNCTION("""COMPUTED_VALUE"""),"1568E1")</f>
        <v>1568E1</v>
      </c>
      <c r="E557" s="2">
        <f ca="1">IFERROR(__xludf.DUMMYFUNCTION("""COMPUTED_VALUE"""),40833)</f>
        <v>40833</v>
      </c>
      <c r="F557" s="1" t="str">
        <f ca="1">IFERROR(__xludf.DUMMYFUNCTION("""COMPUTED_VALUE"""),"4EME2")</f>
        <v>4EME2</v>
      </c>
      <c r="G557" s="1" t="str">
        <f ca="1">IFERROR(__xludf.DUMMYFUNCTION("""COMPUTED_VALUE"""),"4ème")</f>
        <v>4ème</v>
      </c>
      <c r="H557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557" s="1" t="str">
        <f ca="1">IFERROR(__xludf.DUMMYFUNCTION("""COMPUTED_VALUE"""),"LVA Anglais")</f>
        <v>LVA Anglais</v>
      </c>
      <c r="J557" s="1" t="str">
        <f ca="1">IFERROR(__xludf.DUMMYFUNCTION("""COMPUTED_VALUE"""),"LVB Espagnol")</f>
        <v>LVB Espagnol</v>
      </c>
      <c r="K557" s="1"/>
      <c r="L557" s="1"/>
      <c r="M557" s="1"/>
      <c r="N557" s="1" t="str">
        <f ca="1">IFERROR(__xludf.DUMMYFUNCTION("""COMPUTED_VALUE"""),"Fille")</f>
        <v>Fille</v>
      </c>
      <c r="O557" s="1"/>
      <c r="P557" s="1" t="str">
        <f ca="1">IFERROR(__xludf.DUMMYFUNCTION("""COMPUTED_VALUE"""),"FRANCE")</f>
        <v>FRANCE</v>
      </c>
      <c r="Q557" s="1" t="str">
        <f ca="1">IFERROR(__xludf.DUMMYFUNCTION("""COMPUTED_VALUE"""),"SENEGAL")</f>
        <v>SENEGAL</v>
      </c>
      <c r="R557" s="1" t="str">
        <f ca="1">IFERROR(__xludf.DUMMYFUNCTION("""COMPUTED_VALUE"""),"myriam.schilling@lfjpsaly.org")</f>
        <v>myriam.schilling@lfjpsaly.org</v>
      </c>
      <c r="S557" s="1" t="str">
        <f ca="1">IFERROR(__xludf.DUMMYFUNCTION("""COMPUTED_VALUE"""),"+221 77 509 53 52")</f>
        <v>+221 77 509 53 52</v>
      </c>
      <c r="T557" s="1" t="str">
        <f ca="1">IFERROR(__xludf.DUMMYFUNCTION("""COMPUTED_VALUE"""),"SCHILLING Alain")</f>
        <v>SCHILLING Alain</v>
      </c>
      <c r="U557" s="1" t="str">
        <f ca="1">IFERROR(__xludf.DUMMYFUNCTION("""COMPUTED_VALUE"""),"BA Mariétou")</f>
        <v>BA Mariétou</v>
      </c>
      <c r="V557" s="1" t="str">
        <f ca="1">IFERROR(__xludf.DUMMYFUNCTION("""COMPUTED_VALUE"""),"alainchamois@gmail.com")</f>
        <v>alainchamois@gmail.com</v>
      </c>
      <c r="W557" s="1" t="str">
        <f ca="1">IFERROR(__xludf.DUMMYFUNCTION("""COMPUTED_VALUE"""),"alainchamois@gmail.com")</f>
        <v>alainchamois@gmail.com</v>
      </c>
      <c r="X557" s="1" t="str">
        <f ca="1">IFERROR(__xludf.DUMMYFUNCTION("""COMPUTED_VALUE"""),"775095352")</f>
        <v>775095352</v>
      </c>
      <c r="Y557" s="1" t="str">
        <f ca="1">IFERROR(__xludf.DUMMYFUNCTION("""COMPUTED_VALUE"""),"+221 78 218 09 39")</f>
        <v>+221 78 218 09 39</v>
      </c>
      <c r="Z557" s="1"/>
      <c r="AA557" s="1"/>
      <c r="AB557" s="2">
        <f ca="1">IFERROR(__xludf.DUMMYFUNCTION("""COMPUTED_VALUE"""),20047)</f>
        <v>20047</v>
      </c>
      <c r="AC557" s="2">
        <f ca="1">IFERROR(__xludf.DUMMYFUNCTION("""COMPUTED_VALUE"""),45373)</f>
        <v>45373</v>
      </c>
      <c r="AD557" s="1" t="str">
        <f ca="1">IFERROR(__xludf.DUMMYFUNCTION("""COMPUTED_VALUE"""),"PERE")</f>
        <v>PERE</v>
      </c>
      <c r="AE557" s="1" t="str">
        <f ca="1">IFERROR(__xludf.DUMMYFUNCTION("""COMPUTED_VALUE"""),"MERE")</f>
        <v>MERE</v>
      </c>
      <c r="AF557" s="1" t="str">
        <f ca="1">IFERROR(__xludf.DUMMYFUNCTION("""COMPUTED_VALUE"""),"FRANCE")</f>
        <v>FRANCE</v>
      </c>
      <c r="AG557" s="1" t="str">
        <f ca="1">IFERROR(__xludf.DUMMYFUNCTION("""COMPUTED_VALUE"""),"SENEGAL")</f>
        <v>SENEGAL</v>
      </c>
      <c r="AH557" s="1"/>
      <c r="AI557" s="1"/>
      <c r="AJ557" s="1" t="str">
        <f ca="1">IFERROR(__xludf.DUMMYFUNCTION("""COMPUTED_VALUE"""),"F1568")</f>
        <v>F1568</v>
      </c>
      <c r="AK557" s="1" t="str">
        <f ca="1">IFERROR(__xludf.DUMMYFUNCTION("""COMPUTED_VALUE"""),"Marié(e)")</f>
        <v>Marié(e)</v>
      </c>
      <c r="AL557" s="1" t="str">
        <f ca="1">IFERROR(__xludf.DUMMYFUNCTION("""COMPUTED_VALUE"""),"Veuf(ve)")</f>
        <v>Veuf(ve)</v>
      </c>
      <c r="AM557" s="1" t="str">
        <f ca="1">IFERROR(__xludf.DUMMYFUNCTION("""COMPUTED_VALUE"""),"F1568")</f>
        <v>F1568</v>
      </c>
    </row>
    <row r="558" spans="1:39" ht="13" x14ac:dyDescent="0.15">
      <c r="A558" s="1" t="str">
        <f ca="1">IFERROR(__xludf.DUMMYFUNCTION("""COMPUTED_VALUE"""),"SCHNEIDER Louna")</f>
        <v>SCHNEIDER Louna</v>
      </c>
      <c r="B558" s="1" t="str">
        <f ca="1">IFERROR(__xludf.DUMMYFUNCTION("""COMPUTED_VALUE"""),"SCHNEIDER")</f>
        <v>SCHNEIDER</v>
      </c>
      <c r="C558" s="1" t="str">
        <f ca="1">IFERROR(__xludf.DUMMYFUNCTION("""COMPUTED_VALUE"""),"Louna")</f>
        <v>Louna</v>
      </c>
      <c r="D558" s="1" t="str">
        <f ca="1">IFERROR(__xludf.DUMMYFUNCTION("""COMPUTED_VALUE"""),"1570E1")</f>
        <v>1570E1</v>
      </c>
      <c r="E558" s="2">
        <f ca="1">IFERROR(__xludf.DUMMYFUNCTION("""COMPUTED_VALUE"""),40146)</f>
        <v>40146</v>
      </c>
      <c r="F558" s="1" t="str">
        <f ca="1">IFERROR(__xludf.DUMMYFUNCTION("""COMPUTED_VALUE"""),"3EME2")</f>
        <v>3EME2</v>
      </c>
      <c r="G558" s="1" t="str">
        <f ca="1">IFERROR(__xludf.DUMMYFUNCTION("""COMPUTED_VALUE"""),"3ème")</f>
        <v>3ème</v>
      </c>
      <c r="H558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558" s="1" t="str">
        <f ca="1">IFERROR(__xludf.DUMMYFUNCTION("""COMPUTED_VALUE"""),"LVA Anglais")</f>
        <v>LVA Anglais</v>
      </c>
      <c r="J558" s="1" t="str">
        <f ca="1">IFERROR(__xludf.DUMMYFUNCTION("""COMPUTED_VALUE"""),"LVB Espagnol")</f>
        <v>LVB Espagnol</v>
      </c>
      <c r="K558" s="1"/>
      <c r="L558" s="1"/>
      <c r="M558" s="1"/>
      <c r="N558" s="1" t="str">
        <f ca="1">IFERROR(__xludf.DUMMYFUNCTION("""COMPUTED_VALUE"""),"Fille")</f>
        <v>Fille</v>
      </c>
      <c r="O558" s="1"/>
      <c r="P558" s="1" t="str">
        <f ca="1">IFERROR(__xludf.DUMMYFUNCTION("""COMPUTED_VALUE"""),"FRANCE")</f>
        <v>FRANCE</v>
      </c>
      <c r="Q558" s="1"/>
      <c r="R558" s="1" t="str">
        <f ca="1">IFERROR(__xludf.DUMMYFUNCTION("""COMPUTED_VALUE"""),"louna.schneider@lfjpsaly.org")</f>
        <v>louna.schneider@lfjpsaly.org</v>
      </c>
      <c r="S558" s="1"/>
      <c r="T558" s="1" t="str">
        <f ca="1">IFERROR(__xludf.DUMMYFUNCTION("""COMPUTED_VALUE"""),"BA Awa Seydi")</f>
        <v>BA Awa Seydi</v>
      </c>
      <c r="U558" s="1" t="str">
        <f ca="1">IFERROR(__xludf.DUMMYFUNCTION("""COMPUTED_VALUE"""),"SCHNEIDER Alain")</f>
        <v>SCHNEIDER Alain</v>
      </c>
      <c r="V558" s="1" t="str">
        <f ca="1">IFERROR(__xludf.DUMMYFUNCTION("""COMPUTED_VALUE"""),"aseydiba@gmail.com")</f>
        <v>aseydiba@gmail.com</v>
      </c>
      <c r="W558" s="1" t="str">
        <f ca="1">IFERROR(__xludf.DUMMYFUNCTION("""COMPUTED_VALUE"""),"aseydiba@gmail.com")</f>
        <v>aseydiba@gmail.com</v>
      </c>
      <c r="X558" s="1" t="str">
        <f ca="1">IFERROR(__xludf.DUMMYFUNCTION("""COMPUTED_VALUE"""),"+221 77 431 13 27")</f>
        <v>+221 77 431 13 27</v>
      </c>
      <c r="Y558" s="1" t="str">
        <f ca="1">IFERROR(__xludf.DUMMYFUNCTION("""COMPUTED_VALUE"""),"+221 77 431 13 27")</f>
        <v>+221 77 431 13 27</v>
      </c>
      <c r="Z558" s="1"/>
      <c r="AA558" s="1" t="str">
        <f ca="1">IFERROR(__xludf.DUMMYFUNCTION("""COMPUTED_VALUE"""),"+221")</f>
        <v>+221</v>
      </c>
      <c r="AB558" s="2">
        <f ca="1">IFERROR(__xludf.DUMMYFUNCTION("""COMPUTED_VALUE"""),30107)</f>
        <v>30107</v>
      </c>
      <c r="AC558" s="2">
        <f ca="1">IFERROR(__xludf.DUMMYFUNCTION("""COMPUTED_VALUE"""),18877)</f>
        <v>18877</v>
      </c>
      <c r="AD558" s="1" t="str">
        <f ca="1">IFERROR(__xludf.DUMMYFUNCTION("""COMPUTED_VALUE"""),"MERE")</f>
        <v>MERE</v>
      </c>
      <c r="AE558" s="1" t="str">
        <f ca="1">IFERROR(__xludf.DUMMYFUNCTION("""COMPUTED_VALUE"""),"AUTRE FAM.")</f>
        <v>AUTRE FAM.</v>
      </c>
      <c r="AF558" s="1" t="str">
        <f ca="1">IFERROR(__xludf.DUMMYFUNCTION("""COMPUTED_VALUE"""),"SENEGAL")</f>
        <v>SENEGAL</v>
      </c>
      <c r="AG558" s="1" t="str">
        <f ca="1">IFERROR(__xludf.DUMMYFUNCTION("""COMPUTED_VALUE"""),"FRANCE")</f>
        <v>FRANCE</v>
      </c>
      <c r="AH558" s="1"/>
      <c r="AI558" s="1"/>
      <c r="AJ558" s="1" t="str">
        <f ca="1">IFERROR(__xludf.DUMMYFUNCTION("""COMPUTED_VALUE"""),"F1570")</f>
        <v>F1570</v>
      </c>
      <c r="AK558" s="1" t="str">
        <f ca="1">IFERROR(__xludf.DUMMYFUNCTION("""COMPUTED_VALUE"""),"Célibataire")</f>
        <v>Célibataire</v>
      </c>
      <c r="AL558" s="1" t="str">
        <f ca="1">IFERROR(__xludf.DUMMYFUNCTION("""COMPUTED_VALUE"""),"Divorcée")</f>
        <v>Divorcée</v>
      </c>
      <c r="AM558" s="1" t="str">
        <f ca="1">IFERROR(__xludf.DUMMYFUNCTION("""COMPUTED_VALUE"""),"F1570")</f>
        <v>F1570</v>
      </c>
    </row>
    <row r="559" spans="1:39" ht="13" x14ac:dyDescent="0.15">
      <c r="A559" s="1" t="str">
        <f ca="1">IFERROR(__xludf.DUMMYFUNCTION("""COMPUTED_VALUE"""),"SECK Hanna")</f>
        <v>SECK Hanna</v>
      </c>
      <c r="B559" s="1" t="str">
        <f ca="1">IFERROR(__xludf.DUMMYFUNCTION("""COMPUTED_VALUE"""),"SECK")</f>
        <v>SECK</v>
      </c>
      <c r="C559" s="1" t="str">
        <f ca="1">IFERROR(__xludf.DUMMYFUNCTION("""COMPUTED_VALUE"""),"Hanna")</f>
        <v>Hanna</v>
      </c>
      <c r="D559" s="1" t="str">
        <f ca="1">IFERROR(__xludf.DUMMYFUNCTION("""COMPUTED_VALUE"""),"1688E1")</f>
        <v>1688E1</v>
      </c>
      <c r="E559" s="2">
        <f ca="1">IFERROR(__xludf.DUMMYFUNCTION("""COMPUTED_VALUE"""),42514)</f>
        <v>42514</v>
      </c>
      <c r="F559" s="1" t="str">
        <f ca="1">IFERROR(__xludf.DUMMYFUNCTION("""COMPUTED_VALUE"""),"CM1B")</f>
        <v>CM1B</v>
      </c>
      <c r="G559" s="1" t="str">
        <f ca="1">IFERROR(__xludf.DUMMYFUNCTION("""COMPUTED_VALUE"""),"CM1")</f>
        <v>CM1</v>
      </c>
      <c r="H559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559" s="1"/>
      <c r="J559" s="1"/>
      <c r="K559" s="1"/>
      <c r="L559" s="1"/>
      <c r="M559" s="1"/>
      <c r="N559" s="1" t="str">
        <f ca="1">IFERROR(__xludf.DUMMYFUNCTION("""COMPUTED_VALUE"""),"Fille")</f>
        <v>Fille</v>
      </c>
      <c r="O559" s="1"/>
      <c r="P559" s="1" t="str">
        <f ca="1">IFERROR(__xludf.DUMMYFUNCTION("""COMPUTED_VALUE"""),"FRANCE")</f>
        <v>FRANCE</v>
      </c>
      <c r="Q559" s="1" t="str">
        <f ca="1">IFERROR(__xludf.DUMMYFUNCTION("""COMPUTED_VALUE"""),"SENEGAL")</f>
        <v>SENEGAL</v>
      </c>
      <c r="R559" s="1"/>
      <c r="S559" s="1"/>
      <c r="T559" s="1" t="str">
        <f ca="1">IFERROR(__xludf.DUMMYFUNCTION("""COMPUTED_VALUE"""),"JAIT Layla")</f>
        <v>JAIT Layla</v>
      </c>
      <c r="U559" s="1" t="str">
        <f ca="1">IFERROR(__xludf.DUMMYFUNCTION("""COMPUTED_VALUE"""),"SECK Assane")</f>
        <v>SECK Assane</v>
      </c>
      <c r="V559" s="1" t="str">
        <f ca="1">IFERROR(__xludf.DUMMYFUNCTION("""COMPUTED_VALUE"""),"jaitlayla@gmail.com")</f>
        <v>jaitlayla@gmail.com</v>
      </c>
      <c r="W559" s="1" t="str">
        <f ca="1">IFERROR(__xludf.DUMMYFUNCTION("""COMPUTED_VALUE"""),"lazouseck125@gmail.com")</f>
        <v>lazouseck125@gmail.com</v>
      </c>
      <c r="X559" s="1" t="str">
        <f ca="1">IFERROR(__xludf.DUMMYFUNCTION("""COMPUTED_VALUE"""),"+221 78 756 86 86")</f>
        <v>+221 78 756 86 86</v>
      </c>
      <c r="Y559" s="1" t="str">
        <f ca="1">IFERROR(__xludf.DUMMYFUNCTION("""COMPUTED_VALUE"""),"+33 6 62 54 95 53")</f>
        <v>+33 6 62 54 95 53</v>
      </c>
      <c r="Z559" s="1" t="str">
        <f ca="1">IFERROR(__xludf.DUMMYFUNCTION("""COMPUTED_VALUE"""),"+33 6 62 50 66 16")</f>
        <v>+33 6 62 50 66 16</v>
      </c>
      <c r="AA559" s="1" t="str">
        <f ca="1">IFERROR(__xludf.DUMMYFUNCTION("""COMPUTED_VALUE"""),"+221")</f>
        <v>+221</v>
      </c>
      <c r="AB559" s="2">
        <f ca="1">IFERROR(__xludf.DUMMYFUNCTION("""COMPUTED_VALUE"""),29652)</f>
        <v>29652</v>
      </c>
      <c r="AC559" s="2">
        <f ca="1">IFERROR(__xludf.DUMMYFUNCTION("""COMPUTED_VALUE"""),29557)</f>
        <v>29557</v>
      </c>
      <c r="AD559" s="1" t="str">
        <f ca="1">IFERROR(__xludf.DUMMYFUNCTION("""COMPUTED_VALUE"""),"MERE")</f>
        <v>MERE</v>
      </c>
      <c r="AE559" s="1" t="str">
        <f ca="1">IFERROR(__xludf.DUMMYFUNCTION("""COMPUTED_VALUE"""),"PERE")</f>
        <v>PERE</v>
      </c>
      <c r="AF559" s="1" t="str">
        <f ca="1">IFERROR(__xludf.DUMMYFUNCTION("""COMPUTED_VALUE"""),"FRANCE")</f>
        <v>FRANCE</v>
      </c>
      <c r="AG559" s="1" t="str">
        <f ca="1">IFERROR(__xludf.DUMMYFUNCTION("""COMPUTED_VALUE"""),"SENEGAL")</f>
        <v>SENEGAL</v>
      </c>
      <c r="AH559" s="1" t="str">
        <f ca="1">IFERROR(__xludf.DUMMYFUNCTION("""COMPUTED_VALUE"""),"MAROC")</f>
        <v>MAROC</v>
      </c>
      <c r="AI559" s="1"/>
      <c r="AJ559" s="1" t="str">
        <f ca="1">IFERROR(__xludf.DUMMYFUNCTION("""COMPUTED_VALUE"""),"F1688")</f>
        <v>F1688</v>
      </c>
      <c r="AK559" s="1" t="str">
        <f ca="1">IFERROR(__xludf.DUMMYFUNCTION("""COMPUTED_VALUE"""),"CONCUBINAGE")</f>
        <v>CONCUBINAGE</v>
      </c>
      <c r="AL559" s="1" t="str">
        <f ca="1">IFERROR(__xludf.DUMMYFUNCTION("""COMPUTED_VALUE"""),"CONCUBINAGE")</f>
        <v>CONCUBINAGE</v>
      </c>
      <c r="AM559" s="1" t="str">
        <f ca="1">IFERROR(__xludf.DUMMYFUNCTION("""COMPUTED_VALUE"""),"F1688")</f>
        <v>F1688</v>
      </c>
    </row>
    <row r="560" spans="1:39" ht="13" x14ac:dyDescent="0.15">
      <c r="A560" s="1" t="str">
        <f ca="1">IFERROR(__xludf.DUMMYFUNCTION("""COMPUTED_VALUE"""),"SECK Ibrahim")</f>
        <v>SECK Ibrahim</v>
      </c>
      <c r="B560" s="1" t="str">
        <f ca="1">IFERROR(__xludf.DUMMYFUNCTION("""COMPUTED_VALUE"""),"SECK")</f>
        <v>SECK</v>
      </c>
      <c r="C560" s="1" t="str">
        <f ca="1">IFERROR(__xludf.DUMMYFUNCTION("""COMPUTED_VALUE"""),"Ibrahim")</f>
        <v>Ibrahim</v>
      </c>
      <c r="D560" s="1" t="str">
        <f ca="1">IFERROR(__xludf.DUMMYFUNCTION("""COMPUTED_VALUE"""),"11633S2232")</f>
        <v>11633S2232</v>
      </c>
      <c r="E560" s="2">
        <f ca="1">IFERROR(__xludf.DUMMYFUNCTION("""COMPUTED_VALUE"""),43036)</f>
        <v>43036</v>
      </c>
      <c r="F560" s="1" t="str">
        <f ca="1">IFERROR(__xludf.DUMMYFUNCTION("""COMPUTED_VALUE"""),"CE2")</f>
        <v>CE2</v>
      </c>
      <c r="G560" s="1" t="str">
        <f ca="1">IFERROR(__xludf.DUMMYFUNCTION("""COMPUTED_VALUE"""),"CE2")</f>
        <v>CE2</v>
      </c>
      <c r="H560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560" s="1"/>
      <c r="J560" s="1"/>
      <c r="K560" s="1"/>
      <c r="L560" s="1"/>
      <c r="M560" s="1"/>
      <c r="N560" s="1" t="str">
        <f ca="1">IFERROR(__xludf.DUMMYFUNCTION("""COMPUTED_VALUE"""),"Garçon")</f>
        <v>Garçon</v>
      </c>
      <c r="O560" s="1"/>
      <c r="P560" s="1" t="str">
        <f ca="1">IFERROR(__xludf.DUMMYFUNCTION("""COMPUTED_VALUE"""),"FRANCE")</f>
        <v>FRANCE</v>
      </c>
      <c r="Q560" s="1" t="str">
        <f ca="1">IFERROR(__xludf.DUMMYFUNCTION("""COMPUTED_VALUE"""),"SENEGAL")</f>
        <v>SENEGAL</v>
      </c>
      <c r="R560" s="1"/>
      <c r="S560" s="1"/>
      <c r="T560" s="1" t="str">
        <f ca="1">IFERROR(__xludf.DUMMYFUNCTION("""COMPUTED_VALUE"""),"JAIT Layla")</f>
        <v>JAIT Layla</v>
      </c>
      <c r="U560" s="1" t="str">
        <f ca="1">IFERROR(__xludf.DUMMYFUNCTION("""COMPUTED_VALUE"""),"SECK Assane")</f>
        <v>SECK Assane</v>
      </c>
      <c r="V560" s="1" t="str">
        <f ca="1">IFERROR(__xludf.DUMMYFUNCTION("""COMPUTED_VALUE"""),"jaitlayla@gmail.com")</f>
        <v>jaitlayla@gmail.com</v>
      </c>
      <c r="W560" s="1" t="str">
        <f ca="1">IFERROR(__xludf.DUMMYFUNCTION("""COMPUTED_VALUE"""),"lazouseck125@gmail.com")</f>
        <v>lazouseck125@gmail.com</v>
      </c>
      <c r="X560" s="1" t="str">
        <f ca="1">IFERROR(__xludf.DUMMYFUNCTION("""COMPUTED_VALUE"""),"+221 78 756 86 86")</f>
        <v>+221 78 756 86 86</v>
      </c>
      <c r="Y560" s="1" t="str">
        <f ca="1">IFERROR(__xludf.DUMMYFUNCTION("""COMPUTED_VALUE"""),"+33 6 62 54 95 53")</f>
        <v>+33 6 62 54 95 53</v>
      </c>
      <c r="Z560" s="1" t="str">
        <f ca="1">IFERROR(__xludf.DUMMYFUNCTION("""COMPUTED_VALUE"""),"+33 6 62 50 66 16")</f>
        <v>+33 6 62 50 66 16</v>
      </c>
      <c r="AA560" s="1" t="str">
        <f ca="1">IFERROR(__xludf.DUMMYFUNCTION("""COMPUTED_VALUE"""),"+221")</f>
        <v>+221</v>
      </c>
      <c r="AB560" s="2">
        <f ca="1">IFERROR(__xludf.DUMMYFUNCTION("""COMPUTED_VALUE"""),29652)</f>
        <v>29652</v>
      </c>
      <c r="AC560" s="2">
        <f ca="1">IFERROR(__xludf.DUMMYFUNCTION("""COMPUTED_VALUE"""),29557)</f>
        <v>29557</v>
      </c>
      <c r="AD560" s="1" t="str">
        <f ca="1">IFERROR(__xludf.DUMMYFUNCTION("""COMPUTED_VALUE"""),"MERE")</f>
        <v>MERE</v>
      </c>
      <c r="AE560" s="1" t="str">
        <f ca="1">IFERROR(__xludf.DUMMYFUNCTION("""COMPUTED_VALUE"""),"PERE")</f>
        <v>PERE</v>
      </c>
      <c r="AF560" s="1" t="str">
        <f ca="1">IFERROR(__xludf.DUMMYFUNCTION("""COMPUTED_VALUE"""),"FRANCE")</f>
        <v>FRANCE</v>
      </c>
      <c r="AG560" s="1" t="str">
        <f ca="1">IFERROR(__xludf.DUMMYFUNCTION("""COMPUTED_VALUE"""),"SENEGAL")</f>
        <v>SENEGAL</v>
      </c>
      <c r="AH560" s="1" t="str">
        <f ca="1">IFERROR(__xludf.DUMMYFUNCTION("""COMPUTED_VALUE"""),"MAROC")</f>
        <v>MAROC</v>
      </c>
      <c r="AI560" s="1"/>
      <c r="AJ560" s="1" t="str">
        <f ca="1">IFERROR(__xludf.DUMMYFUNCTION("""COMPUTED_VALUE"""),"F1688")</f>
        <v>F1688</v>
      </c>
      <c r="AK560" s="1" t="str">
        <f ca="1">IFERROR(__xludf.DUMMYFUNCTION("""COMPUTED_VALUE"""),"CONCUBINAGE")</f>
        <v>CONCUBINAGE</v>
      </c>
      <c r="AL560" s="1" t="str">
        <f ca="1">IFERROR(__xludf.DUMMYFUNCTION("""COMPUTED_VALUE"""),"CONCUBINAGE")</f>
        <v>CONCUBINAGE</v>
      </c>
      <c r="AM560" s="1" t="str">
        <f ca="1">IFERROR(__xludf.DUMMYFUNCTION("""COMPUTED_VALUE"""),"F1688")</f>
        <v>F1688</v>
      </c>
    </row>
    <row r="561" spans="1:39" ht="13" x14ac:dyDescent="0.15">
      <c r="A561" s="1" t="str">
        <f ca="1">IFERROR(__xludf.DUMMYFUNCTION("""COMPUTED_VALUE"""),"SECK Ousseynatou")</f>
        <v>SECK Ousseynatou</v>
      </c>
      <c r="B561" s="1" t="str">
        <f ca="1">IFERROR(__xludf.DUMMYFUNCTION("""COMPUTED_VALUE"""),"SECK")</f>
        <v>SECK</v>
      </c>
      <c r="C561" s="1" t="str">
        <f ca="1">IFERROR(__xludf.DUMMYFUNCTION("""COMPUTED_VALUE"""),"Ousseynatou")</f>
        <v>Ousseynatou</v>
      </c>
      <c r="D561" s="1" t="str">
        <f ca="1">IFERROR(__xludf.DUMMYFUNCTION("""COMPUTED_VALUE"""),"11803S2567")</f>
        <v>11803S2567</v>
      </c>
      <c r="E561" s="2">
        <f ca="1">IFERROR(__xludf.DUMMYFUNCTION("""COMPUTED_VALUE"""),39700)</f>
        <v>39700</v>
      </c>
      <c r="F561" s="1" t="str">
        <f ca="1">IFERROR(__xludf.DUMMYFUNCTION("""COMPUTED_VALUE"""),"1ERE1")</f>
        <v>1ERE1</v>
      </c>
      <c r="G561" s="1" t="str">
        <f ca="1">IFERROR(__xludf.DUMMYFUNCTION("""COMPUTED_VALUE"""),"1ère")</f>
        <v>1ère</v>
      </c>
      <c r="H561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561" s="1" t="str">
        <f ca="1">IFERROR(__xludf.DUMMYFUNCTION("""COMPUTED_VALUE"""),"LVA Anglais")</f>
        <v>LVA Anglais</v>
      </c>
      <c r="J561" s="1" t="str">
        <f ca="1">IFERROR(__xludf.DUMMYFUNCTION("""COMPUTED_VALUE"""),"LVB Espagnol")</f>
        <v>LVB Espagnol</v>
      </c>
      <c r="K561" s="1"/>
      <c r="L561" s="1"/>
      <c r="M561" s="1" t="str">
        <f ca="1">IFERROR(__xludf.DUMMYFUNCTION("""COMPUTED_VALUE"""),"SPE LLCE AMC, SPE SES, SPE SPC")</f>
        <v>SPE LLCE AMC, SPE SES, SPE SPC</v>
      </c>
      <c r="N561" s="1" t="str">
        <f ca="1">IFERROR(__xludf.DUMMYFUNCTION("""COMPUTED_VALUE"""),"Fille")</f>
        <v>Fille</v>
      </c>
      <c r="O561" s="1"/>
      <c r="P561" s="1" t="str">
        <f ca="1">IFERROR(__xludf.DUMMYFUNCTION("""COMPUTED_VALUE"""),"SENEGAL")</f>
        <v>SENEGAL</v>
      </c>
      <c r="Q561" s="1" t="str">
        <f ca="1">IFERROR(__xludf.DUMMYFUNCTION("""COMPUTED_VALUE"""),"SENEGAL")</f>
        <v>SENEGAL</v>
      </c>
      <c r="R561" s="1" t="str">
        <f ca="1">IFERROR(__xludf.DUMMYFUNCTION("""COMPUTED_VALUE"""),"ousseynatou.seck@lfjpsaly.org")</f>
        <v>ousseynatou.seck@lfjpsaly.org</v>
      </c>
      <c r="S561" s="1" t="str">
        <f ca="1">IFERROR(__xludf.DUMMYFUNCTION("""COMPUTED_VALUE"""),"+221 78 304 32 37")</f>
        <v>+221 78 304 32 37</v>
      </c>
      <c r="T561" s="1" t="str">
        <f ca="1">IFERROR(__xludf.DUMMYFUNCTION("""COMPUTED_VALUE"""),"SECK Birame")</f>
        <v>SECK Birame</v>
      </c>
      <c r="U561" s="1" t="str">
        <f ca="1">IFERROR(__xludf.DUMMYFUNCTION("""COMPUTED_VALUE"""),"SECK Ndeye Khoudia")</f>
        <v>SECK Ndeye Khoudia</v>
      </c>
      <c r="V561" s="1" t="str">
        <f ca="1">IFERROR(__xludf.DUMMYFUNCTION("""COMPUTED_VALUE"""),"birame.seck@socgen.com")</f>
        <v>birame.seck@socgen.com</v>
      </c>
      <c r="W561" s="1" t="str">
        <f ca="1">IFERROR(__xludf.DUMMYFUNCTION("""COMPUTED_VALUE"""),"seckndeyekhoudia2@gmail.com")</f>
        <v>seckndeyekhoudia2@gmail.com</v>
      </c>
      <c r="X561" s="1" t="str">
        <f ca="1">IFERROR(__xludf.DUMMYFUNCTION("""COMPUTED_VALUE"""),"+221 78 192 98 94")</f>
        <v>+221 78 192 98 94</v>
      </c>
      <c r="Y561" s="1" t="str">
        <f ca="1">IFERROR(__xludf.DUMMYFUNCTION("""COMPUTED_VALUE"""),"+221 78 304 32 37")</f>
        <v>+221 78 304 32 37</v>
      </c>
      <c r="Z561" s="1" t="str">
        <f ca="1">IFERROR(__xludf.DUMMYFUNCTION("""COMPUTED_VALUE"""),"+221")</f>
        <v>+221</v>
      </c>
      <c r="AA561" s="1" t="str">
        <f ca="1">IFERROR(__xludf.DUMMYFUNCTION("""COMPUTED_VALUE"""),"+221")</f>
        <v>+221</v>
      </c>
      <c r="AB561" s="2">
        <f ca="1">IFERROR(__xludf.DUMMYFUNCTION("""COMPUTED_VALUE"""),26836)</f>
        <v>26836</v>
      </c>
      <c r="AC561" s="2">
        <f ca="1">IFERROR(__xludf.DUMMYFUNCTION("""COMPUTED_VALUE"""),28857)</f>
        <v>28857</v>
      </c>
      <c r="AD561" s="1" t="str">
        <f ca="1">IFERROR(__xludf.DUMMYFUNCTION("""COMPUTED_VALUE"""),"PERE")</f>
        <v>PERE</v>
      </c>
      <c r="AE561" s="1" t="str">
        <f ca="1">IFERROR(__xludf.DUMMYFUNCTION("""COMPUTED_VALUE"""),"MERE")</f>
        <v>MERE</v>
      </c>
      <c r="AF561" s="1" t="str">
        <f ca="1">IFERROR(__xludf.DUMMYFUNCTION("""COMPUTED_VALUE"""),"SENEGAL")</f>
        <v>SENEGAL</v>
      </c>
      <c r="AG561" s="1" t="str">
        <f ca="1">IFERROR(__xludf.DUMMYFUNCTION("""COMPUTED_VALUE"""),"SENEGAL")</f>
        <v>SENEGAL</v>
      </c>
      <c r="AH561" s="1" t="str">
        <f ca="1">IFERROR(__xludf.DUMMYFUNCTION("""COMPUTED_VALUE"""),"SENEGAL")</f>
        <v>SENEGAL</v>
      </c>
      <c r="AI561" s="1" t="str">
        <f ca="1">IFERROR(__xludf.DUMMYFUNCTION("""COMPUTED_VALUE"""),"SENEGAL")</f>
        <v>SENEGAL</v>
      </c>
      <c r="AJ561" s="1" t="str">
        <f ca="1">IFERROR(__xludf.DUMMYFUNCTION("""COMPUTED_VALUE"""),"U11803")</f>
        <v>U11803</v>
      </c>
      <c r="AK561" s="1" t="str">
        <f ca="1">IFERROR(__xludf.DUMMYFUNCTION("""COMPUTED_VALUE"""),"Marié(e)")</f>
        <v>Marié(e)</v>
      </c>
      <c r="AL561" s="1" t="str">
        <f ca="1">IFERROR(__xludf.DUMMYFUNCTION("""COMPUTED_VALUE"""),"Marié(e)")</f>
        <v>Marié(e)</v>
      </c>
      <c r="AM561" s="1" t="str">
        <f ca="1">IFERROR(__xludf.DUMMYFUNCTION("""COMPUTED_VALUE"""),"U11803")</f>
        <v>U11803</v>
      </c>
    </row>
    <row r="562" spans="1:39" ht="13" x14ac:dyDescent="0.15">
      <c r="A562" s="1" t="str">
        <f ca="1">IFERROR(__xludf.DUMMYFUNCTION("""COMPUTED_VALUE"""),"SENE Anastase Etienne Sambaré")</f>
        <v>SENE Anastase Etienne Sambaré</v>
      </c>
      <c r="B562" s="1" t="str">
        <f ca="1">IFERROR(__xludf.DUMMYFUNCTION("""COMPUTED_VALUE"""),"SENE")</f>
        <v>SENE</v>
      </c>
      <c r="C562" s="1" t="str">
        <f ca="1">IFERROR(__xludf.DUMMYFUNCTION("""COMPUTED_VALUE"""),"Anastase Etienne Sambaré")</f>
        <v>Anastase Etienne Sambaré</v>
      </c>
      <c r="D562" s="1" t="str">
        <f ca="1">IFERROR(__xludf.DUMMYFUNCTION("""COMPUTED_VALUE"""),"1571E1")</f>
        <v>1571E1</v>
      </c>
      <c r="E562" s="2">
        <f ca="1">IFERROR(__xludf.DUMMYFUNCTION("""COMPUTED_VALUE"""),43157)</f>
        <v>43157</v>
      </c>
      <c r="F562" s="1" t="str">
        <f ca="1">IFERROR(__xludf.DUMMYFUNCTION("""COMPUTED_VALUE"""),"CE1A")</f>
        <v>CE1A</v>
      </c>
      <c r="G562" s="1" t="str">
        <f ca="1">IFERROR(__xludf.DUMMYFUNCTION("""COMPUTED_VALUE"""),"CE1")</f>
        <v>CE1</v>
      </c>
      <c r="H562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562" s="1"/>
      <c r="J562" s="1"/>
      <c r="K562" s="1"/>
      <c r="L562" s="1"/>
      <c r="M562" s="1"/>
      <c r="N562" s="1" t="str">
        <f ca="1">IFERROR(__xludf.DUMMYFUNCTION("""COMPUTED_VALUE"""),"Garçon")</f>
        <v>Garçon</v>
      </c>
      <c r="O562" s="1"/>
      <c r="P562" s="1" t="str">
        <f ca="1">IFERROR(__xludf.DUMMYFUNCTION("""COMPUTED_VALUE"""),"SENEGAL")</f>
        <v>SENEGAL</v>
      </c>
      <c r="Q562" s="1"/>
      <c r="R562" s="1"/>
      <c r="S562" s="1"/>
      <c r="T562" s="1" t="str">
        <f ca="1">IFERROR(__xludf.DUMMYFUNCTION("""COMPUTED_VALUE"""),"VERSIGLIONI Pascal")</f>
        <v>VERSIGLIONI Pascal</v>
      </c>
      <c r="U562" s="1" t="str">
        <f ca="1">IFERROR(__xludf.DUMMYFUNCTION("""COMPUTED_VALUE"""),"NDIAYE Jeanne")</f>
        <v>NDIAYE Jeanne</v>
      </c>
      <c r="V562" s="1" t="str">
        <f ca="1">IFERROR(__xludf.DUMMYFUNCTION("""COMPUTED_VALUE"""),"versipascal@googlemail.com")</f>
        <v>versipascal@googlemail.com</v>
      </c>
      <c r="W562" s="1" t="str">
        <f ca="1">IFERROR(__xludf.DUMMYFUNCTION("""COMPUTED_VALUE"""),"jeannesophiendiaye@gmail.com")</f>
        <v>jeannesophiendiaye@gmail.com</v>
      </c>
      <c r="X562" s="1" t="str">
        <f ca="1">IFERROR(__xludf.DUMMYFUNCTION("""COMPUTED_VALUE"""),"776374102")</f>
        <v>776374102</v>
      </c>
      <c r="Y562" s="1" t="str">
        <f ca="1">IFERROR(__xludf.DUMMYFUNCTION("""COMPUTED_VALUE"""),"776913295")</f>
        <v>776913295</v>
      </c>
      <c r="Z562" s="1"/>
      <c r="AA562" s="1"/>
      <c r="AB562" s="2">
        <f ca="1">IFERROR(__xludf.DUMMYFUNCTION("""COMPUTED_VALUE"""),23650)</f>
        <v>23650</v>
      </c>
      <c r="AC562" s="2">
        <f ca="1">IFERROR(__xludf.DUMMYFUNCTION("""COMPUTED_VALUE"""),32396)</f>
        <v>32396</v>
      </c>
      <c r="AD562" s="1" t="str">
        <f ca="1">IFERROR(__xludf.DUMMYFUNCTION("""COMPUTED_VALUE"""),"ASS. FAMIL")</f>
        <v>ASS. FAMIL</v>
      </c>
      <c r="AE562" s="1" t="str">
        <f ca="1">IFERROR(__xludf.DUMMYFUNCTION("""COMPUTED_VALUE"""),"MERE")</f>
        <v>MERE</v>
      </c>
      <c r="AF562" s="1" t="str">
        <f ca="1">IFERROR(__xludf.DUMMYFUNCTION("""COMPUTED_VALUE"""),"FRANCE")</f>
        <v>FRANCE</v>
      </c>
      <c r="AG562" s="1" t="str">
        <f ca="1">IFERROR(__xludf.DUMMYFUNCTION("""COMPUTED_VALUE"""),"SENEGAL")</f>
        <v>SENEGAL</v>
      </c>
      <c r="AH562" s="1"/>
      <c r="AI562" s="1"/>
      <c r="AJ562" s="1" t="str">
        <f ca="1">IFERROR(__xludf.DUMMYFUNCTION("""COMPUTED_VALUE"""),"F1571")</f>
        <v>F1571</v>
      </c>
      <c r="AK562" s="1" t="str">
        <f ca="1">IFERROR(__xludf.DUMMYFUNCTION("""COMPUTED_VALUE"""),"Célibataire")</f>
        <v>Célibataire</v>
      </c>
      <c r="AL562" s="1" t="str">
        <f ca="1">IFERROR(__xludf.DUMMYFUNCTION("""COMPUTED_VALUE"""),"Célibataire")</f>
        <v>Célibataire</v>
      </c>
      <c r="AM562" s="1" t="str">
        <f ca="1">IFERROR(__xludf.DUMMYFUNCTION("""COMPUTED_VALUE"""),"F1571")</f>
        <v>F1571</v>
      </c>
    </row>
    <row r="563" spans="1:39" ht="13" x14ac:dyDescent="0.15">
      <c r="A563" s="1" t="str">
        <f ca="1">IFERROR(__xludf.DUMMYFUNCTION("""COMPUTED_VALUE"""),"SENOL Cem")</f>
        <v>SENOL Cem</v>
      </c>
      <c r="B563" s="1" t="str">
        <f ca="1">IFERROR(__xludf.DUMMYFUNCTION("""COMPUTED_VALUE"""),"SENOL")</f>
        <v>SENOL</v>
      </c>
      <c r="C563" s="1" t="str">
        <f ca="1">IFERROR(__xludf.DUMMYFUNCTION("""COMPUTED_VALUE"""),"Cem")</f>
        <v>Cem</v>
      </c>
      <c r="D563" s="1" t="str">
        <f ca="1">IFERROR(__xludf.DUMMYFUNCTION("""COMPUTED_VALUE"""),"1573E2")</f>
        <v>1573E2</v>
      </c>
      <c r="E563" s="2">
        <f ca="1">IFERROR(__xludf.DUMMYFUNCTION("""COMPUTED_VALUE"""),42073)</f>
        <v>42073</v>
      </c>
      <c r="F563" s="1" t="str">
        <f ca="1">IFERROR(__xludf.DUMMYFUNCTION("""COMPUTED_VALUE"""),"6EME2")</f>
        <v>6EME2</v>
      </c>
      <c r="G563" s="1" t="str">
        <f ca="1">IFERROR(__xludf.DUMMYFUNCTION("""COMPUTED_VALUE"""),"6ème")</f>
        <v>6ème</v>
      </c>
      <c r="H563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563" s="1" t="str">
        <f ca="1">IFERROR(__xludf.DUMMYFUNCTION("""COMPUTED_VALUE"""),"LVA Anglais")</f>
        <v>LVA Anglais</v>
      </c>
      <c r="J563" s="1" t="str">
        <f ca="1">IFERROR(__xludf.DUMMYFUNCTION("""COMPUTED_VALUE"""),"LVB Espagnol")</f>
        <v>LVB Espagnol</v>
      </c>
      <c r="K563" s="1"/>
      <c r="L563" s="1"/>
      <c r="M563" s="1"/>
      <c r="N563" s="1" t="str">
        <f ca="1">IFERROR(__xludf.DUMMYFUNCTION("""COMPUTED_VALUE"""),"Garçon")</f>
        <v>Garçon</v>
      </c>
      <c r="O563" s="1"/>
      <c r="P563" s="1" t="str">
        <f ca="1">IFERROR(__xludf.DUMMYFUNCTION("""COMPUTED_VALUE"""),"TURQUIE")</f>
        <v>TURQUIE</v>
      </c>
      <c r="Q563" s="1"/>
      <c r="R563" s="1" t="str">
        <f ca="1">IFERROR(__xludf.DUMMYFUNCTION("""COMPUTED_VALUE"""),"cem.senol@lfjpsaly.org")</f>
        <v>cem.senol@lfjpsaly.org</v>
      </c>
      <c r="S563" s="1"/>
      <c r="T563" s="1" t="str">
        <f ca="1">IFERROR(__xludf.DUMMYFUNCTION("""COMPUTED_VALUE"""),"SENOL Huseyin")</f>
        <v>SENOL Huseyin</v>
      </c>
      <c r="U563" s="1" t="str">
        <f ca="1">IFERROR(__xludf.DUMMYFUNCTION("""COMPUTED_VALUE"""),"SENOL Gulsah")</f>
        <v>SENOL Gulsah</v>
      </c>
      <c r="V563" s="1" t="str">
        <f ca="1">IFERROR(__xludf.DUMMYFUNCTION("""COMPUTED_VALUE"""),"senolhuseyin@hotmail.com")</f>
        <v>senolhuseyin@hotmail.com</v>
      </c>
      <c r="W563" s="1" t="str">
        <f ca="1">IFERROR(__xludf.DUMMYFUNCTION("""COMPUTED_VALUE"""),"senolhuseyin@hotmail.com")</f>
        <v>senolhuseyin@hotmail.com</v>
      </c>
      <c r="X563" s="1" t="str">
        <f ca="1">IFERROR(__xludf.DUMMYFUNCTION("""COMPUTED_VALUE"""),"+221 77 253 01 99")</f>
        <v>+221 77 253 01 99</v>
      </c>
      <c r="Y563" s="1"/>
      <c r="Z563" s="1"/>
      <c r="AA563" s="1"/>
      <c r="AB563" s="2">
        <f ca="1">IFERROR(__xludf.DUMMYFUNCTION("""COMPUTED_VALUE"""),29565)</f>
        <v>29565</v>
      </c>
      <c r="AC563" s="2">
        <f ca="1">IFERROR(__xludf.DUMMYFUNCTION("""COMPUTED_VALUE"""),29857)</f>
        <v>29857</v>
      </c>
      <c r="AD563" s="1" t="str">
        <f ca="1">IFERROR(__xludf.DUMMYFUNCTION("""COMPUTED_VALUE"""),"PERE")</f>
        <v>PERE</v>
      </c>
      <c r="AE563" s="1" t="str">
        <f ca="1">IFERROR(__xludf.DUMMYFUNCTION("""COMPUTED_VALUE"""),"MERE")</f>
        <v>MERE</v>
      </c>
      <c r="AF563" s="1" t="str">
        <f ca="1">IFERROR(__xludf.DUMMYFUNCTION("""COMPUTED_VALUE"""),"TURQUIE")</f>
        <v>TURQUIE</v>
      </c>
      <c r="AG563" s="1" t="str">
        <f ca="1">IFERROR(__xludf.DUMMYFUNCTION("""COMPUTED_VALUE"""),"TURQUIE")</f>
        <v>TURQUIE</v>
      </c>
      <c r="AH563" s="1"/>
      <c r="AI563" s="1"/>
      <c r="AJ563" s="1" t="str">
        <f ca="1">IFERROR(__xludf.DUMMYFUNCTION("""COMPUTED_VALUE"""),"F1573")</f>
        <v>F1573</v>
      </c>
      <c r="AK563" s="1" t="str">
        <f ca="1">IFERROR(__xludf.DUMMYFUNCTION("""COMPUTED_VALUE"""),"Marié(e)")</f>
        <v>Marié(e)</v>
      </c>
      <c r="AL563" s="1" t="str">
        <f ca="1">IFERROR(__xludf.DUMMYFUNCTION("""COMPUTED_VALUE"""),"Marié(e)")</f>
        <v>Marié(e)</v>
      </c>
      <c r="AM563" s="1" t="str">
        <f ca="1">IFERROR(__xludf.DUMMYFUNCTION("""COMPUTED_VALUE"""),"F1573")</f>
        <v>F1573</v>
      </c>
    </row>
    <row r="564" spans="1:39" ht="13" x14ac:dyDescent="0.15">
      <c r="A564" s="1" t="str">
        <f ca="1">IFERROR(__xludf.DUMMYFUNCTION("""COMPUTED_VALUE"""),"SERVATE Cléïs Solange Irène")</f>
        <v>SERVATE Cléïs Solange Irène</v>
      </c>
      <c r="B564" s="1" t="str">
        <f ca="1">IFERROR(__xludf.DUMMYFUNCTION("""COMPUTED_VALUE"""),"SERVATE")</f>
        <v>SERVATE</v>
      </c>
      <c r="C564" s="1" t="str">
        <f ca="1">IFERROR(__xludf.DUMMYFUNCTION("""COMPUTED_VALUE"""),"Cléïs Solange Irène")</f>
        <v>Cléïs Solange Irène</v>
      </c>
      <c r="D564" s="1" t="str">
        <f ca="1">IFERROR(__xludf.DUMMYFUNCTION("""COMPUTED_VALUE"""),"1574E1")</f>
        <v>1574E1</v>
      </c>
      <c r="E564" s="2">
        <f ca="1">IFERROR(__xludf.DUMMYFUNCTION("""COMPUTED_VALUE"""),40089)</f>
        <v>40089</v>
      </c>
      <c r="F564" s="1" t="str">
        <f ca="1">IFERROR(__xludf.DUMMYFUNCTION("""COMPUTED_VALUE"""),"2NDE1 COOP")</f>
        <v>2NDE1 COOP</v>
      </c>
      <c r="G564" s="1" t="str">
        <f ca="1">IFERROR(__xludf.DUMMYFUNCTION("""COMPUTED_VALUE"""),"2nde")</f>
        <v>2nde</v>
      </c>
      <c r="H564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564" s="1" t="str">
        <f ca="1">IFERROR(__xludf.DUMMYFUNCTION("""COMPUTED_VALUE"""),"LVA Anglais")</f>
        <v>LVA Anglais</v>
      </c>
      <c r="J564" s="1" t="str">
        <f ca="1">IFERROR(__xludf.DUMMYFUNCTION("""COMPUTED_VALUE"""),"LVB Espagnol")</f>
        <v>LVB Espagnol</v>
      </c>
      <c r="K564" s="1"/>
      <c r="L564" s="1"/>
      <c r="M564" s="1"/>
      <c r="N564" s="1" t="str">
        <f ca="1">IFERROR(__xludf.DUMMYFUNCTION("""COMPUTED_VALUE"""),"Fille")</f>
        <v>Fille</v>
      </c>
      <c r="O564" s="1"/>
      <c r="P564" s="1" t="str">
        <f ca="1">IFERROR(__xludf.DUMMYFUNCTION("""COMPUTED_VALUE"""),"FRANCE")</f>
        <v>FRANCE</v>
      </c>
      <c r="Q564" s="1"/>
      <c r="R564" s="1" t="str">
        <f ca="1">IFERROR(__xludf.DUMMYFUNCTION("""COMPUTED_VALUE"""),"cleis.servate@lfjpsaly.org")</f>
        <v>cleis.servate@lfjpsaly.org</v>
      </c>
      <c r="S564" s="1" t="str">
        <f ca="1">IFERROR(__xludf.DUMMYFUNCTION("""COMPUTED_VALUE"""),"+221 77 458 09 50")</f>
        <v>+221 77 458 09 50</v>
      </c>
      <c r="T564" s="1" t="str">
        <f ca="1">IFERROR(__xludf.DUMMYFUNCTION("""COMPUTED_VALUE"""),"SERVATE Samuel")</f>
        <v>SERVATE Samuel</v>
      </c>
      <c r="U564" s="1" t="str">
        <f ca="1">IFERROR(__xludf.DUMMYFUNCTION("""COMPUTED_VALUE"""),"SERVATE Marlène")</f>
        <v>SERVATE Marlène</v>
      </c>
      <c r="V564" s="1" t="str">
        <f ca="1">IFERROR(__xludf.DUMMYFUNCTION("""COMPUTED_VALUE"""),"samulejardinier@hotmail.com")</f>
        <v>samulejardinier@hotmail.com</v>
      </c>
      <c r="W564" s="1" t="str">
        <f ca="1">IFERROR(__xludf.DUMMYFUNCTION("""COMPUTED_VALUE"""),"marlene.services@hotmail.com")</f>
        <v>marlene.services@hotmail.com</v>
      </c>
      <c r="X564" s="1" t="str">
        <f ca="1">IFERROR(__xludf.DUMMYFUNCTION("""COMPUTED_VALUE"""),"+221 77 384 93 84")</f>
        <v>+221 77 384 93 84</v>
      </c>
      <c r="Y564" s="1" t="str">
        <f ca="1">IFERROR(__xludf.DUMMYFUNCTION("""COMPUTED_VALUE"""),"+221 77 713 75 27")</f>
        <v>+221 77 713 75 27</v>
      </c>
      <c r="Z564" s="1"/>
      <c r="AA564" s="1"/>
      <c r="AB564" s="2">
        <f ca="1">IFERROR(__xludf.DUMMYFUNCTION("""COMPUTED_VALUE"""),28346)</f>
        <v>28346</v>
      </c>
      <c r="AC564" s="2">
        <f ca="1">IFERROR(__xludf.DUMMYFUNCTION("""COMPUTED_VALUE"""),29307)</f>
        <v>29307</v>
      </c>
      <c r="AD564" s="1" t="str">
        <f ca="1">IFERROR(__xludf.DUMMYFUNCTION("""COMPUTED_VALUE"""),"PERE")</f>
        <v>PERE</v>
      </c>
      <c r="AE564" s="1" t="str">
        <f ca="1">IFERROR(__xludf.DUMMYFUNCTION("""COMPUTED_VALUE"""),"MERE")</f>
        <v>MERE</v>
      </c>
      <c r="AF564" s="1" t="str">
        <f ca="1">IFERROR(__xludf.DUMMYFUNCTION("""COMPUTED_VALUE"""),"FRANCE")</f>
        <v>FRANCE</v>
      </c>
      <c r="AG564" s="1" t="str">
        <f ca="1">IFERROR(__xludf.DUMMYFUNCTION("""COMPUTED_VALUE"""),"FRANCE")</f>
        <v>FRANCE</v>
      </c>
      <c r="AH564" s="1"/>
      <c r="AI564" s="1"/>
      <c r="AJ564" s="1" t="str">
        <f ca="1">IFERROR(__xludf.DUMMYFUNCTION("""COMPUTED_VALUE"""),"F1574")</f>
        <v>F1574</v>
      </c>
      <c r="AK564" s="1" t="str">
        <f ca="1">IFERROR(__xludf.DUMMYFUNCTION("""COMPUTED_VALUE"""),"Marié(e)")</f>
        <v>Marié(e)</v>
      </c>
      <c r="AL564" s="1" t="str">
        <f ca="1">IFERROR(__xludf.DUMMYFUNCTION("""COMPUTED_VALUE"""),"Marié(e)")</f>
        <v>Marié(e)</v>
      </c>
      <c r="AM564" s="1" t="str">
        <f ca="1">IFERROR(__xludf.DUMMYFUNCTION("""COMPUTED_VALUE"""),"F1574")</f>
        <v>F1574</v>
      </c>
    </row>
    <row r="565" spans="1:39" ht="13" x14ac:dyDescent="0.15">
      <c r="A565" s="1" t="str">
        <f ca="1">IFERROR(__xludf.DUMMYFUNCTION("""COMPUTED_VALUE"""),"SIANKAM TIENTCHEU Marie-Laurence")</f>
        <v>SIANKAM TIENTCHEU Marie-Laurence</v>
      </c>
      <c r="B565" s="1" t="str">
        <f ca="1">IFERROR(__xludf.DUMMYFUNCTION("""COMPUTED_VALUE"""),"SIANKAM TIENTCHEU")</f>
        <v>SIANKAM TIENTCHEU</v>
      </c>
      <c r="C565" s="1" t="str">
        <f ca="1">IFERROR(__xludf.DUMMYFUNCTION("""COMPUTED_VALUE"""),"Marie-Laurence")</f>
        <v>Marie-Laurence</v>
      </c>
      <c r="D565" s="1" t="str">
        <f ca="1">IFERROR(__xludf.DUMMYFUNCTION("""COMPUTED_VALUE"""),"11755S2471")</f>
        <v>11755S2471</v>
      </c>
      <c r="E565" s="2">
        <f ca="1">IFERROR(__xludf.DUMMYFUNCTION("""COMPUTED_VALUE"""),44593)</f>
        <v>44593</v>
      </c>
      <c r="F565" s="1" t="str">
        <f ca="1">IFERROR(__xludf.DUMMYFUNCTION("""COMPUTED_VALUE"""),"Mat 1")</f>
        <v>Mat 1</v>
      </c>
      <c r="G565" s="1" t="str">
        <f ca="1">IFERROR(__xludf.DUMMYFUNCTION("""COMPUTED_VALUE"""),"PS")</f>
        <v>PS</v>
      </c>
      <c r="H565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565" s="1"/>
      <c r="J565" s="1"/>
      <c r="K565" s="1"/>
      <c r="L565" s="1"/>
      <c r="M565" s="1"/>
      <c r="N565" s="1" t="str">
        <f ca="1">IFERROR(__xludf.DUMMYFUNCTION("""COMPUTED_VALUE"""),"Fille")</f>
        <v>Fille</v>
      </c>
      <c r="O565" s="1"/>
      <c r="P565" s="1" t="str">
        <f ca="1">IFERROR(__xludf.DUMMYFUNCTION("""COMPUTED_VALUE"""),"SENEGAL")</f>
        <v>SENEGAL</v>
      </c>
      <c r="Q565" s="1"/>
      <c r="R565" s="1"/>
      <c r="S565" s="1" t="str">
        <f ca="1">IFERROR(__xludf.DUMMYFUNCTION("""COMPUTED_VALUE"""),"+221")</f>
        <v>+221</v>
      </c>
      <c r="T565" s="1" t="str">
        <f ca="1">IFERROR(__xludf.DUMMYFUNCTION("""COMPUTED_VALUE"""),"SIANKAM Roger")</f>
        <v>SIANKAM Roger</v>
      </c>
      <c r="U565" s="1" t="str">
        <f ca="1">IFERROR(__xludf.DUMMYFUNCTION("""COMPUTED_VALUE"""),"NGOM Jeanne Fatou")</f>
        <v>NGOM Jeanne Fatou</v>
      </c>
      <c r="V565" s="1" t="str">
        <f ca="1">IFERROR(__xludf.DUMMYFUNCTION("""COMPUTED_VALUE"""),"siankamroger@gmail.com")</f>
        <v>siankamroger@gmail.com</v>
      </c>
      <c r="W565" s="1" t="str">
        <f ca="1">IFERROR(__xludf.DUMMYFUNCTION("""COMPUTED_VALUE"""),"jeannefatou1996@gmail.com")</f>
        <v>jeannefatou1996@gmail.com</v>
      </c>
      <c r="X565" s="1" t="str">
        <f ca="1">IFERROR(__xludf.DUMMYFUNCTION("""COMPUTED_VALUE"""),"+221 77 808 59 10")</f>
        <v>+221 77 808 59 10</v>
      </c>
      <c r="Y565" s="1" t="str">
        <f ca="1">IFERROR(__xludf.DUMMYFUNCTION("""COMPUTED_VALUE"""),"+221 77 824 12 58")</f>
        <v>+221 77 824 12 58</v>
      </c>
      <c r="Z565" s="1" t="str">
        <f ca="1">IFERROR(__xludf.DUMMYFUNCTION("""COMPUTED_VALUE"""),"+221 77 808 59 10")</f>
        <v>+221 77 808 59 10</v>
      </c>
      <c r="AA565" s="1" t="str">
        <f ca="1">IFERROR(__xludf.DUMMYFUNCTION("""COMPUTED_VALUE"""),"+221 77 824 12 58")</f>
        <v>+221 77 824 12 58</v>
      </c>
      <c r="AB565" s="2">
        <f ca="1">IFERROR(__xludf.DUMMYFUNCTION("""COMPUTED_VALUE"""),24216)</f>
        <v>24216</v>
      </c>
      <c r="AC565" s="2">
        <f ca="1">IFERROR(__xludf.DUMMYFUNCTION("""COMPUTED_VALUE"""),35426)</f>
        <v>35426</v>
      </c>
      <c r="AD565" s="1" t="str">
        <f ca="1">IFERROR(__xludf.DUMMYFUNCTION("""COMPUTED_VALUE"""),"PERE")</f>
        <v>PERE</v>
      </c>
      <c r="AE565" s="1" t="str">
        <f ca="1">IFERROR(__xludf.DUMMYFUNCTION("""COMPUTED_VALUE"""),"MERE")</f>
        <v>MERE</v>
      </c>
      <c r="AF565" s="1" t="str">
        <f ca="1">IFERROR(__xludf.DUMMYFUNCTION("""COMPUTED_VALUE"""),"FRANCE")</f>
        <v>FRANCE</v>
      </c>
      <c r="AG565" s="1" t="str">
        <f ca="1">IFERROR(__xludf.DUMMYFUNCTION("""COMPUTED_VALUE"""),"SENEGAL")</f>
        <v>SENEGAL</v>
      </c>
      <c r="AH565" s="1"/>
      <c r="AI565" s="1"/>
      <c r="AJ565" s="1" t="str">
        <f ca="1">IFERROR(__xludf.DUMMYFUNCTION("""COMPUTED_VALUE"""),"U11755")</f>
        <v>U11755</v>
      </c>
      <c r="AK565" s="1" t="str">
        <f ca="1">IFERROR(__xludf.DUMMYFUNCTION("""COMPUTED_VALUE"""),"Marié(e)")</f>
        <v>Marié(e)</v>
      </c>
      <c r="AL565" s="1" t="str">
        <f ca="1">IFERROR(__xludf.DUMMYFUNCTION("""COMPUTED_VALUE"""),"Marié(e)")</f>
        <v>Marié(e)</v>
      </c>
      <c r="AM565" s="1" t="str">
        <f ca="1">IFERROR(__xludf.DUMMYFUNCTION("""COMPUTED_VALUE"""),"U11755")</f>
        <v>U11755</v>
      </c>
    </row>
    <row r="566" spans="1:39" ht="13" x14ac:dyDescent="0.15">
      <c r="A566" s="1" t="str">
        <f ca="1">IFERROR(__xludf.DUMMYFUNCTION("""COMPUTED_VALUE"""),"SIDHOUM Anas")</f>
        <v>SIDHOUM Anas</v>
      </c>
      <c r="B566" s="1" t="str">
        <f ca="1">IFERROR(__xludf.DUMMYFUNCTION("""COMPUTED_VALUE"""),"SIDHOUM")</f>
        <v>SIDHOUM</v>
      </c>
      <c r="C566" s="1" t="str">
        <f ca="1">IFERROR(__xludf.DUMMYFUNCTION("""COMPUTED_VALUE"""),"Anas")</f>
        <v>Anas</v>
      </c>
      <c r="D566" s="1" t="str">
        <f ca="1">IFERROR(__xludf.DUMMYFUNCTION("""COMPUTED_VALUE"""),"1576E1")</f>
        <v>1576E1</v>
      </c>
      <c r="E566" s="2">
        <f ca="1">IFERROR(__xludf.DUMMYFUNCTION("""COMPUTED_VALUE"""),39511)</f>
        <v>39511</v>
      </c>
      <c r="F566" s="1" t="str">
        <f ca="1">IFERROR(__xludf.DUMMYFUNCTION("""COMPUTED_VALUE"""),"TERMINALE1")</f>
        <v>TERMINALE1</v>
      </c>
      <c r="G566" s="1" t="str">
        <f ca="1">IFERROR(__xludf.DUMMYFUNCTION("""COMPUTED_VALUE"""),"Terminale")</f>
        <v>Terminale</v>
      </c>
      <c r="H566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566" s="1" t="str">
        <f ca="1">IFERROR(__xludf.DUMMYFUNCTION("""COMPUTED_VALUE"""),"LVA Anglais")</f>
        <v>LVA Anglais</v>
      </c>
      <c r="J566" s="1" t="str">
        <f ca="1">IFERROR(__xludf.DUMMYFUNCTION("""COMPUTED_VALUE"""),"LVB Espagnol")</f>
        <v>LVB Espagnol</v>
      </c>
      <c r="K566" s="1"/>
      <c r="L566" s="1"/>
      <c r="M566" s="1" t="str">
        <f ca="1">IFERROR(__xludf.DUMMYFUNCTION("""COMPUTED_VALUE"""),"SPE MATHS, SPE SPC")</f>
        <v>SPE MATHS, SPE SPC</v>
      </c>
      <c r="N566" s="1" t="str">
        <f ca="1">IFERROR(__xludf.DUMMYFUNCTION("""COMPUTED_VALUE"""),"Garçon")</f>
        <v>Garçon</v>
      </c>
      <c r="O566" s="1"/>
      <c r="P566" s="1" t="str">
        <f ca="1">IFERROR(__xludf.DUMMYFUNCTION("""COMPUTED_VALUE"""),"MAROC")</f>
        <v>MAROC</v>
      </c>
      <c r="Q566" s="1"/>
      <c r="R566" s="1" t="str">
        <f ca="1">IFERROR(__xludf.DUMMYFUNCTION("""COMPUTED_VALUE"""),"anas.sidhoum@lfjpsaly.org")</f>
        <v>anas.sidhoum@lfjpsaly.org</v>
      </c>
      <c r="S566" s="1"/>
      <c r="T566" s="1" t="str">
        <f ca="1">IFERROR(__xludf.DUMMYFUNCTION("""COMPUTED_VALUE"""),"SIDHOUM Nassim")</f>
        <v>SIDHOUM Nassim</v>
      </c>
      <c r="U566" s="1" t="str">
        <f ca="1">IFERROR(__xludf.DUMMYFUNCTION("""COMPUTED_VALUE"""),"BOUAM Sana")</f>
        <v>BOUAM Sana</v>
      </c>
      <c r="V566" s="1" t="str">
        <f ca="1">IFERROR(__xludf.DUMMYFUNCTION("""COMPUTED_VALUE"""),"nassim.sidhoum@gmail.com")</f>
        <v>nassim.sidhoum@gmail.com</v>
      </c>
      <c r="W566" s="1" t="str">
        <f ca="1">IFERROR(__xludf.DUMMYFUNCTION("""COMPUTED_VALUE"""),"sana.bouam@gmail.com")</f>
        <v>sana.bouam@gmail.com</v>
      </c>
      <c r="X566" s="1" t="str">
        <f ca="1">IFERROR(__xludf.DUMMYFUNCTION("""COMPUTED_VALUE"""),"+221 78 750 22 43")</f>
        <v>+221 78 750 22 43</v>
      </c>
      <c r="Y566" s="1" t="str">
        <f ca="1">IFERROR(__xludf.DUMMYFUNCTION("""COMPUTED_VALUE"""),"+221 78 750 22 43")</f>
        <v>+221 78 750 22 43</v>
      </c>
      <c r="Z566" s="1" t="str">
        <f ca="1">IFERROR(__xludf.DUMMYFUNCTION("""COMPUTED_VALUE"""),"+221")</f>
        <v>+221</v>
      </c>
      <c r="AA566" s="1" t="str">
        <f ca="1">IFERROR(__xludf.DUMMYFUNCTION("""COMPUTED_VALUE"""),"+221")</f>
        <v>+221</v>
      </c>
      <c r="AB566" s="2">
        <f ca="1">IFERROR(__xludf.DUMMYFUNCTION("""COMPUTED_VALUE"""),28206)</f>
        <v>28206</v>
      </c>
      <c r="AC566" s="2">
        <f ca="1">IFERROR(__xludf.DUMMYFUNCTION("""COMPUTED_VALUE"""),29430)</f>
        <v>29430</v>
      </c>
      <c r="AD566" s="1" t="str">
        <f ca="1">IFERROR(__xludf.DUMMYFUNCTION("""COMPUTED_VALUE"""),"PERE")</f>
        <v>PERE</v>
      </c>
      <c r="AE566" s="1" t="str">
        <f ca="1">IFERROR(__xludf.DUMMYFUNCTION("""COMPUTED_VALUE"""),"MERE")</f>
        <v>MERE</v>
      </c>
      <c r="AF566" s="1" t="str">
        <f ca="1">IFERROR(__xludf.DUMMYFUNCTION("""COMPUTED_VALUE"""),"MAROC")</f>
        <v>MAROC</v>
      </c>
      <c r="AG566" s="1" t="str">
        <f ca="1">IFERROR(__xludf.DUMMYFUNCTION("""COMPUTED_VALUE"""),"MAROC")</f>
        <v>MAROC</v>
      </c>
      <c r="AH566" s="1"/>
      <c r="AI566" s="1"/>
      <c r="AJ566" s="1" t="str">
        <f ca="1">IFERROR(__xludf.DUMMYFUNCTION("""COMPUTED_VALUE"""),"F1576")</f>
        <v>F1576</v>
      </c>
      <c r="AK566" s="1" t="str">
        <f ca="1">IFERROR(__xludf.DUMMYFUNCTION("""COMPUTED_VALUE"""),"Marié(e)")</f>
        <v>Marié(e)</v>
      </c>
      <c r="AL566" s="1" t="str">
        <f ca="1">IFERROR(__xludf.DUMMYFUNCTION("""COMPUTED_VALUE"""),"Marié(e)")</f>
        <v>Marié(e)</v>
      </c>
      <c r="AM566" s="1" t="str">
        <f ca="1">IFERROR(__xludf.DUMMYFUNCTION("""COMPUTED_VALUE"""),"F1576")</f>
        <v>F1576</v>
      </c>
    </row>
    <row r="567" spans="1:39" ht="13" x14ac:dyDescent="0.15">
      <c r="A567" s="1" t="str">
        <f ca="1">IFERROR(__xludf.DUMMYFUNCTION("""COMPUTED_VALUE"""),"SIDHOUM Ziyad")</f>
        <v>SIDHOUM Ziyad</v>
      </c>
      <c r="B567" s="1" t="str">
        <f ca="1">IFERROR(__xludf.DUMMYFUNCTION("""COMPUTED_VALUE"""),"SIDHOUM")</f>
        <v>SIDHOUM</v>
      </c>
      <c r="C567" s="1" t="str">
        <f ca="1">IFERROR(__xludf.DUMMYFUNCTION("""COMPUTED_VALUE"""),"Ziyad")</f>
        <v>Ziyad</v>
      </c>
      <c r="D567" s="1" t="str">
        <f ca="1">IFERROR(__xludf.DUMMYFUNCTION("""COMPUTED_VALUE"""),"1577E1")</f>
        <v>1577E1</v>
      </c>
      <c r="E567" s="2">
        <f ca="1">IFERROR(__xludf.DUMMYFUNCTION("""COMPUTED_VALUE"""),41341)</f>
        <v>41341</v>
      </c>
      <c r="F567" s="1" t="str">
        <f ca="1">IFERROR(__xludf.DUMMYFUNCTION("""COMPUTED_VALUE"""),"4EME1")</f>
        <v>4EME1</v>
      </c>
      <c r="G567" s="1" t="str">
        <f ca="1">IFERROR(__xludf.DUMMYFUNCTION("""COMPUTED_VALUE"""),"4ème")</f>
        <v>4ème</v>
      </c>
      <c r="H567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567" s="1" t="str">
        <f ca="1">IFERROR(__xludf.DUMMYFUNCTION("""COMPUTED_VALUE"""),"LVA Anglais")</f>
        <v>LVA Anglais</v>
      </c>
      <c r="J567" s="1" t="str">
        <f ca="1">IFERROR(__xludf.DUMMYFUNCTION("""COMPUTED_VALUE"""),"LVB Espagnol")</f>
        <v>LVB Espagnol</v>
      </c>
      <c r="K567" s="1"/>
      <c r="L567" s="1"/>
      <c r="M567" s="1"/>
      <c r="N567" s="1" t="str">
        <f ca="1">IFERROR(__xludf.DUMMYFUNCTION("""COMPUTED_VALUE"""),"Garçon")</f>
        <v>Garçon</v>
      </c>
      <c r="O567" s="1"/>
      <c r="P567" s="1" t="str">
        <f ca="1">IFERROR(__xludf.DUMMYFUNCTION("""COMPUTED_VALUE"""),"MAROC")</f>
        <v>MAROC</v>
      </c>
      <c r="Q567" s="1"/>
      <c r="R567" s="1" t="str">
        <f ca="1">IFERROR(__xludf.DUMMYFUNCTION("""COMPUTED_VALUE"""),"ziyad.sidhoum@lfjpsaly.org")</f>
        <v>ziyad.sidhoum@lfjpsaly.org</v>
      </c>
      <c r="S567" s="1"/>
      <c r="T567" s="1" t="str">
        <f ca="1">IFERROR(__xludf.DUMMYFUNCTION("""COMPUTED_VALUE"""),"SIDHOUM Nassim")</f>
        <v>SIDHOUM Nassim</v>
      </c>
      <c r="U567" s="1" t="str">
        <f ca="1">IFERROR(__xludf.DUMMYFUNCTION("""COMPUTED_VALUE"""),"BOUAM Sana")</f>
        <v>BOUAM Sana</v>
      </c>
      <c r="V567" s="1" t="str">
        <f ca="1">IFERROR(__xludf.DUMMYFUNCTION("""COMPUTED_VALUE"""),"nassim.sidhoum@gmail.com")</f>
        <v>nassim.sidhoum@gmail.com</v>
      </c>
      <c r="W567" s="1" t="str">
        <f ca="1">IFERROR(__xludf.DUMMYFUNCTION("""COMPUTED_VALUE"""),"sana.bouam@gmail.com")</f>
        <v>sana.bouam@gmail.com</v>
      </c>
      <c r="X567" s="1" t="str">
        <f ca="1">IFERROR(__xludf.DUMMYFUNCTION("""COMPUTED_VALUE"""),"+221 78 750 22 43")</f>
        <v>+221 78 750 22 43</v>
      </c>
      <c r="Y567" s="1" t="str">
        <f ca="1">IFERROR(__xludf.DUMMYFUNCTION("""COMPUTED_VALUE"""),"+221 78 750 22 43")</f>
        <v>+221 78 750 22 43</v>
      </c>
      <c r="Z567" s="1" t="str">
        <f ca="1">IFERROR(__xludf.DUMMYFUNCTION("""COMPUTED_VALUE"""),"+221")</f>
        <v>+221</v>
      </c>
      <c r="AA567" s="1" t="str">
        <f ca="1">IFERROR(__xludf.DUMMYFUNCTION("""COMPUTED_VALUE"""),"+221")</f>
        <v>+221</v>
      </c>
      <c r="AB567" s="2">
        <f ca="1">IFERROR(__xludf.DUMMYFUNCTION("""COMPUTED_VALUE"""),28206)</f>
        <v>28206</v>
      </c>
      <c r="AC567" s="2">
        <f ca="1">IFERROR(__xludf.DUMMYFUNCTION("""COMPUTED_VALUE"""),29430)</f>
        <v>29430</v>
      </c>
      <c r="AD567" s="1" t="str">
        <f ca="1">IFERROR(__xludf.DUMMYFUNCTION("""COMPUTED_VALUE"""),"PERE")</f>
        <v>PERE</v>
      </c>
      <c r="AE567" s="1" t="str">
        <f ca="1">IFERROR(__xludf.DUMMYFUNCTION("""COMPUTED_VALUE"""),"MERE")</f>
        <v>MERE</v>
      </c>
      <c r="AF567" s="1" t="str">
        <f ca="1">IFERROR(__xludf.DUMMYFUNCTION("""COMPUTED_VALUE"""),"MAROC")</f>
        <v>MAROC</v>
      </c>
      <c r="AG567" s="1" t="str">
        <f ca="1">IFERROR(__xludf.DUMMYFUNCTION("""COMPUTED_VALUE"""),"MAROC")</f>
        <v>MAROC</v>
      </c>
      <c r="AH567" s="1"/>
      <c r="AI567" s="1"/>
      <c r="AJ567" s="1" t="str">
        <f ca="1">IFERROR(__xludf.DUMMYFUNCTION("""COMPUTED_VALUE"""),"F1576")</f>
        <v>F1576</v>
      </c>
      <c r="AK567" s="1" t="str">
        <f ca="1">IFERROR(__xludf.DUMMYFUNCTION("""COMPUTED_VALUE"""),"Marié(e)")</f>
        <v>Marié(e)</v>
      </c>
      <c r="AL567" s="1" t="str">
        <f ca="1">IFERROR(__xludf.DUMMYFUNCTION("""COMPUTED_VALUE"""),"Marié(e)")</f>
        <v>Marié(e)</v>
      </c>
      <c r="AM567" s="1" t="str">
        <f ca="1">IFERROR(__xludf.DUMMYFUNCTION("""COMPUTED_VALUE"""),"F1576")</f>
        <v>F1576</v>
      </c>
    </row>
    <row r="568" spans="1:39" ht="13" x14ac:dyDescent="0.15">
      <c r="A568" s="1" t="str">
        <f ca="1">IFERROR(__xludf.DUMMYFUNCTION("""COMPUTED_VALUE"""),"SIMON Daniel")</f>
        <v>SIMON Daniel</v>
      </c>
      <c r="B568" s="1" t="str">
        <f ca="1">IFERROR(__xludf.DUMMYFUNCTION("""COMPUTED_VALUE"""),"SIMON")</f>
        <v>SIMON</v>
      </c>
      <c r="C568" s="1" t="str">
        <f ca="1">IFERROR(__xludf.DUMMYFUNCTION("""COMPUTED_VALUE"""),"Daniel")</f>
        <v>Daniel</v>
      </c>
      <c r="D568" s="1" t="str">
        <f ca="1">IFERROR(__xludf.DUMMYFUNCTION("""COMPUTED_VALUE"""),"1578E1")</f>
        <v>1578E1</v>
      </c>
      <c r="E568" s="2">
        <f ca="1">IFERROR(__xludf.DUMMYFUNCTION("""COMPUTED_VALUE"""),40289)</f>
        <v>40289</v>
      </c>
      <c r="F568" s="1" t="str">
        <f ca="1">IFERROR(__xludf.DUMMYFUNCTION("""COMPUTED_VALUE"""),"2NDE2")</f>
        <v>2NDE2</v>
      </c>
      <c r="G568" s="1" t="str">
        <f ca="1">IFERROR(__xludf.DUMMYFUNCTION("""COMPUTED_VALUE"""),"2nde")</f>
        <v>2nde</v>
      </c>
      <c r="H568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568" s="1" t="str">
        <f ca="1">IFERROR(__xludf.DUMMYFUNCTION("""COMPUTED_VALUE"""),"LVA Anglais")</f>
        <v>LVA Anglais</v>
      </c>
      <c r="J568" s="1" t="str">
        <f ca="1">IFERROR(__xludf.DUMMYFUNCTION("""COMPUTED_VALUE"""),"LVB Espagnol")</f>
        <v>LVB Espagnol</v>
      </c>
      <c r="K568" s="1"/>
      <c r="L568" s="1"/>
      <c r="M568" s="1"/>
      <c r="N568" s="1" t="str">
        <f ca="1">IFERROR(__xludf.DUMMYFUNCTION("""COMPUTED_VALUE"""),"Garçon")</f>
        <v>Garçon</v>
      </c>
      <c r="O568" s="1"/>
      <c r="P568" s="1" t="str">
        <f ca="1">IFERROR(__xludf.DUMMYFUNCTION("""COMPUTED_VALUE"""),"FRANCE")</f>
        <v>FRANCE</v>
      </c>
      <c r="Q568" s="1" t="str">
        <f ca="1">IFERROR(__xludf.DUMMYFUNCTION("""COMPUTED_VALUE"""),"SENEGAL")</f>
        <v>SENEGAL</v>
      </c>
      <c r="R568" s="1" t="str">
        <f ca="1">IFERROR(__xludf.DUMMYFUNCTION("""COMPUTED_VALUE"""),"daniel.simon@lfjpsaly.org")</f>
        <v>daniel.simon@lfjpsaly.org</v>
      </c>
      <c r="S568" s="1" t="str">
        <f ca="1">IFERROR(__xludf.DUMMYFUNCTION("""COMPUTED_VALUE"""),"+221 77 122 19 71")</f>
        <v>+221 77 122 19 71</v>
      </c>
      <c r="T568" s="1" t="str">
        <f ca="1">IFERROR(__xludf.DUMMYFUNCTION("""COMPUTED_VALUE"""),"SIMON Seynabou")</f>
        <v>SIMON Seynabou</v>
      </c>
      <c r="U568" s="1" t="str">
        <f ca="1">IFERROR(__xludf.DUMMYFUNCTION("""COMPUTED_VALUE"""),"SIMON Patrick Robert Joseph")</f>
        <v>SIMON Patrick Robert Joseph</v>
      </c>
      <c r="V568" s="1" t="str">
        <f ca="1">IFERROR(__xludf.DUMMYFUNCTION("""COMPUTED_VALUE"""),"zzrobion@hotmail.com")</f>
        <v>zzrobion@hotmail.com</v>
      </c>
      <c r="W568" s="1" t="str">
        <f ca="1">IFERROR(__xludf.DUMMYFUNCTION("""COMPUTED_VALUE"""),"zzrobion@hotmail.com")</f>
        <v>zzrobion@hotmail.com</v>
      </c>
      <c r="X568" s="1" t="str">
        <f ca="1">IFERROR(__xludf.DUMMYFUNCTION("""COMPUTED_VALUE"""),"+221 77 729 17 61")</f>
        <v>+221 77 729 17 61</v>
      </c>
      <c r="Y568" s="1" t="str">
        <f ca="1">IFERROR(__xludf.DUMMYFUNCTION("""COMPUTED_VALUE"""),"+221 33 958 58 18")</f>
        <v>+221 33 958 58 18</v>
      </c>
      <c r="Z568" s="1"/>
      <c r="AA568" s="1" t="str">
        <f ca="1">IFERROR(__xludf.DUMMYFUNCTION("""COMPUTED_VALUE"""),"+33 6 03 28 93 63")</f>
        <v>+33 6 03 28 93 63</v>
      </c>
      <c r="AB568" s="2">
        <f ca="1">IFERROR(__xludf.DUMMYFUNCTION("""COMPUTED_VALUE"""),26341)</f>
        <v>26341</v>
      </c>
      <c r="AC568" s="2">
        <f ca="1">IFERROR(__xludf.DUMMYFUNCTION("""COMPUTED_VALUE"""),20611)</f>
        <v>20611</v>
      </c>
      <c r="AD568" s="1" t="str">
        <f ca="1">IFERROR(__xludf.DUMMYFUNCTION("""COMPUTED_VALUE"""),"MERE")</f>
        <v>MERE</v>
      </c>
      <c r="AE568" s="1" t="str">
        <f ca="1">IFERROR(__xludf.DUMMYFUNCTION("""COMPUTED_VALUE"""),"PERE")</f>
        <v>PERE</v>
      </c>
      <c r="AF568" s="1" t="str">
        <f ca="1">IFERROR(__xludf.DUMMYFUNCTION("""COMPUTED_VALUE"""),"SENEGAL")</f>
        <v>SENEGAL</v>
      </c>
      <c r="AG568" s="1" t="str">
        <f ca="1">IFERROR(__xludf.DUMMYFUNCTION("""COMPUTED_VALUE"""),"FRANCE")</f>
        <v>FRANCE</v>
      </c>
      <c r="AH568" s="1" t="str">
        <f ca="1">IFERROR(__xludf.DUMMYFUNCTION("""COMPUTED_VALUE"""),"FRANCE")</f>
        <v>FRANCE</v>
      </c>
      <c r="AI568" s="1"/>
      <c r="AJ568" s="1" t="str">
        <f ca="1">IFERROR(__xludf.DUMMYFUNCTION("""COMPUTED_VALUE"""),"F1578")</f>
        <v>F1578</v>
      </c>
      <c r="AK568" s="1" t="str">
        <f ca="1">IFERROR(__xludf.DUMMYFUNCTION("""COMPUTED_VALUE"""),"Marié(e)")</f>
        <v>Marié(e)</v>
      </c>
      <c r="AL568" s="1" t="str">
        <f ca="1">IFERROR(__xludf.DUMMYFUNCTION("""COMPUTED_VALUE"""),"Marié(e)")</f>
        <v>Marié(e)</v>
      </c>
      <c r="AM568" s="1" t="str">
        <f ca="1">IFERROR(__xludf.DUMMYFUNCTION("""COMPUTED_VALUE"""),"F1578")</f>
        <v>F1578</v>
      </c>
    </row>
    <row r="569" spans="1:39" ht="13" x14ac:dyDescent="0.15">
      <c r="A569" s="1" t="str">
        <f ca="1">IFERROR(__xludf.DUMMYFUNCTION("""COMPUTED_VALUE"""),"SNEGE Rafael")</f>
        <v>SNEGE Rafael</v>
      </c>
      <c r="B569" s="1" t="str">
        <f ca="1">IFERROR(__xludf.DUMMYFUNCTION("""COMPUTED_VALUE"""),"SNEGE")</f>
        <v>SNEGE</v>
      </c>
      <c r="C569" s="1" t="str">
        <f ca="1">IFERROR(__xludf.DUMMYFUNCTION("""COMPUTED_VALUE"""),"Rafael")</f>
        <v>Rafael</v>
      </c>
      <c r="D569" s="1" t="str">
        <f ca="1">IFERROR(__xludf.DUMMYFUNCTION("""COMPUTED_VALUE"""),"1579E1")</f>
        <v>1579E1</v>
      </c>
      <c r="E569" s="2">
        <f ca="1">IFERROR(__xludf.DUMMYFUNCTION("""COMPUTED_VALUE"""),40427)</f>
        <v>40427</v>
      </c>
      <c r="F569" s="1" t="str">
        <f ca="1">IFERROR(__xludf.DUMMYFUNCTION("""COMPUTED_VALUE"""),"2NDE1 COOP")</f>
        <v>2NDE1 COOP</v>
      </c>
      <c r="G569" s="1" t="str">
        <f ca="1">IFERROR(__xludf.DUMMYFUNCTION("""COMPUTED_VALUE"""),"2nde")</f>
        <v>2nde</v>
      </c>
      <c r="H569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569" s="1" t="str">
        <f ca="1">IFERROR(__xludf.DUMMYFUNCTION("""COMPUTED_VALUE"""),"LVA Anglais")</f>
        <v>LVA Anglais</v>
      </c>
      <c r="J569" s="1" t="str">
        <f ca="1">IFERROR(__xludf.DUMMYFUNCTION("""COMPUTED_VALUE"""),"LVB Espagnol")</f>
        <v>LVB Espagnol</v>
      </c>
      <c r="K569" s="1"/>
      <c r="L569" s="1"/>
      <c r="M569" s="1"/>
      <c r="N569" s="1" t="str">
        <f ca="1">IFERROR(__xludf.DUMMYFUNCTION("""COMPUTED_VALUE"""),"Garçon")</f>
        <v>Garçon</v>
      </c>
      <c r="O569" s="1"/>
      <c r="P569" s="1" t="str">
        <f ca="1">IFERROR(__xludf.DUMMYFUNCTION("""COMPUTED_VALUE"""),"FRANCE")</f>
        <v>FRANCE</v>
      </c>
      <c r="Q569" s="1" t="str">
        <f ca="1">IFERROR(__xludf.DUMMYFUNCTION("""COMPUTED_VALUE"""),"SENEGAL")</f>
        <v>SENEGAL</v>
      </c>
      <c r="R569" s="1" t="str">
        <f ca="1">IFERROR(__xludf.DUMMYFUNCTION("""COMPUTED_VALUE"""),"rafael.snege@lfjpsaly.org")</f>
        <v>rafael.snege@lfjpsaly.org</v>
      </c>
      <c r="S569" s="1" t="str">
        <f ca="1">IFERROR(__xludf.DUMMYFUNCTION("""COMPUTED_VALUE"""),"+221 77 205 57 61")</f>
        <v>+221 77 205 57 61</v>
      </c>
      <c r="T569" s="1" t="str">
        <f ca="1">IFERROR(__xludf.DUMMYFUNCTION("""COMPUTED_VALUE"""),"SNEGE Haifaa")</f>
        <v>SNEGE Haifaa</v>
      </c>
      <c r="U569" s="1" t="str">
        <f ca="1">IFERROR(__xludf.DUMMYFUNCTION("""COMPUTED_VALUE"""),"SNEGE Patrick")</f>
        <v>SNEGE Patrick</v>
      </c>
      <c r="V569" s="1" t="str">
        <f ca="1">IFERROR(__xludf.DUMMYFUNCTION("""COMPUTED_VALUE"""),"snegehaifa@hotmail.com")</f>
        <v>snegehaifa@hotmail.com</v>
      </c>
      <c r="W569" s="1" t="str">
        <f ca="1">IFERROR(__xludf.DUMMYFUNCTION("""COMPUTED_VALUE"""),"snegepatrick@hotmail.com")</f>
        <v>snegepatrick@hotmail.com</v>
      </c>
      <c r="X569" s="1" t="str">
        <f ca="1">IFERROR(__xludf.DUMMYFUNCTION("""COMPUTED_VALUE"""),"+221 78 441 24 72")</f>
        <v>+221 78 441 24 72</v>
      </c>
      <c r="Y569" s="1" t="str">
        <f ca="1">IFERROR(__xludf.DUMMYFUNCTION("""COMPUTED_VALUE"""),"+33 6 75 12 83 61")</f>
        <v>+33 6 75 12 83 61</v>
      </c>
      <c r="Z569" s="1" t="str">
        <f ca="1">IFERROR(__xludf.DUMMYFUNCTION("""COMPUTED_VALUE"""),"+33 7 88 25 75 37")</f>
        <v>+33 7 88 25 75 37</v>
      </c>
      <c r="AA569" s="1" t="str">
        <f ca="1">IFERROR(__xludf.DUMMYFUNCTION("""COMPUTED_VALUE"""),"+221")</f>
        <v>+221</v>
      </c>
      <c r="AB569" s="2">
        <f ca="1">IFERROR(__xludf.DUMMYFUNCTION("""COMPUTED_VALUE"""),26847)</f>
        <v>26847</v>
      </c>
      <c r="AC569" s="2">
        <f ca="1">IFERROR(__xludf.DUMMYFUNCTION("""COMPUTED_VALUE"""),25216)</f>
        <v>25216</v>
      </c>
      <c r="AD569" s="1" t="str">
        <f ca="1">IFERROR(__xludf.DUMMYFUNCTION("""COMPUTED_VALUE"""),"MERE")</f>
        <v>MERE</v>
      </c>
      <c r="AE569" s="1" t="str">
        <f ca="1">IFERROR(__xludf.DUMMYFUNCTION("""COMPUTED_VALUE"""),"PERE")</f>
        <v>PERE</v>
      </c>
      <c r="AF569" s="1" t="str">
        <f ca="1">IFERROR(__xludf.DUMMYFUNCTION("""COMPUTED_VALUE"""),"FRANCE")</f>
        <v>FRANCE</v>
      </c>
      <c r="AG569" s="1" t="str">
        <f ca="1">IFERROR(__xludf.DUMMYFUNCTION("""COMPUTED_VALUE"""),"FRANCE")</f>
        <v>FRANCE</v>
      </c>
      <c r="AH569" s="1" t="str">
        <f ca="1">IFERROR(__xludf.DUMMYFUNCTION("""COMPUTED_VALUE"""),"SENEGAL")</f>
        <v>SENEGAL</v>
      </c>
      <c r="AI569" s="1" t="str">
        <f ca="1">IFERROR(__xludf.DUMMYFUNCTION("""COMPUTED_VALUE"""),"SENEGAL")</f>
        <v>SENEGAL</v>
      </c>
      <c r="AJ569" s="1" t="str">
        <f ca="1">IFERROR(__xludf.DUMMYFUNCTION("""COMPUTED_VALUE"""),"F1579")</f>
        <v>F1579</v>
      </c>
      <c r="AK569" s="1" t="str">
        <f ca="1">IFERROR(__xludf.DUMMYFUNCTION("""COMPUTED_VALUE"""),"Marié(e)")</f>
        <v>Marié(e)</v>
      </c>
      <c r="AL569" s="1" t="str">
        <f ca="1">IFERROR(__xludf.DUMMYFUNCTION("""COMPUTED_VALUE"""),"Marié(e)")</f>
        <v>Marié(e)</v>
      </c>
      <c r="AM569" s="1" t="str">
        <f ca="1">IFERROR(__xludf.DUMMYFUNCTION("""COMPUTED_VALUE"""),"F1579")</f>
        <v>F1579</v>
      </c>
    </row>
    <row r="570" spans="1:39" ht="13" x14ac:dyDescent="0.15">
      <c r="A570" s="1" t="str">
        <f ca="1">IFERROR(__xludf.DUMMYFUNCTION("""COMPUTED_VALUE"""),"SOBLOG Oscar")</f>
        <v>SOBLOG Oscar</v>
      </c>
      <c r="B570" s="1" t="str">
        <f ca="1">IFERROR(__xludf.DUMMYFUNCTION("""COMPUTED_VALUE"""),"SOBLOG")</f>
        <v>SOBLOG</v>
      </c>
      <c r="C570" s="1" t="str">
        <f ca="1">IFERROR(__xludf.DUMMYFUNCTION("""COMPUTED_VALUE"""),"Oscar")</f>
        <v>Oscar</v>
      </c>
      <c r="D570" s="1" t="str">
        <f ca="1">IFERROR(__xludf.DUMMYFUNCTION("""COMPUTED_VALUE"""),"1580E1")</f>
        <v>1580E1</v>
      </c>
      <c r="E570" s="2">
        <f ca="1">IFERROR(__xludf.DUMMYFUNCTION("""COMPUTED_VALUE"""),39866)</f>
        <v>39866</v>
      </c>
      <c r="F570" s="1" t="str">
        <f ca="1">IFERROR(__xludf.DUMMYFUNCTION("""COMPUTED_VALUE"""),"TERMINALE1")</f>
        <v>TERMINALE1</v>
      </c>
      <c r="G570" s="1" t="str">
        <f ca="1">IFERROR(__xludf.DUMMYFUNCTION("""COMPUTED_VALUE"""),"Terminale")</f>
        <v>Terminale</v>
      </c>
      <c r="H570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570" s="1" t="str">
        <f ca="1">IFERROR(__xludf.DUMMYFUNCTION("""COMPUTED_VALUE"""),"LVA Anglais")</f>
        <v>LVA Anglais</v>
      </c>
      <c r="J570" s="1" t="str">
        <f ca="1">IFERROR(__xludf.DUMMYFUNCTION("""COMPUTED_VALUE"""),"LVB Espagnol")</f>
        <v>LVB Espagnol</v>
      </c>
      <c r="K570" s="1" t="str">
        <f ca="1">IFERROR(__xludf.DUMMYFUNCTION("""COMPUTED_VALUE"""),"MATHS COMPLEMENTAIRE")</f>
        <v>MATHS COMPLEMENTAIRE</v>
      </c>
      <c r="L570" s="1"/>
      <c r="M570" s="1" t="str">
        <f ca="1">IFERROR(__xludf.DUMMYFUNCTION("""COMPUTED_VALUE"""),"SPE SPC, SPE SVT")</f>
        <v>SPE SPC, SPE SVT</v>
      </c>
      <c r="N570" s="1" t="str">
        <f ca="1">IFERROR(__xludf.DUMMYFUNCTION("""COMPUTED_VALUE"""),"Garçon")</f>
        <v>Garçon</v>
      </c>
      <c r="O570" s="1"/>
      <c r="P570" s="1" t="str">
        <f ca="1">IFERROR(__xludf.DUMMYFUNCTION("""COMPUTED_VALUE"""),"CAMEROUN")</f>
        <v>CAMEROUN</v>
      </c>
      <c r="Q570" s="1"/>
      <c r="R570" s="1" t="str">
        <f ca="1">IFERROR(__xludf.DUMMYFUNCTION("""COMPUTED_VALUE"""),"oscar.soblog@lfjpsaly.org")</f>
        <v>oscar.soblog@lfjpsaly.org</v>
      </c>
      <c r="S570" s="1"/>
      <c r="T570" s="1" t="str">
        <f ca="1">IFERROR(__xludf.DUMMYFUNCTION("""COMPUTED_VALUE"""),"SOBLOG Colin Pierre")</f>
        <v>SOBLOG Colin Pierre</v>
      </c>
      <c r="U570" s="1"/>
      <c r="V570" s="1" t="str">
        <f ca="1">IFERROR(__xludf.DUMMYFUNCTION("""COMPUTED_VALUE"""),"pierre.soblog@eiffage.com")</f>
        <v>pierre.soblog@eiffage.com</v>
      </c>
      <c r="W570" s="1"/>
      <c r="X570" s="1" t="str">
        <f ca="1">IFERROR(__xludf.DUMMYFUNCTION("""COMPUTED_VALUE"""),"+221 77 098 86 20")</f>
        <v>+221 77 098 86 20</v>
      </c>
      <c r="Y570" s="1"/>
      <c r="Z570" s="1"/>
      <c r="AA570" s="1"/>
      <c r="AB570" s="2">
        <f ca="1">IFERROR(__xludf.DUMMYFUNCTION("""COMPUTED_VALUE"""),27383)</f>
        <v>27383</v>
      </c>
      <c r="AC570" s="1"/>
      <c r="AD570" s="1" t="str">
        <f ca="1">IFERROR(__xludf.DUMMYFUNCTION("""COMPUTED_VALUE"""),"PERE")</f>
        <v>PERE</v>
      </c>
      <c r="AE570" s="1"/>
      <c r="AF570" s="1" t="str">
        <f ca="1">IFERROR(__xludf.DUMMYFUNCTION("""COMPUTED_VALUE"""),"CAMEROUN")</f>
        <v>CAMEROUN</v>
      </c>
      <c r="AG570" s="1"/>
      <c r="AH570" s="1"/>
      <c r="AI570" s="1"/>
      <c r="AJ570" s="1" t="str">
        <f ca="1">IFERROR(__xludf.DUMMYFUNCTION("""COMPUTED_VALUE"""),"F1580")</f>
        <v>F1580</v>
      </c>
      <c r="AK570" s="1" t="str">
        <f ca="1">IFERROR(__xludf.DUMMYFUNCTION("""COMPUTED_VALUE"""),"Divorcée")</f>
        <v>Divorcée</v>
      </c>
      <c r="AL570" s="1"/>
      <c r="AM570" s="1" t="str">
        <f ca="1">IFERROR(__xludf.DUMMYFUNCTION("""COMPUTED_VALUE"""),"F1580")</f>
        <v>F1580</v>
      </c>
    </row>
    <row r="571" spans="1:39" ht="13" x14ac:dyDescent="0.15">
      <c r="A571" s="1" t="str">
        <f ca="1">IFERROR(__xludf.DUMMYFUNCTION("""COMPUTED_VALUE"""),"SOLY Coumba")</f>
        <v>SOLY Coumba</v>
      </c>
      <c r="B571" s="1" t="str">
        <f ca="1">IFERROR(__xludf.DUMMYFUNCTION("""COMPUTED_VALUE"""),"SOLY")</f>
        <v>SOLY</v>
      </c>
      <c r="C571" s="1" t="str">
        <f ca="1">IFERROR(__xludf.DUMMYFUNCTION("""COMPUTED_VALUE"""),"Coumba")</f>
        <v>Coumba</v>
      </c>
      <c r="D571" s="1" t="str">
        <f ca="1">IFERROR(__xludf.DUMMYFUNCTION("""COMPUTED_VALUE"""),"1581E1")</f>
        <v>1581E1</v>
      </c>
      <c r="E571" s="2">
        <f ca="1">IFERROR(__xludf.DUMMYFUNCTION("""COMPUTED_VALUE"""),41894)</f>
        <v>41894</v>
      </c>
      <c r="F571" s="1" t="str">
        <f ca="1">IFERROR(__xludf.DUMMYFUNCTION("""COMPUTED_VALUE"""),"6EME1")</f>
        <v>6EME1</v>
      </c>
      <c r="G571" s="1" t="str">
        <f ca="1">IFERROR(__xludf.DUMMYFUNCTION("""COMPUTED_VALUE"""),"6ème")</f>
        <v>6ème</v>
      </c>
      <c r="H571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571" s="1" t="str">
        <f ca="1">IFERROR(__xludf.DUMMYFUNCTION("""COMPUTED_VALUE"""),"LVA Anglais")</f>
        <v>LVA Anglais</v>
      </c>
      <c r="J571" s="1" t="str">
        <f ca="1">IFERROR(__xludf.DUMMYFUNCTION("""COMPUTED_VALUE"""),"LVB Espagnol")</f>
        <v>LVB Espagnol</v>
      </c>
      <c r="K571" s="1"/>
      <c r="L571" s="1"/>
      <c r="M571" s="1"/>
      <c r="N571" s="1" t="str">
        <f ca="1">IFERROR(__xludf.DUMMYFUNCTION("""COMPUTED_VALUE"""),"Fille")</f>
        <v>Fille</v>
      </c>
      <c r="O571" s="1"/>
      <c r="P571" s="1" t="str">
        <f ca="1">IFERROR(__xludf.DUMMYFUNCTION("""COMPUTED_VALUE"""),"FRANCE")</f>
        <v>FRANCE</v>
      </c>
      <c r="Q571" s="1" t="str">
        <f ca="1">IFERROR(__xludf.DUMMYFUNCTION("""COMPUTED_VALUE"""),"SENEGAL")</f>
        <v>SENEGAL</v>
      </c>
      <c r="R571" s="1" t="str">
        <f ca="1">IFERROR(__xludf.DUMMYFUNCTION("""COMPUTED_VALUE"""),"coumba.soly@lfjpsaly.org")</f>
        <v>coumba.soly@lfjpsaly.org</v>
      </c>
      <c r="S571" s="1" t="str">
        <f ca="1">IFERROR(__xludf.DUMMYFUNCTION("""COMPUTED_VALUE"""),"+221 77 801 89 99")</f>
        <v>+221 77 801 89 99</v>
      </c>
      <c r="T571" s="1" t="str">
        <f ca="1">IFERROR(__xludf.DUMMYFUNCTION("""COMPUTED_VALUE"""),"SOLY Laura")</f>
        <v>SOLY Laura</v>
      </c>
      <c r="U571" s="1" t="str">
        <f ca="1">IFERROR(__xludf.DUMMYFUNCTION("""COMPUTED_VALUE"""),"SOLY Youssouph")</f>
        <v>SOLY Youssouph</v>
      </c>
      <c r="V571" s="1" t="str">
        <f ca="1">IFERROR(__xludf.DUMMYFUNCTION("""COMPUTED_VALUE"""),"laurasoly54@gmail.com")</f>
        <v>laurasoly54@gmail.com</v>
      </c>
      <c r="W571" s="1" t="str">
        <f ca="1">IFERROR(__xludf.DUMMYFUNCTION("""COMPUTED_VALUE"""),"soly442000@yahoo.fr")</f>
        <v>soly442000@yahoo.fr</v>
      </c>
      <c r="X571" s="1" t="str">
        <f ca="1">IFERROR(__xludf.DUMMYFUNCTION("""COMPUTED_VALUE"""),"778018999")</f>
        <v>778018999</v>
      </c>
      <c r="Y571" s="1" t="str">
        <f ca="1">IFERROR(__xludf.DUMMYFUNCTION("""COMPUTED_VALUE"""),"774264414")</f>
        <v>774264414</v>
      </c>
      <c r="Z571" s="1"/>
      <c r="AA571" s="1"/>
      <c r="AB571" s="2">
        <f ca="1">IFERROR(__xludf.DUMMYFUNCTION("""COMPUTED_VALUE"""),29419)</f>
        <v>29419</v>
      </c>
      <c r="AC571" s="2">
        <f ca="1">IFERROR(__xludf.DUMMYFUNCTION("""COMPUTED_VALUE"""),29379)</f>
        <v>29379</v>
      </c>
      <c r="AD571" s="1" t="str">
        <f ca="1">IFERROR(__xludf.DUMMYFUNCTION("""COMPUTED_VALUE"""),"MERE")</f>
        <v>MERE</v>
      </c>
      <c r="AE571" s="1" t="str">
        <f ca="1">IFERROR(__xludf.DUMMYFUNCTION("""COMPUTED_VALUE"""),"PERE")</f>
        <v>PERE</v>
      </c>
      <c r="AF571" s="1" t="str">
        <f ca="1">IFERROR(__xludf.DUMMYFUNCTION("""COMPUTED_VALUE"""),"FRANCE")</f>
        <v>FRANCE</v>
      </c>
      <c r="AG571" s="1" t="str">
        <f ca="1">IFERROR(__xludf.DUMMYFUNCTION("""COMPUTED_VALUE"""),"SENEGAL")</f>
        <v>SENEGAL</v>
      </c>
      <c r="AH571" s="1"/>
      <c r="AI571" s="1"/>
      <c r="AJ571" s="1" t="str">
        <f ca="1">IFERROR(__xludf.DUMMYFUNCTION("""COMPUTED_VALUE"""),"F1581")</f>
        <v>F1581</v>
      </c>
      <c r="AK571" s="1" t="str">
        <f ca="1">IFERROR(__xludf.DUMMYFUNCTION("""COMPUTED_VALUE"""),"Marié(e)")</f>
        <v>Marié(e)</v>
      </c>
      <c r="AL571" s="1" t="str">
        <f ca="1">IFERROR(__xludf.DUMMYFUNCTION("""COMPUTED_VALUE"""),"Marié(e)")</f>
        <v>Marié(e)</v>
      </c>
      <c r="AM571" s="1" t="str">
        <f ca="1">IFERROR(__xludf.DUMMYFUNCTION("""COMPUTED_VALUE"""),"F1581")</f>
        <v>F1581</v>
      </c>
    </row>
    <row r="572" spans="1:39" ht="13" x14ac:dyDescent="0.15">
      <c r="A572" s="1" t="str">
        <f ca="1">IFERROR(__xludf.DUMMYFUNCTION("""COMPUTED_VALUE"""),"SOLY Wandifa")</f>
        <v>SOLY Wandifa</v>
      </c>
      <c r="B572" s="1" t="str">
        <f ca="1">IFERROR(__xludf.DUMMYFUNCTION("""COMPUTED_VALUE"""),"SOLY")</f>
        <v>SOLY</v>
      </c>
      <c r="C572" s="1" t="str">
        <f ca="1">IFERROR(__xludf.DUMMYFUNCTION("""COMPUTED_VALUE"""),"Wandifa")</f>
        <v>Wandifa</v>
      </c>
      <c r="D572" s="1" t="str">
        <f ca="1">IFERROR(__xludf.DUMMYFUNCTION("""COMPUTED_VALUE"""),"1581E2")</f>
        <v>1581E2</v>
      </c>
      <c r="E572" s="2">
        <f ca="1">IFERROR(__xludf.DUMMYFUNCTION("""COMPUTED_VALUE"""),42877)</f>
        <v>42877</v>
      </c>
      <c r="F572" s="1" t="str">
        <f ca="1">IFERROR(__xludf.DUMMYFUNCTION("""COMPUTED_VALUE"""),"CE2")</f>
        <v>CE2</v>
      </c>
      <c r="G572" s="1" t="str">
        <f ca="1">IFERROR(__xludf.DUMMYFUNCTION("""COMPUTED_VALUE"""),"CE2")</f>
        <v>CE2</v>
      </c>
      <c r="H572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572" s="1"/>
      <c r="J572" s="1"/>
      <c r="K572" s="1"/>
      <c r="L572" s="1"/>
      <c r="M572" s="1"/>
      <c r="N572" s="1" t="str">
        <f ca="1">IFERROR(__xludf.DUMMYFUNCTION("""COMPUTED_VALUE"""),"Garçon")</f>
        <v>Garçon</v>
      </c>
      <c r="O572" s="1"/>
      <c r="P572" s="1" t="str">
        <f ca="1">IFERROR(__xludf.DUMMYFUNCTION("""COMPUTED_VALUE"""),"FRANCE")</f>
        <v>FRANCE</v>
      </c>
      <c r="Q572" s="1" t="str">
        <f ca="1">IFERROR(__xludf.DUMMYFUNCTION("""COMPUTED_VALUE"""),"SENEGAL")</f>
        <v>SENEGAL</v>
      </c>
      <c r="R572" s="1"/>
      <c r="S572" s="1"/>
      <c r="T572" s="1" t="str">
        <f ca="1">IFERROR(__xludf.DUMMYFUNCTION("""COMPUTED_VALUE"""),"SOLY Laura")</f>
        <v>SOLY Laura</v>
      </c>
      <c r="U572" s="1" t="str">
        <f ca="1">IFERROR(__xludf.DUMMYFUNCTION("""COMPUTED_VALUE"""),"SOLY Youssouph")</f>
        <v>SOLY Youssouph</v>
      </c>
      <c r="V572" s="1" t="str">
        <f ca="1">IFERROR(__xludf.DUMMYFUNCTION("""COMPUTED_VALUE"""),"laurasoly54@gmail.com")</f>
        <v>laurasoly54@gmail.com</v>
      </c>
      <c r="W572" s="1" t="str">
        <f ca="1">IFERROR(__xludf.DUMMYFUNCTION("""COMPUTED_VALUE"""),"soly442000@yahoo.fr")</f>
        <v>soly442000@yahoo.fr</v>
      </c>
      <c r="X572" s="1" t="str">
        <f ca="1">IFERROR(__xludf.DUMMYFUNCTION("""COMPUTED_VALUE"""),"778018999")</f>
        <v>778018999</v>
      </c>
      <c r="Y572" s="1" t="str">
        <f ca="1">IFERROR(__xludf.DUMMYFUNCTION("""COMPUTED_VALUE"""),"774264414")</f>
        <v>774264414</v>
      </c>
      <c r="Z572" s="1"/>
      <c r="AA572" s="1"/>
      <c r="AB572" s="2">
        <f ca="1">IFERROR(__xludf.DUMMYFUNCTION("""COMPUTED_VALUE"""),29419)</f>
        <v>29419</v>
      </c>
      <c r="AC572" s="2">
        <f ca="1">IFERROR(__xludf.DUMMYFUNCTION("""COMPUTED_VALUE"""),29379)</f>
        <v>29379</v>
      </c>
      <c r="AD572" s="1" t="str">
        <f ca="1">IFERROR(__xludf.DUMMYFUNCTION("""COMPUTED_VALUE"""),"MERE")</f>
        <v>MERE</v>
      </c>
      <c r="AE572" s="1" t="str">
        <f ca="1">IFERROR(__xludf.DUMMYFUNCTION("""COMPUTED_VALUE"""),"PERE")</f>
        <v>PERE</v>
      </c>
      <c r="AF572" s="1" t="str">
        <f ca="1">IFERROR(__xludf.DUMMYFUNCTION("""COMPUTED_VALUE"""),"FRANCE")</f>
        <v>FRANCE</v>
      </c>
      <c r="AG572" s="1" t="str">
        <f ca="1">IFERROR(__xludf.DUMMYFUNCTION("""COMPUTED_VALUE"""),"SENEGAL")</f>
        <v>SENEGAL</v>
      </c>
      <c r="AH572" s="1"/>
      <c r="AI572" s="1"/>
      <c r="AJ572" s="1" t="str">
        <f ca="1">IFERROR(__xludf.DUMMYFUNCTION("""COMPUTED_VALUE"""),"F1581")</f>
        <v>F1581</v>
      </c>
      <c r="AK572" s="1" t="str">
        <f ca="1">IFERROR(__xludf.DUMMYFUNCTION("""COMPUTED_VALUE"""),"Marié(e)")</f>
        <v>Marié(e)</v>
      </c>
      <c r="AL572" s="1" t="str">
        <f ca="1">IFERROR(__xludf.DUMMYFUNCTION("""COMPUTED_VALUE"""),"Marié(e)")</f>
        <v>Marié(e)</v>
      </c>
      <c r="AM572" s="1" t="str">
        <f ca="1">IFERROR(__xludf.DUMMYFUNCTION("""COMPUTED_VALUE"""),"F1581")</f>
        <v>F1581</v>
      </c>
    </row>
    <row r="573" spans="1:39" ht="13" x14ac:dyDescent="0.15">
      <c r="A573" s="1" t="str">
        <f ca="1">IFERROR(__xludf.DUMMYFUNCTION("""COMPUTED_VALUE"""),"SON Ye Chan")</f>
        <v>SON Ye Chan</v>
      </c>
      <c r="B573" s="1" t="str">
        <f ca="1">IFERROR(__xludf.DUMMYFUNCTION("""COMPUTED_VALUE"""),"SON")</f>
        <v>SON</v>
      </c>
      <c r="C573" s="1" t="str">
        <f ca="1">IFERROR(__xludf.DUMMYFUNCTION("""COMPUTED_VALUE"""),"Ye Chan")</f>
        <v>Ye Chan</v>
      </c>
      <c r="D573" s="1" t="str">
        <f ca="1">IFERROR(__xludf.DUMMYFUNCTION("""COMPUTED_VALUE"""),"1582E1")</f>
        <v>1582E1</v>
      </c>
      <c r="E573" s="2">
        <f ca="1">IFERROR(__xludf.DUMMYFUNCTION("""COMPUTED_VALUE"""),41338)</f>
        <v>41338</v>
      </c>
      <c r="F573" s="1" t="str">
        <f ca="1">IFERROR(__xludf.DUMMYFUNCTION("""COMPUTED_VALUE"""),"5EME1")</f>
        <v>5EME1</v>
      </c>
      <c r="G573" s="1" t="str">
        <f ca="1">IFERROR(__xludf.DUMMYFUNCTION("""COMPUTED_VALUE"""),"5ème")</f>
        <v>5ème</v>
      </c>
      <c r="H573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573" s="1" t="str">
        <f ca="1">IFERROR(__xludf.DUMMYFUNCTION("""COMPUTED_VALUE"""),"LVA Anglais")</f>
        <v>LVA Anglais</v>
      </c>
      <c r="J573" s="1" t="str">
        <f ca="1">IFERROR(__xludf.DUMMYFUNCTION("""COMPUTED_VALUE"""),"LVB Espagnol")</f>
        <v>LVB Espagnol</v>
      </c>
      <c r="K573" s="1"/>
      <c r="L573" s="1"/>
      <c r="M573" s="1"/>
      <c r="N573" s="1" t="str">
        <f ca="1">IFERROR(__xludf.DUMMYFUNCTION("""COMPUTED_VALUE"""),"Garçon")</f>
        <v>Garçon</v>
      </c>
      <c r="O573" s="1"/>
      <c r="P573" s="1" t="str">
        <f ca="1">IFERROR(__xludf.DUMMYFUNCTION("""COMPUTED_VALUE"""),"COREE (REPUBLIQUE DE)")</f>
        <v>COREE (REPUBLIQUE DE)</v>
      </c>
      <c r="Q573" s="1"/>
      <c r="R573" s="1" t="str">
        <f ca="1">IFERROR(__xludf.DUMMYFUNCTION("""COMPUTED_VALUE"""),"yechan.son@lfjpsaly.org")</f>
        <v>yechan.son@lfjpsaly.org</v>
      </c>
      <c r="S573" s="1"/>
      <c r="T573" s="1" t="str">
        <f ca="1">IFERROR(__xludf.DUMMYFUNCTION("""COMPUTED_VALUE"""),"SON Chang Ha")</f>
        <v>SON Chang Ha</v>
      </c>
      <c r="U573" s="1" t="str">
        <f ca="1">IFERROR(__xludf.DUMMYFUNCTION("""COMPUTED_VALUE"""),"KIM Yunjin")</f>
        <v>KIM Yunjin</v>
      </c>
      <c r="V573" s="1" t="str">
        <f ca="1">IFERROR(__xludf.DUMMYFUNCTION("""COMPUTED_VALUE"""),"eason1@daum.net")</f>
        <v>eason1@daum.net</v>
      </c>
      <c r="W573" s="1" t="str">
        <f ca="1">IFERROR(__xludf.DUMMYFUNCTION("""COMPUTED_VALUE"""),"focus-jin@daum.net")</f>
        <v>focus-jin@daum.net</v>
      </c>
      <c r="X573" s="1" t="str">
        <f ca="1">IFERROR(__xludf.DUMMYFUNCTION("""COMPUTED_VALUE"""),"+221 77 692 56 89")</f>
        <v>+221 77 692 56 89</v>
      </c>
      <c r="Y573" s="1" t="str">
        <f ca="1">IFERROR(__xludf.DUMMYFUNCTION("""COMPUTED_VALUE"""),"+221 77 382 89 34")</f>
        <v>+221 77 382 89 34</v>
      </c>
      <c r="Z573" s="1" t="str">
        <f ca="1">IFERROR(__xludf.DUMMYFUNCTION("""COMPUTED_VALUE"""),"+221 77 692 56 89")</f>
        <v>+221 77 692 56 89</v>
      </c>
      <c r="AA573" s="1" t="str">
        <f ca="1">IFERROR(__xludf.DUMMYFUNCTION("""COMPUTED_VALUE"""),"+221 77 382 89 34")</f>
        <v>+221 77 382 89 34</v>
      </c>
      <c r="AB573" s="2">
        <f ca="1">IFERROR(__xludf.DUMMYFUNCTION("""COMPUTED_VALUE"""),24854)</f>
        <v>24854</v>
      </c>
      <c r="AC573" s="2">
        <f ca="1">IFERROR(__xludf.DUMMYFUNCTION("""COMPUTED_VALUE"""),29100)</f>
        <v>29100</v>
      </c>
      <c r="AD573" s="1" t="str">
        <f ca="1">IFERROR(__xludf.DUMMYFUNCTION("""COMPUTED_VALUE"""),"PERE")</f>
        <v>PERE</v>
      </c>
      <c r="AE573" s="1" t="str">
        <f ca="1">IFERROR(__xludf.DUMMYFUNCTION("""COMPUTED_VALUE"""),"MERE")</f>
        <v>MERE</v>
      </c>
      <c r="AF573" s="1" t="str">
        <f ca="1">IFERROR(__xludf.DUMMYFUNCTION("""COMPUTED_VALUE"""),"COREE (REPUBLIQUE DE)")</f>
        <v>COREE (REPUBLIQUE DE)</v>
      </c>
      <c r="AG573" s="1" t="str">
        <f ca="1">IFERROR(__xludf.DUMMYFUNCTION("""COMPUTED_VALUE"""),"COREE (REPUBLIQUE DE)")</f>
        <v>COREE (REPUBLIQUE DE)</v>
      </c>
      <c r="AH573" s="1"/>
      <c r="AI573" s="1"/>
      <c r="AJ573" s="1" t="str">
        <f ca="1">IFERROR(__xludf.DUMMYFUNCTION("""COMPUTED_VALUE"""),"F1582")</f>
        <v>F1582</v>
      </c>
      <c r="AK573" s="1" t="str">
        <f ca="1">IFERROR(__xludf.DUMMYFUNCTION("""COMPUTED_VALUE"""),"Marié(e)")</f>
        <v>Marié(e)</v>
      </c>
      <c r="AL573" s="1" t="str">
        <f ca="1">IFERROR(__xludf.DUMMYFUNCTION("""COMPUTED_VALUE"""),"Marié(e)")</f>
        <v>Marié(e)</v>
      </c>
      <c r="AM573" s="1" t="str">
        <f ca="1">IFERROR(__xludf.DUMMYFUNCTION("""COMPUTED_VALUE"""),"F1582")</f>
        <v>F1582</v>
      </c>
    </row>
    <row r="574" spans="1:39" ht="13" x14ac:dyDescent="0.15">
      <c r="A574" s="1" t="str">
        <f ca="1">IFERROR(__xludf.DUMMYFUNCTION("""COMPUTED_VALUE"""),"SON Ye Seon")</f>
        <v>SON Ye Seon</v>
      </c>
      <c r="B574" s="1" t="str">
        <f ca="1">IFERROR(__xludf.DUMMYFUNCTION("""COMPUTED_VALUE"""),"SON")</f>
        <v>SON</v>
      </c>
      <c r="C574" s="1" t="str">
        <f ca="1">IFERROR(__xludf.DUMMYFUNCTION("""COMPUTED_VALUE"""),"Ye Seon")</f>
        <v>Ye Seon</v>
      </c>
      <c r="D574" s="1" t="str">
        <f ca="1">IFERROR(__xludf.DUMMYFUNCTION("""COMPUTED_VALUE"""),"1582E2")</f>
        <v>1582E2</v>
      </c>
      <c r="E574" s="2">
        <f ca="1">IFERROR(__xludf.DUMMYFUNCTION("""COMPUTED_VALUE"""),39574)</f>
        <v>39574</v>
      </c>
      <c r="F574" s="1" t="str">
        <f ca="1">IFERROR(__xludf.DUMMYFUNCTION("""COMPUTED_VALUE"""),"TERMINALE1")</f>
        <v>TERMINALE1</v>
      </c>
      <c r="G574" s="1" t="str">
        <f ca="1">IFERROR(__xludf.DUMMYFUNCTION("""COMPUTED_VALUE"""),"Terminale")</f>
        <v>Terminale</v>
      </c>
      <c r="H574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574" s="1" t="str">
        <f ca="1">IFERROR(__xludf.DUMMYFUNCTION("""COMPUTED_VALUE"""),"LVA Anglais")</f>
        <v>LVA Anglais</v>
      </c>
      <c r="J574" s="1" t="str">
        <f ca="1">IFERROR(__xludf.DUMMYFUNCTION("""COMPUTED_VALUE"""),"LVB Espagnol")</f>
        <v>LVB Espagnol</v>
      </c>
      <c r="K574" s="1"/>
      <c r="L574" s="1"/>
      <c r="M574" s="1" t="str">
        <f ca="1">IFERROR(__xludf.DUMMYFUNCTION("""COMPUTED_VALUE"""),"SPE SES, SPE SVT")</f>
        <v>SPE SES, SPE SVT</v>
      </c>
      <c r="N574" s="1" t="str">
        <f ca="1">IFERROR(__xludf.DUMMYFUNCTION("""COMPUTED_VALUE"""),"Fille")</f>
        <v>Fille</v>
      </c>
      <c r="O574" s="1"/>
      <c r="P574" s="1" t="str">
        <f ca="1">IFERROR(__xludf.DUMMYFUNCTION("""COMPUTED_VALUE"""),"COREE (REPUBLIQUE DE)")</f>
        <v>COREE (REPUBLIQUE DE)</v>
      </c>
      <c r="Q574" s="1"/>
      <c r="R574" s="1" t="str">
        <f ca="1">IFERROR(__xludf.DUMMYFUNCTION("""COMPUTED_VALUE"""),"yeseon.son@lfjpsaly.org")</f>
        <v>yeseon.son@lfjpsaly.org</v>
      </c>
      <c r="S574" s="1"/>
      <c r="T574" s="1" t="str">
        <f ca="1">IFERROR(__xludf.DUMMYFUNCTION("""COMPUTED_VALUE"""),"SON Chang Ha")</f>
        <v>SON Chang Ha</v>
      </c>
      <c r="U574" s="1" t="str">
        <f ca="1">IFERROR(__xludf.DUMMYFUNCTION("""COMPUTED_VALUE"""),"KIM Yunjin")</f>
        <v>KIM Yunjin</v>
      </c>
      <c r="V574" s="1" t="str">
        <f ca="1">IFERROR(__xludf.DUMMYFUNCTION("""COMPUTED_VALUE"""),"eason1@daum.net")</f>
        <v>eason1@daum.net</v>
      </c>
      <c r="W574" s="1" t="str">
        <f ca="1">IFERROR(__xludf.DUMMYFUNCTION("""COMPUTED_VALUE"""),"focus-jin@daum.net")</f>
        <v>focus-jin@daum.net</v>
      </c>
      <c r="X574" s="1" t="str">
        <f ca="1">IFERROR(__xludf.DUMMYFUNCTION("""COMPUTED_VALUE"""),"+221 77 692 56 89")</f>
        <v>+221 77 692 56 89</v>
      </c>
      <c r="Y574" s="1" t="str">
        <f ca="1">IFERROR(__xludf.DUMMYFUNCTION("""COMPUTED_VALUE"""),"+221 77 382 89 34")</f>
        <v>+221 77 382 89 34</v>
      </c>
      <c r="Z574" s="1" t="str">
        <f ca="1">IFERROR(__xludf.DUMMYFUNCTION("""COMPUTED_VALUE"""),"+221 77 692 56 89")</f>
        <v>+221 77 692 56 89</v>
      </c>
      <c r="AA574" s="1" t="str">
        <f ca="1">IFERROR(__xludf.DUMMYFUNCTION("""COMPUTED_VALUE"""),"+221 77 382 89 34")</f>
        <v>+221 77 382 89 34</v>
      </c>
      <c r="AB574" s="2">
        <f ca="1">IFERROR(__xludf.DUMMYFUNCTION("""COMPUTED_VALUE"""),24854)</f>
        <v>24854</v>
      </c>
      <c r="AC574" s="2">
        <f ca="1">IFERROR(__xludf.DUMMYFUNCTION("""COMPUTED_VALUE"""),29100)</f>
        <v>29100</v>
      </c>
      <c r="AD574" s="1" t="str">
        <f ca="1">IFERROR(__xludf.DUMMYFUNCTION("""COMPUTED_VALUE"""),"PERE")</f>
        <v>PERE</v>
      </c>
      <c r="AE574" s="1" t="str">
        <f ca="1">IFERROR(__xludf.DUMMYFUNCTION("""COMPUTED_VALUE"""),"MERE")</f>
        <v>MERE</v>
      </c>
      <c r="AF574" s="1" t="str">
        <f ca="1">IFERROR(__xludf.DUMMYFUNCTION("""COMPUTED_VALUE"""),"COREE (REPUBLIQUE DE)")</f>
        <v>COREE (REPUBLIQUE DE)</v>
      </c>
      <c r="AG574" s="1" t="str">
        <f ca="1">IFERROR(__xludf.DUMMYFUNCTION("""COMPUTED_VALUE"""),"COREE (REPUBLIQUE DE)")</f>
        <v>COREE (REPUBLIQUE DE)</v>
      </c>
      <c r="AH574" s="1"/>
      <c r="AI574" s="1"/>
      <c r="AJ574" s="1" t="str">
        <f ca="1">IFERROR(__xludf.DUMMYFUNCTION("""COMPUTED_VALUE"""),"F1582")</f>
        <v>F1582</v>
      </c>
      <c r="AK574" s="1" t="str">
        <f ca="1">IFERROR(__xludf.DUMMYFUNCTION("""COMPUTED_VALUE"""),"Marié(e)")</f>
        <v>Marié(e)</v>
      </c>
      <c r="AL574" s="1" t="str">
        <f ca="1">IFERROR(__xludf.DUMMYFUNCTION("""COMPUTED_VALUE"""),"Marié(e)")</f>
        <v>Marié(e)</v>
      </c>
      <c r="AM574" s="1" t="str">
        <f ca="1">IFERROR(__xludf.DUMMYFUNCTION("""COMPUTED_VALUE"""),"F1582")</f>
        <v>F1582</v>
      </c>
    </row>
    <row r="575" spans="1:39" ht="13" x14ac:dyDescent="0.15">
      <c r="A575" s="1" t="str">
        <f ca="1">IFERROR(__xludf.DUMMYFUNCTION("""COMPUTED_VALUE"""),"SOSSAH Ethan Keeran")</f>
        <v>SOSSAH Ethan Keeran</v>
      </c>
      <c r="B575" s="1" t="str">
        <f ca="1">IFERROR(__xludf.DUMMYFUNCTION("""COMPUTED_VALUE"""),"SOSSAH")</f>
        <v>SOSSAH</v>
      </c>
      <c r="C575" s="1" t="str">
        <f ca="1">IFERROR(__xludf.DUMMYFUNCTION("""COMPUTED_VALUE"""),"Ethan Keeran")</f>
        <v>Ethan Keeran</v>
      </c>
      <c r="D575" s="1" t="str">
        <f ca="1">IFERROR(__xludf.DUMMYFUNCTION("""COMPUTED_VALUE"""),"1690E1")</f>
        <v>1690E1</v>
      </c>
      <c r="E575" s="2">
        <f ca="1">IFERROR(__xludf.DUMMYFUNCTION("""COMPUTED_VALUE"""),41947)</f>
        <v>41947</v>
      </c>
      <c r="F575" s="1" t="str">
        <f ca="1">IFERROR(__xludf.DUMMYFUNCTION("""COMPUTED_VALUE"""),"6EME2")</f>
        <v>6EME2</v>
      </c>
      <c r="G575" s="1" t="str">
        <f ca="1">IFERROR(__xludf.DUMMYFUNCTION("""COMPUTED_VALUE"""),"6ème")</f>
        <v>6ème</v>
      </c>
      <c r="H575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575" s="1" t="str">
        <f ca="1">IFERROR(__xludf.DUMMYFUNCTION("""COMPUTED_VALUE"""),"LVA Anglais")</f>
        <v>LVA Anglais</v>
      </c>
      <c r="J575" s="1" t="str">
        <f ca="1">IFERROR(__xludf.DUMMYFUNCTION("""COMPUTED_VALUE"""),"LVB Espagnol")</f>
        <v>LVB Espagnol</v>
      </c>
      <c r="K575" s="1"/>
      <c r="L575" s="1"/>
      <c r="M575" s="1"/>
      <c r="N575" s="1" t="str">
        <f ca="1">IFERROR(__xludf.DUMMYFUNCTION("""COMPUTED_VALUE"""),"Garçon")</f>
        <v>Garçon</v>
      </c>
      <c r="O575" s="1"/>
      <c r="P575" s="1" t="str">
        <f ca="1">IFERROR(__xludf.DUMMYFUNCTION("""COMPUTED_VALUE"""),"GABON")</f>
        <v>GABON</v>
      </c>
      <c r="Q575" s="1" t="str">
        <f ca="1">IFERROR(__xludf.DUMMYFUNCTION("""COMPUTED_VALUE"""),"BENIN")</f>
        <v>BENIN</v>
      </c>
      <c r="R575" s="1" t="str">
        <f ca="1">IFERROR(__xludf.DUMMYFUNCTION("""COMPUTED_VALUE"""),"ethan.sossah@lfjpsaly.org")</f>
        <v>ethan.sossah@lfjpsaly.org</v>
      </c>
      <c r="S575" s="1"/>
      <c r="T575" s="1" t="str">
        <f ca="1">IFERROR(__xludf.DUMMYFUNCTION("""COMPUTED_VALUE"""),"NKONOU SOSSAH Akouvi Nicole")</f>
        <v>NKONOU SOSSAH Akouvi Nicole</v>
      </c>
      <c r="U575" s="1" t="str">
        <f ca="1">IFERROR(__xludf.DUMMYFUNCTION("""COMPUTED_VALUE"""),"SOSSAH COMLAN Guy Clotaire")</f>
        <v>SOSSAH COMLAN Guy Clotaire</v>
      </c>
      <c r="V575" s="1" t="str">
        <f ca="1">IFERROR(__xludf.DUMMYFUNCTION("""COMPUTED_VALUE"""),"nnkonou@yahoo.fr")</f>
        <v>nnkonou@yahoo.fr</v>
      </c>
      <c r="W575" s="1" t="str">
        <f ca="1">IFERROR(__xludf.DUMMYFUNCTION("""COMPUTED_VALUE"""),"sossahg@yahoo.fr")</f>
        <v>sossahg@yahoo.fr</v>
      </c>
      <c r="X575" s="1" t="str">
        <f ca="1">IFERROR(__xludf.DUMMYFUNCTION("""COMPUTED_VALUE"""),"+221 78 449 43 30")</f>
        <v>+221 78 449 43 30</v>
      </c>
      <c r="Y575" s="1" t="str">
        <f ca="1">IFERROR(__xludf.DUMMYFUNCTION("""COMPUTED_VALUE"""),"+221 78 586 55 47")</f>
        <v>+221 78 586 55 47</v>
      </c>
      <c r="Z575" s="1"/>
      <c r="AA575" s="1" t="str">
        <f ca="1">IFERROR(__xludf.DUMMYFUNCTION("""COMPUTED_VALUE"""),"+221 78 449 43 30")</f>
        <v>+221 78 449 43 30</v>
      </c>
      <c r="AB575" s="2">
        <f ca="1">IFERROR(__xludf.DUMMYFUNCTION("""COMPUTED_VALUE"""),28158)</f>
        <v>28158</v>
      </c>
      <c r="AC575" s="2">
        <f ca="1">IFERROR(__xludf.DUMMYFUNCTION("""COMPUTED_VALUE"""),26162)</f>
        <v>26162</v>
      </c>
      <c r="AD575" s="1" t="str">
        <f ca="1">IFERROR(__xludf.DUMMYFUNCTION("""COMPUTED_VALUE"""),"MERE")</f>
        <v>MERE</v>
      </c>
      <c r="AE575" s="1" t="str">
        <f ca="1">IFERROR(__xludf.DUMMYFUNCTION("""COMPUTED_VALUE"""),"PERE")</f>
        <v>PERE</v>
      </c>
      <c r="AF575" s="1" t="str">
        <f ca="1">IFERROR(__xludf.DUMMYFUNCTION("""COMPUTED_VALUE"""),"BENIN")</f>
        <v>BENIN</v>
      </c>
      <c r="AG575" s="1" t="str">
        <f ca="1">IFERROR(__xludf.DUMMYFUNCTION("""COMPUTED_VALUE"""),"GABON")</f>
        <v>GABON</v>
      </c>
      <c r="AH575" s="1" t="str">
        <f ca="1">IFERROR(__xludf.DUMMYFUNCTION("""COMPUTED_VALUE"""),"GABON")</f>
        <v>GABON</v>
      </c>
      <c r="AI575" s="1" t="str">
        <f ca="1">IFERROR(__xludf.DUMMYFUNCTION("""COMPUTED_VALUE"""),"BENIN")</f>
        <v>BENIN</v>
      </c>
      <c r="AJ575" s="1" t="str">
        <f ca="1">IFERROR(__xludf.DUMMYFUNCTION("""COMPUTED_VALUE"""),"F1690")</f>
        <v>F1690</v>
      </c>
      <c r="AK575" s="1" t="str">
        <f ca="1">IFERROR(__xludf.DUMMYFUNCTION("""COMPUTED_VALUE"""),"Marié(e)")</f>
        <v>Marié(e)</v>
      </c>
      <c r="AL575" s="1"/>
      <c r="AM575" s="1" t="str">
        <f ca="1">IFERROR(__xludf.DUMMYFUNCTION("""COMPUTED_VALUE"""),"F1690")</f>
        <v>F1690</v>
      </c>
    </row>
    <row r="576" spans="1:39" ht="13" x14ac:dyDescent="0.15">
      <c r="A576" s="1" t="str">
        <f ca="1">IFERROR(__xludf.DUMMYFUNCTION("""COMPUTED_VALUE"""),"SOSSAH Kimya Alicia Issin'i")</f>
        <v>SOSSAH Kimya Alicia Issin'i</v>
      </c>
      <c r="B576" s="1" t="str">
        <f ca="1">IFERROR(__xludf.DUMMYFUNCTION("""COMPUTED_VALUE"""),"SOSSAH")</f>
        <v>SOSSAH</v>
      </c>
      <c r="C576" s="1" t="str">
        <f ca="1">IFERROR(__xludf.DUMMYFUNCTION("""COMPUTED_VALUE"""),"Kimya Alicia Issin'i")</f>
        <v>Kimya Alicia Issin'i</v>
      </c>
      <c r="D576" s="1" t="str">
        <f ca="1">IFERROR(__xludf.DUMMYFUNCTION("""COMPUTED_VALUE"""),"11635S2246")</f>
        <v>11635S2246</v>
      </c>
      <c r="E576" s="2">
        <f ca="1">IFERROR(__xludf.DUMMYFUNCTION("""COMPUTED_VALUE"""),42664)</f>
        <v>42664</v>
      </c>
      <c r="F576" s="1" t="str">
        <f ca="1">IFERROR(__xludf.DUMMYFUNCTION("""COMPUTED_VALUE"""),"CM1A")</f>
        <v>CM1A</v>
      </c>
      <c r="G576" s="1" t="str">
        <f ca="1">IFERROR(__xludf.DUMMYFUNCTION("""COMPUTED_VALUE"""),"CM1")</f>
        <v>CM1</v>
      </c>
      <c r="H576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576" s="1"/>
      <c r="J576" s="1"/>
      <c r="K576" s="1"/>
      <c r="L576" s="1"/>
      <c r="M576" s="1"/>
      <c r="N576" s="1" t="str">
        <f ca="1">IFERROR(__xludf.DUMMYFUNCTION("""COMPUTED_VALUE"""),"Fille")</f>
        <v>Fille</v>
      </c>
      <c r="O576" s="1"/>
      <c r="P576" s="1" t="str">
        <f ca="1">IFERROR(__xludf.DUMMYFUNCTION("""COMPUTED_VALUE"""),"GABON")</f>
        <v>GABON</v>
      </c>
      <c r="Q576" s="1" t="str">
        <f ca="1">IFERROR(__xludf.DUMMYFUNCTION("""COMPUTED_VALUE"""),"BENIN")</f>
        <v>BENIN</v>
      </c>
      <c r="R576" s="1"/>
      <c r="S576" s="1"/>
      <c r="T576" s="1" t="str">
        <f ca="1">IFERROR(__xludf.DUMMYFUNCTION("""COMPUTED_VALUE"""),"NKONOU SOSSAH Akouvi Nicole")</f>
        <v>NKONOU SOSSAH Akouvi Nicole</v>
      </c>
      <c r="U576" s="1" t="str">
        <f ca="1">IFERROR(__xludf.DUMMYFUNCTION("""COMPUTED_VALUE"""),"SOSSAH COMLAN Guy Clotaire")</f>
        <v>SOSSAH COMLAN Guy Clotaire</v>
      </c>
      <c r="V576" s="1" t="str">
        <f ca="1">IFERROR(__xludf.DUMMYFUNCTION("""COMPUTED_VALUE"""),"nnkonou@yahoo.fr")</f>
        <v>nnkonou@yahoo.fr</v>
      </c>
      <c r="W576" s="1" t="str">
        <f ca="1">IFERROR(__xludf.DUMMYFUNCTION("""COMPUTED_VALUE"""),"sossahg@yahoo.fr")</f>
        <v>sossahg@yahoo.fr</v>
      </c>
      <c r="X576" s="1" t="str">
        <f ca="1">IFERROR(__xludf.DUMMYFUNCTION("""COMPUTED_VALUE"""),"+221 78 449 43 30")</f>
        <v>+221 78 449 43 30</v>
      </c>
      <c r="Y576" s="1" t="str">
        <f ca="1">IFERROR(__xludf.DUMMYFUNCTION("""COMPUTED_VALUE"""),"+221 78 586 55 47")</f>
        <v>+221 78 586 55 47</v>
      </c>
      <c r="Z576" s="1"/>
      <c r="AA576" s="1" t="str">
        <f ca="1">IFERROR(__xludf.DUMMYFUNCTION("""COMPUTED_VALUE"""),"+221 78 449 43 30")</f>
        <v>+221 78 449 43 30</v>
      </c>
      <c r="AB576" s="2">
        <f ca="1">IFERROR(__xludf.DUMMYFUNCTION("""COMPUTED_VALUE"""),28158)</f>
        <v>28158</v>
      </c>
      <c r="AC576" s="2">
        <f ca="1">IFERROR(__xludf.DUMMYFUNCTION("""COMPUTED_VALUE"""),26162)</f>
        <v>26162</v>
      </c>
      <c r="AD576" s="1" t="str">
        <f ca="1">IFERROR(__xludf.DUMMYFUNCTION("""COMPUTED_VALUE"""),"MERE")</f>
        <v>MERE</v>
      </c>
      <c r="AE576" s="1" t="str">
        <f ca="1">IFERROR(__xludf.DUMMYFUNCTION("""COMPUTED_VALUE"""),"PERE")</f>
        <v>PERE</v>
      </c>
      <c r="AF576" s="1" t="str">
        <f ca="1">IFERROR(__xludf.DUMMYFUNCTION("""COMPUTED_VALUE"""),"BENIN")</f>
        <v>BENIN</v>
      </c>
      <c r="AG576" s="1" t="str">
        <f ca="1">IFERROR(__xludf.DUMMYFUNCTION("""COMPUTED_VALUE"""),"GABON")</f>
        <v>GABON</v>
      </c>
      <c r="AH576" s="1" t="str">
        <f ca="1">IFERROR(__xludf.DUMMYFUNCTION("""COMPUTED_VALUE"""),"GABON")</f>
        <v>GABON</v>
      </c>
      <c r="AI576" s="1" t="str">
        <f ca="1">IFERROR(__xludf.DUMMYFUNCTION("""COMPUTED_VALUE"""),"BENIN")</f>
        <v>BENIN</v>
      </c>
      <c r="AJ576" s="1" t="str">
        <f ca="1">IFERROR(__xludf.DUMMYFUNCTION("""COMPUTED_VALUE"""),"F1690")</f>
        <v>F1690</v>
      </c>
      <c r="AK576" s="1" t="str">
        <f ca="1">IFERROR(__xludf.DUMMYFUNCTION("""COMPUTED_VALUE"""),"Marié(e)")</f>
        <v>Marié(e)</v>
      </c>
      <c r="AL576" s="1"/>
      <c r="AM576" s="1" t="str">
        <f ca="1">IFERROR(__xludf.DUMMYFUNCTION("""COMPUTED_VALUE"""),"F1690")</f>
        <v>F1690</v>
      </c>
    </row>
    <row r="577" spans="1:39" ht="13" x14ac:dyDescent="0.15">
      <c r="A577" s="1" t="str">
        <f ca="1">IFERROR(__xludf.DUMMYFUNCTION("""COMPUTED_VALUE"""),"SOW Aminata Soraya")</f>
        <v>SOW Aminata Soraya</v>
      </c>
      <c r="B577" s="1" t="str">
        <f ca="1">IFERROR(__xludf.DUMMYFUNCTION("""COMPUTED_VALUE"""),"SOW")</f>
        <v>SOW</v>
      </c>
      <c r="C577" s="1" t="str">
        <f ca="1">IFERROR(__xludf.DUMMYFUNCTION("""COMPUTED_VALUE"""),"Aminata Soraya")</f>
        <v>Aminata Soraya</v>
      </c>
      <c r="D577" s="1" t="str">
        <f ca="1">IFERROR(__xludf.DUMMYFUNCTION("""COMPUTED_VALUE"""),"1583E1")</f>
        <v>1583E1</v>
      </c>
      <c r="E577" s="2">
        <f ca="1">IFERROR(__xludf.DUMMYFUNCTION("""COMPUTED_VALUE"""),39481)</f>
        <v>39481</v>
      </c>
      <c r="F577" s="1" t="str">
        <f ca="1">IFERROR(__xludf.DUMMYFUNCTION("""COMPUTED_VALUE"""),"TERMINALE2")</f>
        <v>TERMINALE2</v>
      </c>
      <c r="G577" s="1" t="str">
        <f ca="1">IFERROR(__xludf.DUMMYFUNCTION("""COMPUTED_VALUE"""),"Terminale")</f>
        <v>Terminale</v>
      </c>
      <c r="H577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577" s="1" t="str">
        <f ca="1">IFERROR(__xludf.DUMMYFUNCTION("""COMPUTED_VALUE"""),"LVA Anglais")</f>
        <v>LVA Anglais</v>
      </c>
      <c r="J577" s="1" t="str">
        <f ca="1">IFERROR(__xludf.DUMMYFUNCTION("""COMPUTED_VALUE"""),"LVB Espagnol")</f>
        <v>LVB Espagnol</v>
      </c>
      <c r="K577" s="1"/>
      <c r="L577" s="1"/>
      <c r="M577" s="1" t="str">
        <f ca="1">IFERROR(__xludf.DUMMYFUNCTION("""COMPUTED_VALUE"""),"SPE LLCE AMC, SPE SVT")</f>
        <v>SPE LLCE AMC, SPE SVT</v>
      </c>
      <c r="N577" s="1" t="str">
        <f ca="1">IFERROR(__xludf.DUMMYFUNCTION("""COMPUTED_VALUE"""),"Fille")</f>
        <v>Fille</v>
      </c>
      <c r="O577" s="1"/>
      <c r="P577" s="1" t="str">
        <f ca="1">IFERROR(__xludf.DUMMYFUNCTION("""COMPUTED_VALUE"""),"SENEGAL")</f>
        <v>SENEGAL</v>
      </c>
      <c r="Q577" s="1"/>
      <c r="R577" s="1" t="str">
        <f ca="1">IFERROR(__xludf.DUMMYFUNCTION("""COMPUTED_VALUE"""),"aminata.sow@lfjpsaly.org")</f>
        <v>aminata.sow@lfjpsaly.org</v>
      </c>
      <c r="S577" s="1"/>
      <c r="T577" s="1" t="str">
        <f ca="1">IFERROR(__xludf.DUMMYFUNCTION("""COMPUTED_VALUE"""),"KANE Fatimata")</f>
        <v>KANE Fatimata</v>
      </c>
      <c r="U577" s="1" t="str">
        <f ca="1">IFERROR(__xludf.DUMMYFUNCTION("""COMPUTED_VALUE"""),"SOW Amate")</f>
        <v>SOW Amate</v>
      </c>
      <c r="V577" s="1" t="str">
        <f ca="1">IFERROR(__xludf.DUMMYFUNCTION("""COMPUTED_VALUE"""),"fatififi2003@yahoo.fr")</f>
        <v>fatififi2003@yahoo.fr</v>
      </c>
      <c r="W577" s="1" t="str">
        <f ca="1">IFERROR(__xludf.DUMMYFUNCTION("""COMPUTED_VALUE"""),"gotelnaty@yahoo.fr")</f>
        <v>gotelnaty@yahoo.fr</v>
      </c>
      <c r="X577" s="1" t="str">
        <f ca="1">IFERROR(__xludf.DUMMYFUNCTION("""COMPUTED_VALUE"""),"+221 77 640 24 02")</f>
        <v>+221 77 640 24 02</v>
      </c>
      <c r="Y577" s="1" t="str">
        <f ca="1">IFERROR(__xludf.DUMMYFUNCTION("""COMPUTED_VALUE"""),"+221 77 644 73 24")</f>
        <v>+221 77 644 73 24</v>
      </c>
      <c r="Z577" s="1"/>
      <c r="AA577" s="1"/>
      <c r="AB577" s="2">
        <f ca="1">IFERROR(__xludf.DUMMYFUNCTION("""COMPUTED_VALUE"""),25466)</f>
        <v>25466</v>
      </c>
      <c r="AC577" s="2">
        <f ca="1">IFERROR(__xludf.DUMMYFUNCTION("""COMPUTED_VALUE"""),25628)</f>
        <v>25628</v>
      </c>
      <c r="AD577" s="1" t="str">
        <f ca="1">IFERROR(__xludf.DUMMYFUNCTION("""COMPUTED_VALUE"""),"MERE")</f>
        <v>MERE</v>
      </c>
      <c r="AE577" s="1" t="str">
        <f ca="1">IFERROR(__xludf.DUMMYFUNCTION("""COMPUTED_VALUE"""),"PERE")</f>
        <v>PERE</v>
      </c>
      <c r="AF577" s="1" t="str">
        <f ca="1">IFERROR(__xludf.DUMMYFUNCTION("""COMPUTED_VALUE"""),"SENEGAL")</f>
        <v>SENEGAL</v>
      </c>
      <c r="AG577" s="1" t="str">
        <f ca="1">IFERROR(__xludf.DUMMYFUNCTION("""COMPUTED_VALUE"""),"SENEGAL")</f>
        <v>SENEGAL</v>
      </c>
      <c r="AH577" s="1"/>
      <c r="AI577" s="1"/>
      <c r="AJ577" s="1" t="str">
        <f ca="1">IFERROR(__xludf.DUMMYFUNCTION("""COMPUTED_VALUE"""),"F1583")</f>
        <v>F1583</v>
      </c>
      <c r="AK577" s="1"/>
      <c r="AL577" s="1" t="str">
        <f ca="1">IFERROR(__xludf.DUMMYFUNCTION("""COMPUTED_VALUE"""),"Marié(e)")</f>
        <v>Marié(e)</v>
      </c>
      <c r="AM577" s="1" t="str">
        <f ca="1">IFERROR(__xludf.DUMMYFUNCTION("""COMPUTED_VALUE"""),"F1583")</f>
        <v>F1583</v>
      </c>
    </row>
    <row r="578" spans="1:39" ht="13" x14ac:dyDescent="0.15">
      <c r="A578" s="1" t="str">
        <f ca="1">IFERROR(__xludf.DUMMYFUNCTION("""COMPUTED_VALUE"""),"SOW Diyé")</f>
        <v>SOW Diyé</v>
      </c>
      <c r="B578" s="1" t="str">
        <f ca="1">IFERROR(__xludf.DUMMYFUNCTION("""COMPUTED_VALUE"""),"SOW")</f>
        <v>SOW</v>
      </c>
      <c r="C578" s="1" t="str">
        <f ca="1">IFERROR(__xludf.DUMMYFUNCTION("""COMPUTED_VALUE"""),"Diyé")</f>
        <v>Diyé</v>
      </c>
      <c r="D578" s="1" t="str">
        <f ca="1">IFERROR(__xludf.DUMMYFUNCTION("""COMPUTED_VALUE"""),"1584E3")</f>
        <v>1584E3</v>
      </c>
      <c r="E578" s="2">
        <f ca="1">IFERROR(__xludf.DUMMYFUNCTION("""COMPUTED_VALUE"""),39358)</f>
        <v>39358</v>
      </c>
      <c r="F578" s="1" t="str">
        <f ca="1">IFERROR(__xludf.DUMMYFUNCTION("""COMPUTED_VALUE"""),"TERMINALE2")</f>
        <v>TERMINALE2</v>
      </c>
      <c r="G578" s="1" t="str">
        <f ca="1">IFERROR(__xludf.DUMMYFUNCTION("""COMPUTED_VALUE"""),"Terminale")</f>
        <v>Terminale</v>
      </c>
      <c r="H578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578" s="1" t="str">
        <f ca="1">IFERROR(__xludf.DUMMYFUNCTION("""COMPUTED_VALUE"""),"LVA Anglais")</f>
        <v>LVA Anglais</v>
      </c>
      <c r="J578" s="1" t="str">
        <f ca="1">IFERROR(__xludf.DUMMYFUNCTION("""COMPUTED_VALUE"""),"LVB Espagnol")</f>
        <v>LVB Espagnol</v>
      </c>
      <c r="K578" s="1"/>
      <c r="L578" s="1"/>
      <c r="M578" s="1" t="str">
        <f ca="1">IFERROR(__xludf.DUMMYFUNCTION("""COMPUTED_VALUE"""),"SPE LLCE AMC, SPE SVT")</f>
        <v>SPE LLCE AMC, SPE SVT</v>
      </c>
      <c r="N578" s="1" t="str">
        <f ca="1">IFERROR(__xludf.DUMMYFUNCTION("""COMPUTED_VALUE"""),"Fille")</f>
        <v>Fille</v>
      </c>
      <c r="O578" s="1"/>
      <c r="P578" s="1" t="str">
        <f ca="1">IFERROR(__xludf.DUMMYFUNCTION("""COMPUTED_VALUE"""),"FRANCE")</f>
        <v>FRANCE</v>
      </c>
      <c r="Q578" s="1" t="str">
        <f ca="1">IFERROR(__xludf.DUMMYFUNCTION("""COMPUTED_VALUE"""),"SENEGAL")</f>
        <v>SENEGAL</v>
      </c>
      <c r="R578" s="1" t="str">
        <f ca="1">IFERROR(__xludf.DUMMYFUNCTION("""COMPUTED_VALUE"""),"diye.sow@lfjpsaly.org")</f>
        <v>diye.sow@lfjpsaly.org</v>
      </c>
      <c r="S578" s="1"/>
      <c r="T578" s="1" t="str">
        <f ca="1">IFERROR(__xludf.DUMMYFUNCTION("""COMPUTED_VALUE"""),"SOW Haby")</f>
        <v>SOW Haby</v>
      </c>
      <c r="U578" s="1" t="str">
        <f ca="1">IFERROR(__xludf.DUMMYFUNCTION("""COMPUTED_VALUE"""),"SOW Amady")</f>
        <v>SOW Amady</v>
      </c>
      <c r="V578" s="1" t="str">
        <f ca="1">IFERROR(__xludf.DUMMYFUNCTION("""COMPUTED_VALUE"""),"cissokh.haby01@gmail.com")</f>
        <v>cissokh.haby01@gmail.com</v>
      </c>
      <c r="W578" s="1" t="str">
        <f ca="1">IFERROR(__xludf.DUMMYFUNCTION("""COMPUTED_VALUE"""),"amady.sow59@yahoo.fr")</f>
        <v>amady.sow59@yahoo.fr</v>
      </c>
      <c r="X578" s="1" t="str">
        <f ca="1">IFERROR(__xludf.DUMMYFUNCTION("""COMPUTED_VALUE"""),"+221 77 788 32 01")</f>
        <v>+221 77 788 32 01</v>
      </c>
      <c r="Y578" s="1" t="str">
        <f ca="1">IFERROR(__xludf.DUMMYFUNCTION("""COMPUTED_VALUE"""),"+221 77 474 07 51")</f>
        <v>+221 77 474 07 51</v>
      </c>
      <c r="Z578" s="1" t="str">
        <f ca="1">IFERROR(__xludf.DUMMYFUNCTION("""COMPUTED_VALUE"""),"+221 77 788 32 01")</f>
        <v>+221 77 788 32 01</v>
      </c>
      <c r="AA578" s="1" t="str">
        <f ca="1">IFERROR(__xludf.DUMMYFUNCTION("""COMPUTED_VALUE"""),"+221 77 474 07 51")</f>
        <v>+221 77 474 07 51</v>
      </c>
      <c r="AB578" s="2">
        <f ca="1">IFERROR(__xludf.DUMMYFUNCTION("""COMPUTED_VALUE"""),29192)</f>
        <v>29192</v>
      </c>
      <c r="AC578" s="2">
        <f ca="1">IFERROR(__xludf.DUMMYFUNCTION("""COMPUTED_VALUE"""),17923)</f>
        <v>17923</v>
      </c>
      <c r="AD578" s="1" t="str">
        <f ca="1">IFERROR(__xludf.DUMMYFUNCTION("""COMPUTED_VALUE"""),"MERE")</f>
        <v>MERE</v>
      </c>
      <c r="AE578" s="1" t="str">
        <f ca="1">IFERROR(__xludf.DUMMYFUNCTION("""COMPUTED_VALUE"""),"PERE")</f>
        <v>PERE</v>
      </c>
      <c r="AF578" s="1" t="str">
        <f ca="1">IFERROR(__xludf.DUMMYFUNCTION("""COMPUTED_VALUE"""),"FRANCE")</f>
        <v>FRANCE</v>
      </c>
      <c r="AG578" s="1" t="str">
        <f ca="1">IFERROR(__xludf.DUMMYFUNCTION("""COMPUTED_VALUE"""),"FRANCE")</f>
        <v>FRANCE</v>
      </c>
      <c r="AH578" s="1" t="str">
        <f ca="1">IFERROR(__xludf.DUMMYFUNCTION("""COMPUTED_VALUE"""),"SENEGAL")</f>
        <v>SENEGAL</v>
      </c>
      <c r="AI578" s="1" t="str">
        <f ca="1">IFERROR(__xludf.DUMMYFUNCTION("""COMPUTED_VALUE"""),"SENEGAL")</f>
        <v>SENEGAL</v>
      </c>
      <c r="AJ578" s="1" t="str">
        <f ca="1">IFERROR(__xludf.DUMMYFUNCTION("""COMPUTED_VALUE"""),"F1584")</f>
        <v>F1584</v>
      </c>
      <c r="AK578" s="1" t="str">
        <f ca="1">IFERROR(__xludf.DUMMYFUNCTION("""COMPUTED_VALUE"""),"Marié(e)")</f>
        <v>Marié(e)</v>
      </c>
      <c r="AL578" s="1" t="str">
        <f ca="1">IFERROR(__xludf.DUMMYFUNCTION("""COMPUTED_VALUE"""),"Marié(e)")</f>
        <v>Marié(e)</v>
      </c>
      <c r="AM578" s="1" t="str">
        <f ca="1">IFERROR(__xludf.DUMMYFUNCTION("""COMPUTED_VALUE"""),"F1584")</f>
        <v>F1584</v>
      </c>
    </row>
    <row r="579" spans="1:39" ht="13" x14ac:dyDescent="0.15">
      <c r="A579" s="1" t="str">
        <f ca="1">IFERROR(__xludf.DUMMYFUNCTION("""COMPUTED_VALUE"""),"SOW Mame-Djiba")</f>
        <v>SOW Mame-Djiba</v>
      </c>
      <c r="B579" s="1" t="str">
        <f ca="1">IFERROR(__xludf.DUMMYFUNCTION("""COMPUTED_VALUE"""),"SOW")</f>
        <v>SOW</v>
      </c>
      <c r="C579" s="1" t="str">
        <f ca="1">IFERROR(__xludf.DUMMYFUNCTION("""COMPUTED_VALUE"""),"Mame-Djiba")</f>
        <v>Mame-Djiba</v>
      </c>
      <c r="D579" s="1" t="str">
        <f ca="1">IFERROR(__xludf.DUMMYFUNCTION("""COMPUTED_VALUE"""),"1584E4")</f>
        <v>1584E4</v>
      </c>
      <c r="E579" s="2">
        <f ca="1">IFERROR(__xludf.DUMMYFUNCTION("""COMPUTED_VALUE"""),42508)</f>
        <v>42508</v>
      </c>
      <c r="F579" s="1" t="str">
        <f ca="1">IFERROR(__xludf.DUMMYFUNCTION("""COMPUTED_VALUE"""),"CM1B")</f>
        <v>CM1B</v>
      </c>
      <c r="G579" s="1" t="str">
        <f ca="1">IFERROR(__xludf.DUMMYFUNCTION("""COMPUTED_VALUE"""),"CM1")</f>
        <v>CM1</v>
      </c>
      <c r="H579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579" s="1"/>
      <c r="J579" s="1"/>
      <c r="K579" s="1"/>
      <c r="L579" s="1"/>
      <c r="M579" s="1"/>
      <c r="N579" s="1" t="str">
        <f ca="1">IFERROR(__xludf.DUMMYFUNCTION("""COMPUTED_VALUE"""),"Fille")</f>
        <v>Fille</v>
      </c>
      <c r="O579" s="1"/>
      <c r="P579" s="1" t="str">
        <f ca="1">IFERROR(__xludf.DUMMYFUNCTION("""COMPUTED_VALUE"""),"SENEGAL")</f>
        <v>SENEGAL</v>
      </c>
      <c r="Q579" s="1" t="str">
        <f ca="1">IFERROR(__xludf.DUMMYFUNCTION("""COMPUTED_VALUE"""),"SENEGAL")</f>
        <v>SENEGAL</v>
      </c>
      <c r="R579" s="1"/>
      <c r="S579" s="1" t="str">
        <f ca="1">IFERROR(__xludf.DUMMYFUNCTION("""COMPUTED_VALUE"""),"+221")</f>
        <v>+221</v>
      </c>
      <c r="T579" s="1" t="str">
        <f ca="1">IFERROR(__xludf.DUMMYFUNCTION("""COMPUTED_VALUE"""),"SOW Haby")</f>
        <v>SOW Haby</v>
      </c>
      <c r="U579" s="1" t="str">
        <f ca="1">IFERROR(__xludf.DUMMYFUNCTION("""COMPUTED_VALUE"""),"SOW Amady")</f>
        <v>SOW Amady</v>
      </c>
      <c r="V579" s="1" t="str">
        <f ca="1">IFERROR(__xludf.DUMMYFUNCTION("""COMPUTED_VALUE"""),"cissokh.haby01@gmail.com")</f>
        <v>cissokh.haby01@gmail.com</v>
      </c>
      <c r="W579" s="1" t="str">
        <f ca="1">IFERROR(__xludf.DUMMYFUNCTION("""COMPUTED_VALUE"""),"amady.sow59@yahoo.fr")</f>
        <v>amady.sow59@yahoo.fr</v>
      </c>
      <c r="X579" s="1" t="str">
        <f ca="1">IFERROR(__xludf.DUMMYFUNCTION("""COMPUTED_VALUE"""),"+221 77 788 32 01")</f>
        <v>+221 77 788 32 01</v>
      </c>
      <c r="Y579" s="1" t="str">
        <f ca="1">IFERROR(__xludf.DUMMYFUNCTION("""COMPUTED_VALUE"""),"+221 77 474 07 51")</f>
        <v>+221 77 474 07 51</v>
      </c>
      <c r="Z579" s="1" t="str">
        <f ca="1">IFERROR(__xludf.DUMMYFUNCTION("""COMPUTED_VALUE"""),"+221 77 788 32 01")</f>
        <v>+221 77 788 32 01</v>
      </c>
      <c r="AA579" s="1" t="str">
        <f ca="1">IFERROR(__xludf.DUMMYFUNCTION("""COMPUTED_VALUE"""),"+221 77 474 07 51")</f>
        <v>+221 77 474 07 51</v>
      </c>
      <c r="AB579" s="2">
        <f ca="1">IFERROR(__xludf.DUMMYFUNCTION("""COMPUTED_VALUE"""),29192)</f>
        <v>29192</v>
      </c>
      <c r="AC579" s="2">
        <f ca="1">IFERROR(__xludf.DUMMYFUNCTION("""COMPUTED_VALUE"""),17923)</f>
        <v>17923</v>
      </c>
      <c r="AD579" s="1" t="str">
        <f ca="1">IFERROR(__xludf.DUMMYFUNCTION("""COMPUTED_VALUE"""),"MERE")</f>
        <v>MERE</v>
      </c>
      <c r="AE579" s="1" t="str">
        <f ca="1">IFERROR(__xludf.DUMMYFUNCTION("""COMPUTED_VALUE"""),"PERE")</f>
        <v>PERE</v>
      </c>
      <c r="AF579" s="1" t="str">
        <f ca="1">IFERROR(__xludf.DUMMYFUNCTION("""COMPUTED_VALUE"""),"FRANCE")</f>
        <v>FRANCE</v>
      </c>
      <c r="AG579" s="1" t="str">
        <f ca="1">IFERROR(__xludf.DUMMYFUNCTION("""COMPUTED_VALUE"""),"FRANCE")</f>
        <v>FRANCE</v>
      </c>
      <c r="AH579" s="1" t="str">
        <f ca="1">IFERROR(__xludf.DUMMYFUNCTION("""COMPUTED_VALUE"""),"SENEGAL")</f>
        <v>SENEGAL</v>
      </c>
      <c r="AI579" s="1" t="str">
        <f ca="1">IFERROR(__xludf.DUMMYFUNCTION("""COMPUTED_VALUE"""),"SENEGAL")</f>
        <v>SENEGAL</v>
      </c>
      <c r="AJ579" s="1" t="str">
        <f ca="1">IFERROR(__xludf.DUMMYFUNCTION("""COMPUTED_VALUE"""),"F1584")</f>
        <v>F1584</v>
      </c>
      <c r="AK579" s="1" t="str">
        <f ca="1">IFERROR(__xludf.DUMMYFUNCTION("""COMPUTED_VALUE"""),"Marié(e)")</f>
        <v>Marié(e)</v>
      </c>
      <c r="AL579" s="1" t="str">
        <f ca="1">IFERROR(__xludf.DUMMYFUNCTION("""COMPUTED_VALUE"""),"Marié(e)")</f>
        <v>Marié(e)</v>
      </c>
      <c r="AM579" s="1" t="str">
        <f ca="1">IFERROR(__xludf.DUMMYFUNCTION("""COMPUTED_VALUE"""),"F1584")</f>
        <v>F1584</v>
      </c>
    </row>
    <row r="580" spans="1:39" ht="13" x14ac:dyDescent="0.15">
      <c r="A580" s="1" t="str">
        <f ca="1">IFERROR(__xludf.DUMMYFUNCTION("""COMPUTED_VALUE"""),"TABANE Aïcha")</f>
        <v>TABANE Aïcha</v>
      </c>
      <c r="B580" s="1" t="str">
        <f ca="1">IFERROR(__xludf.DUMMYFUNCTION("""COMPUTED_VALUE"""),"TABANE")</f>
        <v>TABANE</v>
      </c>
      <c r="C580" s="1" t="str">
        <f ca="1">IFERROR(__xludf.DUMMYFUNCTION("""COMPUTED_VALUE"""),"Aïcha")</f>
        <v>Aïcha</v>
      </c>
      <c r="D580" s="1" t="str">
        <f ca="1">IFERROR(__xludf.DUMMYFUNCTION("""COMPUTED_VALUE"""),"1691E1")</f>
        <v>1691E1</v>
      </c>
      <c r="E580" s="2">
        <f ca="1">IFERROR(__xludf.DUMMYFUNCTION("""COMPUTED_VALUE"""),41401)</f>
        <v>41401</v>
      </c>
      <c r="F580" s="1" t="str">
        <f ca="1">IFERROR(__xludf.DUMMYFUNCTION("""COMPUTED_VALUE"""),"5EME2")</f>
        <v>5EME2</v>
      </c>
      <c r="G580" s="1" t="str">
        <f ca="1">IFERROR(__xludf.DUMMYFUNCTION("""COMPUTED_VALUE"""),"5ème")</f>
        <v>5ème</v>
      </c>
      <c r="H580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580" s="1" t="str">
        <f ca="1">IFERROR(__xludf.DUMMYFUNCTION("""COMPUTED_VALUE"""),"LVA Anglais")</f>
        <v>LVA Anglais</v>
      </c>
      <c r="J580" s="1" t="str">
        <f ca="1">IFERROR(__xludf.DUMMYFUNCTION("""COMPUTED_VALUE"""),"LVB Espagnol")</f>
        <v>LVB Espagnol</v>
      </c>
      <c r="K580" s="1"/>
      <c r="L580" s="1"/>
      <c r="M580" s="1"/>
      <c r="N580" s="1" t="str">
        <f ca="1">IFERROR(__xludf.DUMMYFUNCTION("""COMPUTED_VALUE"""),"Fille")</f>
        <v>Fille</v>
      </c>
      <c r="O580" s="1"/>
      <c r="P580" s="1" t="str">
        <f ca="1">IFERROR(__xludf.DUMMYFUNCTION("""COMPUTED_VALUE"""),"FRANCE")</f>
        <v>FRANCE</v>
      </c>
      <c r="Q580" s="1"/>
      <c r="R580" s="1" t="str">
        <f ca="1">IFERROR(__xludf.DUMMYFUNCTION("""COMPUTED_VALUE"""),"aicha.tabane@lfjpsaly.org")</f>
        <v>aicha.tabane@lfjpsaly.org</v>
      </c>
      <c r="S580" s="1" t="str">
        <f ca="1">IFERROR(__xludf.DUMMYFUNCTION("""COMPUTED_VALUE"""),"+221 77 542 53 56")</f>
        <v>+221 77 542 53 56</v>
      </c>
      <c r="T580" s="1" t="str">
        <f ca="1">IFERROR(__xludf.DUMMYFUNCTION("""COMPUTED_VALUE"""),"TABANE Ousmane")</f>
        <v>TABANE Ousmane</v>
      </c>
      <c r="U580" s="1" t="str">
        <f ca="1">IFERROR(__xludf.DUMMYFUNCTION("""COMPUTED_VALUE"""),"COURQUIN Monika")</f>
        <v>COURQUIN Monika</v>
      </c>
      <c r="V580" s="1" t="str">
        <f ca="1">IFERROR(__xludf.DUMMYFUNCTION("""COMPUTED_VALUE"""),"tabane.ousmane1@gmail.com")</f>
        <v>tabane.ousmane1@gmail.com</v>
      </c>
      <c r="W580" s="1" t="str">
        <f ca="1">IFERROR(__xludf.DUMMYFUNCTION("""COMPUTED_VALUE"""),"moni621@live.fr")</f>
        <v>moni621@live.fr</v>
      </c>
      <c r="X580" s="1" t="str">
        <f ca="1">IFERROR(__xludf.DUMMYFUNCTION("""COMPUTED_VALUE"""),"+221 77 542 53 56")</f>
        <v>+221 77 542 53 56</v>
      </c>
      <c r="Y580" s="1" t="str">
        <f ca="1">IFERROR(__xludf.DUMMYFUNCTION("""COMPUTED_VALUE"""),"+33 6 01 02 41 37")</f>
        <v>+33 6 01 02 41 37</v>
      </c>
      <c r="Z580" s="1" t="str">
        <f ca="1">IFERROR(__xludf.DUMMYFUNCTION("""COMPUTED_VALUE"""),"+336 18 75 76 4")</f>
        <v>+336 18 75 76 4</v>
      </c>
      <c r="AA580" s="1" t="str">
        <f ca="1">IFERROR(__xludf.DUMMYFUNCTION("""COMPUTED_VALUE"""),"+33 6 18 75 76 43")</f>
        <v>+33 6 18 75 76 43</v>
      </c>
      <c r="AB580" s="2">
        <f ca="1">IFERROR(__xludf.DUMMYFUNCTION("""COMPUTED_VALUE"""),31693)</f>
        <v>31693</v>
      </c>
      <c r="AC580" s="2">
        <f ca="1">IFERROR(__xludf.DUMMYFUNCTION("""COMPUTED_VALUE"""),32316)</f>
        <v>32316</v>
      </c>
      <c r="AD580" s="1" t="str">
        <f ca="1">IFERROR(__xludf.DUMMYFUNCTION("""COMPUTED_VALUE"""),"PERE")</f>
        <v>PERE</v>
      </c>
      <c r="AE580" s="1" t="str">
        <f ca="1">IFERROR(__xludf.DUMMYFUNCTION("""COMPUTED_VALUE"""),"MERE")</f>
        <v>MERE</v>
      </c>
      <c r="AF580" s="1" t="str">
        <f ca="1">IFERROR(__xludf.DUMMYFUNCTION("""COMPUTED_VALUE"""),"FRANCE")</f>
        <v>FRANCE</v>
      </c>
      <c r="AG580" s="1" t="str">
        <f ca="1">IFERROR(__xludf.DUMMYFUNCTION("""COMPUTED_VALUE"""),"FRANCE")</f>
        <v>FRANCE</v>
      </c>
      <c r="AH580" s="1" t="str">
        <f ca="1">IFERROR(__xludf.DUMMYFUNCTION("""COMPUTED_VALUE"""),"SENEGAL")</f>
        <v>SENEGAL</v>
      </c>
      <c r="AI580" s="1" t="str">
        <f ca="1">IFERROR(__xludf.DUMMYFUNCTION("""COMPUTED_VALUE"""),"SENEGAL")</f>
        <v>SENEGAL</v>
      </c>
      <c r="AJ580" s="1" t="str">
        <f ca="1">IFERROR(__xludf.DUMMYFUNCTION("""COMPUTED_VALUE"""),"F1691")</f>
        <v>F1691</v>
      </c>
      <c r="AK580" s="1" t="str">
        <f ca="1">IFERROR(__xludf.DUMMYFUNCTION("""COMPUTED_VALUE"""),"Divorcée")</f>
        <v>Divorcée</v>
      </c>
      <c r="AL580" s="1" t="str">
        <f ca="1">IFERROR(__xludf.DUMMYFUNCTION("""COMPUTED_VALUE"""),"Divorcée")</f>
        <v>Divorcée</v>
      </c>
      <c r="AM580" s="1" t="str">
        <f ca="1">IFERROR(__xludf.DUMMYFUNCTION("""COMPUTED_VALUE"""),"F1691")</f>
        <v>F1691</v>
      </c>
    </row>
    <row r="581" spans="1:39" ht="13" x14ac:dyDescent="0.15">
      <c r="A581" s="1" t="str">
        <f ca="1">IFERROR(__xludf.DUMMYFUNCTION("""COMPUTED_VALUE"""),"TABOURÉ Khadija")</f>
        <v>TABOURÉ Khadija</v>
      </c>
      <c r="B581" s="1" t="str">
        <f ca="1">IFERROR(__xludf.DUMMYFUNCTION("""COMPUTED_VALUE"""),"TABOURÉ")</f>
        <v>TABOURÉ</v>
      </c>
      <c r="C581" s="1" t="str">
        <f ca="1">IFERROR(__xludf.DUMMYFUNCTION("""COMPUTED_VALUE"""),"Khadija")</f>
        <v>Khadija</v>
      </c>
      <c r="D581" s="1" t="str">
        <f ca="1">IFERROR(__xludf.DUMMYFUNCTION("""COMPUTED_VALUE"""),"1586E2")</f>
        <v>1586E2</v>
      </c>
      <c r="E581" s="2">
        <f ca="1">IFERROR(__xludf.DUMMYFUNCTION("""COMPUTED_VALUE"""),41771)</f>
        <v>41771</v>
      </c>
      <c r="F581" s="1" t="str">
        <f ca="1">IFERROR(__xludf.DUMMYFUNCTION("""COMPUTED_VALUE"""),"6EME2")</f>
        <v>6EME2</v>
      </c>
      <c r="G581" s="1" t="str">
        <f ca="1">IFERROR(__xludf.DUMMYFUNCTION("""COMPUTED_VALUE"""),"6ème")</f>
        <v>6ème</v>
      </c>
      <c r="H581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581" s="1" t="str">
        <f ca="1">IFERROR(__xludf.DUMMYFUNCTION("""COMPUTED_VALUE"""),"LVA Anglais")</f>
        <v>LVA Anglais</v>
      </c>
      <c r="J581" s="1" t="str">
        <f ca="1">IFERROR(__xludf.DUMMYFUNCTION("""COMPUTED_VALUE"""),"LVB Espagnol")</f>
        <v>LVB Espagnol</v>
      </c>
      <c r="K581" s="1"/>
      <c r="L581" s="1"/>
      <c r="M581" s="1"/>
      <c r="N581" s="1" t="str">
        <f ca="1">IFERROR(__xludf.DUMMYFUNCTION("""COMPUTED_VALUE"""),"Fille")</f>
        <v>Fille</v>
      </c>
      <c r="O581" s="1"/>
      <c r="P581" s="1" t="str">
        <f ca="1">IFERROR(__xludf.DUMMYFUNCTION("""COMPUTED_VALUE"""),"FRANCE")</f>
        <v>FRANCE</v>
      </c>
      <c r="Q581" s="1" t="str">
        <f ca="1">IFERROR(__xludf.DUMMYFUNCTION("""COMPUTED_VALUE"""),"SENEGAL")</f>
        <v>SENEGAL</v>
      </c>
      <c r="R581" s="1" t="str">
        <f ca="1">IFERROR(__xludf.DUMMYFUNCTION("""COMPUTED_VALUE"""),"khadija.taboure@lfjpsaly.org")</f>
        <v>khadija.taboure@lfjpsaly.org</v>
      </c>
      <c r="S581" s="1" t="str">
        <f ca="1">IFERROR(__xludf.DUMMYFUNCTION("""COMPUTED_VALUE"""),"+221 77 855 45 61")</f>
        <v>+221 77 855 45 61</v>
      </c>
      <c r="T581" s="1" t="str">
        <f ca="1">IFERROR(__xludf.DUMMYFUNCTION("""COMPUTED_VALUE"""),"NDIAYE Jamilla")</f>
        <v>NDIAYE Jamilla</v>
      </c>
      <c r="U581" s="1"/>
      <c r="V581" s="1" t="str">
        <f ca="1">IFERROR(__xludf.DUMMYFUNCTION("""COMPUTED_VALUE"""),"jamillatou@gmail.com")</f>
        <v>jamillatou@gmail.com</v>
      </c>
      <c r="W581" s="1"/>
      <c r="X581" s="1" t="str">
        <f ca="1">IFERROR(__xludf.DUMMYFUNCTION("""COMPUTED_VALUE"""),"+221 77 855 45 61")</f>
        <v>+221 77 855 45 61</v>
      </c>
      <c r="Y581" s="1"/>
      <c r="Z581" s="1"/>
      <c r="AA581" s="1"/>
      <c r="AB581" s="2">
        <f ca="1">IFERROR(__xludf.DUMMYFUNCTION("""COMPUTED_VALUE"""),30146)</f>
        <v>30146</v>
      </c>
      <c r="AC581" s="1"/>
      <c r="AD581" s="1" t="str">
        <f ca="1">IFERROR(__xludf.DUMMYFUNCTION("""COMPUTED_VALUE"""),"MERE")</f>
        <v>MERE</v>
      </c>
      <c r="AE581" s="1"/>
      <c r="AF581" s="1" t="str">
        <f ca="1">IFERROR(__xludf.DUMMYFUNCTION("""COMPUTED_VALUE"""),"FRANCE")</f>
        <v>FRANCE</v>
      </c>
      <c r="AG581" s="1"/>
      <c r="AH581" s="1" t="str">
        <f ca="1">IFERROR(__xludf.DUMMYFUNCTION("""COMPUTED_VALUE"""),"SENEGAL")</f>
        <v>SENEGAL</v>
      </c>
      <c r="AI581" s="1"/>
      <c r="AJ581" s="1" t="str">
        <f ca="1">IFERROR(__xludf.DUMMYFUNCTION("""COMPUTED_VALUE"""),"F1586")</f>
        <v>F1586</v>
      </c>
      <c r="AK581" s="1" t="str">
        <f ca="1">IFERROR(__xludf.DUMMYFUNCTION("""COMPUTED_VALUE"""),"Divorcée")</f>
        <v>Divorcée</v>
      </c>
      <c r="AL581" s="1"/>
      <c r="AM581" s="1" t="str">
        <f ca="1">IFERROR(__xludf.DUMMYFUNCTION("""COMPUTED_VALUE"""),"F1586")</f>
        <v>F1586</v>
      </c>
    </row>
    <row r="582" spans="1:39" ht="13" x14ac:dyDescent="0.15">
      <c r="A582" s="1" t="str">
        <f ca="1">IFERROR(__xludf.DUMMYFUNCTION("""COMPUTED_VALUE"""),"TANIOS Charbel")</f>
        <v>TANIOS Charbel</v>
      </c>
      <c r="B582" s="1" t="str">
        <f ca="1">IFERROR(__xludf.DUMMYFUNCTION("""COMPUTED_VALUE"""),"TANIOS")</f>
        <v>TANIOS</v>
      </c>
      <c r="C582" s="1" t="str">
        <f ca="1">IFERROR(__xludf.DUMMYFUNCTION("""COMPUTED_VALUE"""),"Charbel")</f>
        <v>Charbel</v>
      </c>
      <c r="D582" s="1" t="str">
        <f ca="1">IFERROR(__xludf.DUMMYFUNCTION("""COMPUTED_VALUE"""),"1587E1")</f>
        <v>1587E1</v>
      </c>
      <c r="E582" s="2">
        <f ca="1">IFERROR(__xludf.DUMMYFUNCTION("""COMPUTED_VALUE"""),42369)</f>
        <v>42369</v>
      </c>
      <c r="F582" s="1" t="str">
        <f ca="1">IFERROR(__xludf.DUMMYFUNCTION("""COMPUTED_VALUE"""),"CM2A")</f>
        <v>CM2A</v>
      </c>
      <c r="G582" s="1" t="str">
        <f ca="1">IFERROR(__xludf.DUMMYFUNCTION("""COMPUTED_VALUE"""),"CM2")</f>
        <v>CM2</v>
      </c>
      <c r="H582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582" s="1"/>
      <c r="J582" s="1"/>
      <c r="K582" s="1"/>
      <c r="L582" s="1"/>
      <c r="M582" s="1"/>
      <c r="N582" s="1" t="str">
        <f ca="1">IFERROR(__xludf.DUMMYFUNCTION("""COMPUTED_VALUE"""),"Garçon")</f>
        <v>Garçon</v>
      </c>
      <c r="O582" s="1"/>
      <c r="P582" s="1" t="str">
        <f ca="1">IFERROR(__xludf.DUMMYFUNCTION("""COMPUTED_VALUE"""),"LIBAN")</f>
        <v>LIBAN</v>
      </c>
      <c r="Q582" s="1" t="str">
        <f ca="1">IFERROR(__xludf.DUMMYFUNCTION("""COMPUTED_VALUE"""),"SENEGAL")</f>
        <v>SENEGAL</v>
      </c>
      <c r="R582" s="1"/>
      <c r="S582" s="1" t="str">
        <f ca="1">IFERROR(__xludf.DUMMYFUNCTION("""COMPUTED_VALUE"""),"+221 77 790 66 42")</f>
        <v>+221 77 790 66 42</v>
      </c>
      <c r="T582" s="1" t="str">
        <f ca="1">IFERROR(__xludf.DUMMYFUNCTION("""COMPUTED_VALUE"""),"SAADE Antoinette")</f>
        <v>SAADE Antoinette</v>
      </c>
      <c r="U582" s="1" t="str">
        <f ca="1">IFERROR(__xludf.DUMMYFUNCTION("""COMPUTED_VALUE"""),"TANIOS Rabih")</f>
        <v>TANIOS Rabih</v>
      </c>
      <c r="V582" s="1" t="str">
        <f ca="1">IFERROR(__xludf.DUMMYFUNCTION("""COMPUTED_VALUE"""),"antoinnette_saade@hotmail.com")</f>
        <v>antoinnette_saade@hotmail.com</v>
      </c>
      <c r="W582" s="1" t="str">
        <f ca="1">IFERROR(__xludf.DUMMYFUNCTION("""COMPUTED_VALUE"""),"rabih.tanios@hotmail.com")</f>
        <v>rabih.tanios@hotmail.com</v>
      </c>
      <c r="X582" s="1" t="str">
        <f ca="1">IFERROR(__xludf.DUMMYFUNCTION("""COMPUTED_VALUE"""),"+221 77 790 66 42")</f>
        <v>+221 77 790 66 42</v>
      </c>
      <c r="Y582" s="1" t="str">
        <f ca="1">IFERROR(__xludf.DUMMYFUNCTION("""COMPUTED_VALUE"""),"+221 77 405 56 57")</f>
        <v>+221 77 405 56 57</v>
      </c>
      <c r="Z582" s="1" t="str">
        <f ca="1">IFERROR(__xludf.DUMMYFUNCTION("""COMPUTED_VALUE"""),"+221 77 790 66 42")</f>
        <v>+221 77 790 66 42</v>
      </c>
      <c r="AA582" s="1" t="str">
        <f ca="1">IFERROR(__xludf.DUMMYFUNCTION("""COMPUTED_VALUE"""),"+221 77 405 56 57")</f>
        <v>+221 77 405 56 57</v>
      </c>
      <c r="AB582" s="2">
        <f ca="1">IFERROR(__xludf.DUMMYFUNCTION("""COMPUTED_VALUE"""),31713)</f>
        <v>31713</v>
      </c>
      <c r="AC582" s="2">
        <f ca="1">IFERROR(__xludf.DUMMYFUNCTION("""COMPUTED_VALUE"""),28247)</f>
        <v>28247</v>
      </c>
      <c r="AD582" s="1" t="str">
        <f ca="1">IFERROR(__xludf.DUMMYFUNCTION("""COMPUTED_VALUE"""),"MERE")</f>
        <v>MERE</v>
      </c>
      <c r="AE582" s="1" t="str">
        <f ca="1">IFERROR(__xludf.DUMMYFUNCTION("""COMPUTED_VALUE"""),"PERE")</f>
        <v>PERE</v>
      </c>
      <c r="AF582" s="1" t="str">
        <f ca="1">IFERROR(__xludf.DUMMYFUNCTION("""COMPUTED_VALUE"""),"LIBAN")</f>
        <v>LIBAN</v>
      </c>
      <c r="AG582" s="1" t="str">
        <f ca="1">IFERROR(__xludf.DUMMYFUNCTION("""COMPUTED_VALUE"""),"LIBAN")</f>
        <v>LIBAN</v>
      </c>
      <c r="AH582" s="1" t="str">
        <f ca="1">IFERROR(__xludf.DUMMYFUNCTION("""COMPUTED_VALUE"""),"SENEGAL")</f>
        <v>SENEGAL</v>
      </c>
      <c r="AI582" s="1" t="str">
        <f ca="1">IFERROR(__xludf.DUMMYFUNCTION("""COMPUTED_VALUE"""),"SENEGAL")</f>
        <v>SENEGAL</v>
      </c>
      <c r="AJ582" s="1" t="str">
        <f ca="1">IFERROR(__xludf.DUMMYFUNCTION("""COMPUTED_VALUE"""),"F1587")</f>
        <v>F1587</v>
      </c>
      <c r="AK582" s="1" t="str">
        <f ca="1">IFERROR(__xludf.DUMMYFUNCTION("""COMPUTED_VALUE"""),"Marié(e)")</f>
        <v>Marié(e)</v>
      </c>
      <c r="AL582" s="1" t="str">
        <f ca="1">IFERROR(__xludf.DUMMYFUNCTION("""COMPUTED_VALUE"""),"Marié(e)")</f>
        <v>Marié(e)</v>
      </c>
      <c r="AM582" s="1" t="str">
        <f ca="1">IFERROR(__xludf.DUMMYFUNCTION("""COMPUTED_VALUE"""),"F1587")</f>
        <v>F1587</v>
      </c>
    </row>
    <row r="583" spans="1:39" ht="13" x14ac:dyDescent="0.15">
      <c r="A583" s="1" t="str">
        <f ca="1">IFERROR(__xludf.DUMMYFUNCTION("""COMPUTED_VALUE"""),"TANIOS Sophia")</f>
        <v>TANIOS Sophia</v>
      </c>
      <c r="B583" s="1" t="str">
        <f ca="1">IFERROR(__xludf.DUMMYFUNCTION("""COMPUTED_VALUE"""),"TANIOS")</f>
        <v>TANIOS</v>
      </c>
      <c r="C583" s="1" t="str">
        <f ca="1">IFERROR(__xludf.DUMMYFUNCTION("""COMPUTED_VALUE"""),"Sophia")</f>
        <v>Sophia</v>
      </c>
      <c r="D583" s="1" t="str">
        <f ca="1">IFERROR(__xludf.DUMMYFUNCTION("""COMPUTED_VALUE"""),"1587E2")</f>
        <v>1587E2</v>
      </c>
      <c r="E583" s="2">
        <f ca="1">IFERROR(__xludf.DUMMYFUNCTION("""COMPUTED_VALUE"""),43612)</f>
        <v>43612</v>
      </c>
      <c r="F583" s="1" t="str">
        <f ca="1">IFERROR(__xludf.DUMMYFUNCTION("""COMPUTED_VALUE"""),"CP-CE2")</f>
        <v>CP-CE2</v>
      </c>
      <c r="G583" s="1" t="str">
        <f ca="1">IFERROR(__xludf.DUMMYFUNCTION("""COMPUTED_VALUE"""),"CP")</f>
        <v>CP</v>
      </c>
      <c r="H583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583" s="1"/>
      <c r="J583" s="1"/>
      <c r="K583" s="1"/>
      <c r="L583" s="1"/>
      <c r="M583" s="1"/>
      <c r="N583" s="1" t="str">
        <f ca="1">IFERROR(__xludf.DUMMYFUNCTION("""COMPUTED_VALUE"""),"Fille")</f>
        <v>Fille</v>
      </c>
      <c r="O583" s="1"/>
      <c r="P583" s="1" t="str">
        <f ca="1">IFERROR(__xludf.DUMMYFUNCTION("""COMPUTED_VALUE"""),"LIBAN")</f>
        <v>LIBAN</v>
      </c>
      <c r="Q583" s="1" t="str">
        <f ca="1">IFERROR(__xludf.DUMMYFUNCTION("""COMPUTED_VALUE"""),"SENEGAL")</f>
        <v>SENEGAL</v>
      </c>
      <c r="R583" s="1"/>
      <c r="S583" s="1" t="str">
        <f ca="1">IFERROR(__xludf.DUMMYFUNCTION("""COMPUTED_VALUE"""),"+221")</f>
        <v>+221</v>
      </c>
      <c r="T583" s="1" t="str">
        <f ca="1">IFERROR(__xludf.DUMMYFUNCTION("""COMPUTED_VALUE"""),"SAADE Antoinette")</f>
        <v>SAADE Antoinette</v>
      </c>
      <c r="U583" s="1" t="str">
        <f ca="1">IFERROR(__xludf.DUMMYFUNCTION("""COMPUTED_VALUE"""),"TANIOS Rabih")</f>
        <v>TANIOS Rabih</v>
      </c>
      <c r="V583" s="1" t="str">
        <f ca="1">IFERROR(__xludf.DUMMYFUNCTION("""COMPUTED_VALUE"""),"antoinnette_saade@hotmail.com")</f>
        <v>antoinnette_saade@hotmail.com</v>
      </c>
      <c r="W583" s="1" t="str">
        <f ca="1">IFERROR(__xludf.DUMMYFUNCTION("""COMPUTED_VALUE"""),"rabih.tanios@hotmail.com")</f>
        <v>rabih.tanios@hotmail.com</v>
      </c>
      <c r="X583" s="1" t="str">
        <f ca="1">IFERROR(__xludf.DUMMYFUNCTION("""COMPUTED_VALUE"""),"+221 77 790 66 42")</f>
        <v>+221 77 790 66 42</v>
      </c>
      <c r="Y583" s="1" t="str">
        <f ca="1">IFERROR(__xludf.DUMMYFUNCTION("""COMPUTED_VALUE"""),"+221 77 405 56 57")</f>
        <v>+221 77 405 56 57</v>
      </c>
      <c r="Z583" s="1" t="str">
        <f ca="1">IFERROR(__xludf.DUMMYFUNCTION("""COMPUTED_VALUE"""),"+221 77 790 66 42")</f>
        <v>+221 77 790 66 42</v>
      </c>
      <c r="AA583" s="1" t="str">
        <f ca="1">IFERROR(__xludf.DUMMYFUNCTION("""COMPUTED_VALUE"""),"+221 77 405 56 57")</f>
        <v>+221 77 405 56 57</v>
      </c>
      <c r="AB583" s="2">
        <f ca="1">IFERROR(__xludf.DUMMYFUNCTION("""COMPUTED_VALUE"""),31713)</f>
        <v>31713</v>
      </c>
      <c r="AC583" s="2">
        <f ca="1">IFERROR(__xludf.DUMMYFUNCTION("""COMPUTED_VALUE"""),28247)</f>
        <v>28247</v>
      </c>
      <c r="AD583" s="1" t="str">
        <f ca="1">IFERROR(__xludf.DUMMYFUNCTION("""COMPUTED_VALUE"""),"MERE")</f>
        <v>MERE</v>
      </c>
      <c r="AE583" s="1" t="str">
        <f ca="1">IFERROR(__xludf.DUMMYFUNCTION("""COMPUTED_VALUE"""),"PERE")</f>
        <v>PERE</v>
      </c>
      <c r="AF583" s="1" t="str">
        <f ca="1">IFERROR(__xludf.DUMMYFUNCTION("""COMPUTED_VALUE"""),"LIBAN")</f>
        <v>LIBAN</v>
      </c>
      <c r="AG583" s="1" t="str">
        <f ca="1">IFERROR(__xludf.DUMMYFUNCTION("""COMPUTED_VALUE"""),"LIBAN")</f>
        <v>LIBAN</v>
      </c>
      <c r="AH583" s="1" t="str">
        <f ca="1">IFERROR(__xludf.DUMMYFUNCTION("""COMPUTED_VALUE"""),"SENEGAL")</f>
        <v>SENEGAL</v>
      </c>
      <c r="AI583" s="1" t="str">
        <f ca="1">IFERROR(__xludf.DUMMYFUNCTION("""COMPUTED_VALUE"""),"SENEGAL")</f>
        <v>SENEGAL</v>
      </c>
      <c r="AJ583" s="1" t="str">
        <f ca="1">IFERROR(__xludf.DUMMYFUNCTION("""COMPUTED_VALUE"""),"F1587")</f>
        <v>F1587</v>
      </c>
      <c r="AK583" s="1" t="str">
        <f ca="1">IFERROR(__xludf.DUMMYFUNCTION("""COMPUTED_VALUE"""),"Marié(e)")</f>
        <v>Marié(e)</v>
      </c>
      <c r="AL583" s="1" t="str">
        <f ca="1">IFERROR(__xludf.DUMMYFUNCTION("""COMPUTED_VALUE"""),"Marié(e)")</f>
        <v>Marié(e)</v>
      </c>
      <c r="AM583" s="1" t="str">
        <f ca="1">IFERROR(__xludf.DUMMYFUNCTION("""COMPUTED_VALUE"""),"F1587")</f>
        <v>F1587</v>
      </c>
    </row>
    <row r="584" spans="1:39" ht="13" x14ac:dyDescent="0.15">
      <c r="A584" s="1" t="str">
        <f ca="1">IFERROR(__xludf.DUMMYFUNCTION("""COMPUTED_VALUE"""),"TEBER Ahmet")</f>
        <v>TEBER Ahmet</v>
      </c>
      <c r="B584" s="1" t="str">
        <f ca="1">IFERROR(__xludf.DUMMYFUNCTION("""COMPUTED_VALUE"""),"TEBER")</f>
        <v>TEBER</v>
      </c>
      <c r="C584" s="1" t="str">
        <f ca="1">IFERROR(__xludf.DUMMYFUNCTION("""COMPUTED_VALUE"""),"Ahmet")</f>
        <v>Ahmet</v>
      </c>
      <c r="D584" s="1" t="str">
        <f ca="1">IFERROR(__xludf.DUMMYFUNCTION("""COMPUTED_VALUE"""),"1588E1")</f>
        <v>1588E1</v>
      </c>
      <c r="E584" s="2">
        <f ca="1">IFERROR(__xludf.DUMMYFUNCTION("""COMPUTED_VALUE"""),42360)</f>
        <v>42360</v>
      </c>
      <c r="F584" s="1" t="str">
        <f ca="1">IFERROR(__xludf.DUMMYFUNCTION("""COMPUTED_VALUE"""),"CM2B")</f>
        <v>CM2B</v>
      </c>
      <c r="G584" s="1" t="str">
        <f ca="1">IFERROR(__xludf.DUMMYFUNCTION("""COMPUTED_VALUE"""),"CM2")</f>
        <v>CM2</v>
      </c>
      <c r="H584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584" s="1"/>
      <c r="J584" s="1"/>
      <c r="K584" s="1"/>
      <c r="L584" s="1"/>
      <c r="M584" s="1"/>
      <c r="N584" s="1" t="str">
        <f ca="1">IFERROR(__xludf.DUMMYFUNCTION("""COMPUTED_VALUE"""),"Garçon")</f>
        <v>Garçon</v>
      </c>
      <c r="O584" s="1"/>
      <c r="P584" s="1" t="str">
        <f ca="1">IFERROR(__xludf.DUMMYFUNCTION("""COMPUTED_VALUE"""),"TURQUIE")</f>
        <v>TURQUIE</v>
      </c>
      <c r="Q584" s="1"/>
      <c r="R584" s="1"/>
      <c r="S584" s="1"/>
      <c r="T584" s="1" t="str">
        <f ca="1">IFERROR(__xludf.DUMMYFUNCTION("""COMPUTED_VALUE"""),"TEBER Emine")</f>
        <v>TEBER Emine</v>
      </c>
      <c r="U584" s="1" t="str">
        <f ca="1">IFERROR(__xludf.DUMMYFUNCTION("""COMPUTED_VALUE"""),"TEBER Mehmet")</f>
        <v>TEBER Mehmet</v>
      </c>
      <c r="V584" s="1" t="str">
        <f ca="1">IFERROR(__xludf.DUMMYFUNCTION("""COMPUTED_VALUE"""),"nhtteber@gmail.com")</f>
        <v>nhtteber@gmail.com</v>
      </c>
      <c r="W584" s="1" t="str">
        <f ca="1">IFERROR(__xludf.DUMMYFUNCTION("""COMPUTED_VALUE"""),"mehmetteber@gmail.com")</f>
        <v>mehmetteber@gmail.com</v>
      </c>
      <c r="X584" s="1" t="str">
        <f ca="1">IFERROR(__xludf.DUMMYFUNCTION("""COMPUTED_VALUE"""),"+221 77 388 81 12")</f>
        <v>+221 77 388 81 12</v>
      </c>
      <c r="Y584" s="1" t="str">
        <f ca="1">IFERROR(__xludf.DUMMYFUNCTION("""COMPUTED_VALUE"""),"+221 77 406 77 77")</f>
        <v>+221 77 406 77 77</v>
      </c>
      <c r="Z584" s="1"/>
      <c r="AA584" s="1"/>
      <c r="AB584" s="2">
        <f ca="1">IFERROR(__xludf.DUMMYFUNCTION("""COMPUTED_VALUE"""),30710)</f>
        <v>30710</v>
      </c>
      <c r="AC584" s="2">
        <f ca="1">IFERROR(__xludf.DUMMYFUNCTION("""COMPUTED_VALUE"""),28674)</f>
        <v>28674</v>
      </c>
      <c r="AD584" s="1" t="str">
        <f ca="1">IFERROR(__xludf.DUMMYFUNCTION("""COMPUTED_VALUE"""),"MERE")</f>
        <v>MERE</v>
      </c>
      <c r="AE584" s="1" t="str">
        <f ca="1">IFERROR(__xludf.DUMMYFUNCTION("""COMPUTED_VALUE"""),"PERE")</f>
        <v>PERE</v>
      </c>
      <c r="AF584" s="1" t="str">
        <f ca="1">IFERROR(__xludf.DUMMYFUNCTION("""COMPUTED_VALUE"""),"TURQUIE")</f>
        <v>TURQUIE</v>
      </c>
      <c r="AG584" s="1" t="str">
        <f ca="1">IFERROR(__xludf.DUMMYFUNCTION("""COMPUTED_VALUE"""),"TURQUIE")</f>
        <v>TURQUIE</v>
      </c>
      <c r="AH584" s="1"/>
      <c r="AI584" s="1"/>
      <c r="AJ584" s="1" t="str">
        <f ca="1">IFERROR(__xludf.DUMMYFUNCTION("""COMPUTED_VALUE"""),"F1588")</f>
        <v>F1588</v>
      </c>
      <c r="AK584" s="1" t="str">
        <f ca="1">IFERROR(__xludf.DUMMYFUNCTION("""COMPUTED_VALUE"""),"Marié(e)")</f>
        <v>Marié(e)</v>
      </c>
      <c r="AL584" s="1" t="str">
        <f ca="1">IFERROR(__xludf.DUMMYFUNCTION("""COMPUTED_VALUE"""),"Marié(e)")</f>
        <v>Marié(e)</v>
      </c>
      <c r="AM584" s="1" t="str">
        <f ca="1">IFERROR(__xludf.DUMMYFUNCTION("""COMPUTED_VALUE"""),"F1588")</f>
        <v>F1588</v>
      </c>
    </row>
    <row r="585" spans="1:39" ht="13" x14ac:dyDescent="0.15">
      <c r="A585" s="1" t="str">
        <f ca="1">IFERROR(__xludf.DUMMYFUNCTION("""COMPUTED_VALUE"""),"TEBER Atlas")</f>
        <v>TEBER Atlas</v>
      </c>
      <c r="B585" s="1" t="str">
        <f ca="1">IFERROR(__xludf.DUMMYFUNCTION("""COMPUTED_VALUE"""),"TEBER")</f>
        <v>TEBER</v>
      </c>
      <c r="C585" s="1" t="str">
        <f ca="1">IFERROR(__xludf.DUMMYFUNCTION("""COMPUTED_VALUE"""),"Atlas")</f>
        <v>Atlas</v>
      </c>
      <c r="D585" s="1" t="str">
        <f ca="1">IFERROR(__xludf.DUMMYFUNCTION("""COMPUTED_VALUE"""),"1589E1")</f>
        <v>1589E1</v>
      </c>
      <c r="E585" s="2">
        <f ca="1">IFERROR(__xludf.DUMMYFUNCTION("""COMPUTED_VALUE"""),43369)</f>
        <v>43369</v>
      </c>
      <c r="F585" s="1" t="str">
        <f ca="1">IFERROR(__xludf.DUMMYFUNCTION("""COMPUTED_VALUE"""),"CE1B")</f>
        <v>CE1B</v>
      </c>
      <c r="G585" s="1" t="str">
        <f ca="1">IFERROR(__xludf.DUMMYFUNCTION("""COMPUTED_VALUE"""),"CE1")</f>
        <v>CE1</v>
      </c>
      <c r="H585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585" s="1"/>
      <c r="J585" s="1"/>
      <c r="K585" s="1"/>
      <c r="L585" s="1"/>
      <c r="M585" s="1"/>
      <c r="N585" s="1" t="str">
        <f ca="1">IFERROR(__xludf.DUMMYFUNCTION("""COMPUTED_VALUE"""),"Garçon")</f>
        <v>Garçon</v>
      </c>
      <c r="O585" s="1"/>
      <c r="P585" s="1" t="str">
        <f ca="1">IFERROR(__xludf.DUMMYFUNCTION("""COMPUTED_VALUE"""),"TURQUIE")</f>
        <v>TURQUIE</v>
      </c>
      <c r="Q585" s="1"/>
      <c r="R585" s="1"/>
      <c r="S585" s="1" t="str">
        <f ca="1">IFERROR(__xludf.DUMMYFUNCTION("""COMPUTED_VALUE"""),"+221")</f>
        <v>+221</v>
      </c>
      <c r="T585" s="1" t="str">
        <f ca="1">IFERROR(__xludf.DUMMYFUNCTION("""COMPUTED_VALUE"""),"TEBER Resat")</f>
        <v>TEBER Resat</v>
      </c>
      <c r="U585" s="1" t="str">
        <f ca="1">IFERROR(__xludf.DUMMYFUNCTION("""COMPUTED_VALUE"""),"TEBER Sidar")</f>
        <v>TEBER Sidar</v>
      </c>
      <c r="V585" s="1" t="str">
        <f ca="1">IFERROR(__xludf.DUMMYFUNCTION("""COMPUTED_VALUE"""),"resatteber@hotmail.com")</f>
        <v>resatteber@hotmail.com</v>
      </c>
      <c r="W585" s="1" t="str">
        <f ca="1">IFERROR(__xludf.DUMMYFUNCTION("""COMPUTED_VALUE"""),"sidarteber@icloud.com")</f>
        <v>sidarteber@icloud.com</v>
      </c>
      <c r="X585" s="1" t="str">
        <f ca="1">IFERROR(__xludf.DUMMYFUNCTION("""COMPUTED_VALUE"""),"+221 77 962 83 83")</f>
        <v>+221 77 962 83 83</v>
      </c>
      <c r="Y585" s="1" t="str">
        <f ca="1">IFERROR(__xludf.DUMMYFUNCTION("""COMPUTED_VALUE"""),"+221 78 524 01 87")</f>
        <v>+221 78 524 01 87</v>
      </c>
      <c r="Z585" s="1" t="str">
        <f ca="1">IFERROR(__xludf.DUMMYFUNCTION("""COMPUTED_VALUE"""),"+221")</f>
        <v>+221</v>
      </c>
      <c r="AA585" s="1" t="str">
        <f ca="1">IFERROR(__xludf.DUMMYFUNCTION("""COMPUTED_VALUE"""),"+221")</f>
        <v>+221</v>
      </c>
      <c r="AB585" s="2">
        <f ca="1">IFERROR(__xludf.DUMMYFUNCTION("""COMPUTED_VALUE"""),30319)</f>
        <v>30319</v>
      </c>
      <c r="AC585" s="2">
        <f ca="1">IFERROR(__xludf.DUMMYFUNCTION("""COMPUTED_VALUE"""),33999)</f>
        <v>33999</v>
      </c>
      <c r="AD585" s="1" t="str">
        <f ca="1">IFERROR(__xludf.DUMMYFUNCTION("""COMPUTED_VALUE"""),"PERE")</f>
        <v>PERE</v>
      </c>
      <c r="AE585" s="1" t="str">
        <f ca="1">IFERROR(__xludf.DUMMYFUNCTION("""COMPUTED_VALUE"""),"MERE")</f>
        <v>MERE</v>
      </c>
      <c r="AF585" s="1" t="str">
        <f ca="1">IFERROR(__xludf.DUMMYFUNCTION("""COMPUTED_VALUE"""),"TURQUIE")</f>
        <v>TURQUIE</v>
      </c>
      <c r="AG585" s="1" t="str">
        <f ca="1">IFERROR(__xludf.DUMMYFUNCTION("""COMPUTED_VALUE"""),"TURQUIE")</f>
        <v>TURQUIE</v>
      </c>
      <c r="AH585" s="1"/>
      <c r="AI585" s="1"/>
      <c r="AJ585" s="1" t="str">
        <f ca="1">IFERROR(__xludf.DUMMYFUNCTION("""COMPUTED_VALUE"""),"F1589")</f>
        <v>F1589</v>
      </c>
      <c r="AK585" s="1" t="str">
        <f ca="1">IFERROR(__xludf.DUMMYFUNCTION("""COMPUTED_VALUE"""),"Marié(e)")</f>
        <v>Marié(e)</v>
      </c>
      <c r="AL585" s="1" t="str">
        <f ca="1">IFERROR(__xludf.DUMMYFUNCTION("""COMPUTED_VALUE"""),"Marié(e)")</f>
        <v>Marié(e)</v>
      </c>
      <c r="AM585" s="1" t="str">
        <f ca="1">IFERROR(__xludf.DUMMYFUNCTION("""COMPUTED_VALUE"""),"F1589")</f>
        <v>F1589</v>
      </c>
    </row>
    <row r="586" spans="1:39" ht="13" x14ac:dyDescent="0.15">
      <c r="A586" s="1" t="str">
        <f ca="1">IFERROR(__xludf.DUMMYFUNCTION("""COMPUTED_VALUE"""),"TEBER Ibrahim")</f>
        <v>TEBER Ibrahim</v>
      </c>
      <c r="B586" s="1" t="str">
        <f ca="1">IFERROR(__xludf.DUMMYFUNCTION("""COMPUTED_VALUE"""),"TEBER")</f>
        <v>TEBER</v>
      </c>
      <c r="C586" s="1" t="str">
        <f ca="1">IFERROR(__xludf.DUMMYFUNCTION("""COMPUTED_VALUE"""),"Ibrahim")</f>
        <v>Ibrahim</v>
      </c>
      <c r="D586" s="1" t="str">
        <f ca="1">IFERROR(__xludf.DUMMYFUNCTION("""COMPUTED_VALUE"""),"1589E2")</f>
        <v>1589E2</v>
      </c>
      <c r="E586" s="2">
        <f ca="1">IFERROR(__xludf.DUMMYFUNCTION("""COMPUTED_VALUE"""),42055)</f>
        <v>42055</v>
      </c>
      <c r="F586" s="1" t="str">
        <f ca="1">IFERROR(__xludf.DUMMYFUNCTION("""COMPUTED_VALUE"""),"CM2A")</f>
        <v>CM2A</v>
      </c>
      <c r="G586" s="1" t="str">
        <f ca="1">IFERROR(__xludf.DUMMYFUNCTION("""COMPUTED_VALUE"""),"CM2")</f>
        <v>CM2</v>
      </c>
      <c r="H586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586" s="1"/>
      <c r="J586" s="1"/>
      <c r="K586" s="1"/>
      <c r="L586" s="1"/>
      <c r="M586" s="1"/>
      <c r="N586" s="1" t="str">
        <f ca="1">IFERROR(__xludf.DUMMYFUNCTION("""COMPUTED_VALUE"""),"Garçon")</f>
        <v>Garçon</v>
      </c>
      <c r="O586" s="1"/>
      <c r="P586" s="1" t="str">
        <f ca="1">IFERROR(__xludf.DUMMYFUNCTION("""COMPUTED_VALUE"""),"TURQUIE")</f>
        <v>TURQUIE</v>
      </c>
      <c r="Q586" s="1"/>
      <c r="R586" s="1"/>
      <c r="S586" s="1"/>
      <c r="T586" s="1" t="str">
        <f ca="1">IFERROR(__xludf.DUMMYFUNCTION("""COMPUTED_VALUE"""),"TEBER Resat")</f>
        <v>TEBER Resat</v>
      </c>
      <c r="U586" s="1" t="str">
        <f ca="1">IFERROR(__xludf.DUMMYFUNCTION("""COMPUTED_VALUE"""),"TEBER Sidar")</f>
        <v>TEBER Sidar</v>
      </c>
      <c r="V586" s="1" t="str">
        <f ca="1">IFERROR(__xludf.DUMMYFUNCTION("""COMPUTED_VALUE"""),"resatteber@hotmail.com")</f>
        <v>resatteber@hotmail.com</v>
      </c>
      <c r="W586" s="1" t="str">
        <f ca="1">IFERROR(__xludf.DUMMYFUNCTION("""COMPUTED_VALUE"""),"sidarteber@icloud.com")</f>
        <v>sidarteber@icloud.com</v>
      </c>
      <c r="X586" s="1" t="str">
        <f ca="1">IFERROR(__xludf.DUMMYFUNCTION("""COMPUTED_VALUE"""),"+221 77 962 83 83")</f>
        <v>+221 77 962 83 83</v>
      </c>
      <c r="Y586" s="1" t="str">
        <f ca="1">IFERROR(__xludf.DUMMYFUNCTION("""COMPUTED_VALUE"""),"+221 78 524 01 87")</f>
        <v>+221 78 524 01 87</v>
      </c>
      <c r="Z586" s="1" t="str">
        <f ca="1">IFERROR(__xludf.DUMMYFUNCTION("""COMPUTED_VALUE"""),"+221")</f>
        <v>+221</v>
      </c>
      <c r="AA586" s="1" t="str">
        <f ca="1">IFERROR(__xludf.DUMMYFUNCTION("""COMPUTED_VALUE"""),"+221")</f>
        <v>+221</v>
      </c>
      <c r="AB586" s="2">
        <f ca="1">IFERROR(__xludf.DUMMYFUNCTION("""COMPUTED_VALUE"""),30319)</f>
        <v>30319</v>
      </c>
      <c r="AC586" s="2">
        <f ca="1">IFERROR(__xludf.DUMMYFUNCTION("""COMPUTED_VALUE"""),33999)</f>
        <v>33999</v>
      </c>
      <c r="AD586" s="1" t="str">
        <f ca="1">IFERROR(__xludf.DUMMYFUNCTION("""COMPUTED_VALUE"""),"PERE")</f>
        <v>PERE</v>
      </c>
      <c r="AE586" s="1" t="str">
        <f ca="1">IFERROR(__xludf.DUMMYFUNCTION("""COMPUTED_VALUE"""),"MERE")</f>
        <v>MERE</v>
      </c>
      <c r="AF586" s="1" t="str">
        <f ca="1">IFERROR(__xludf.DUMMYFUNCTION("""COMPUTED_VALUE"""),"TURQUIE")</f>
        <v>TURQUIE</v>
      </c>
      <c r="AG586" s="1" t="str">
        <f ca="1">IFERROR(__xludf.DUMMYFUNCTION("""COMPUTED_VALUE"""),"TURQUIE")</f>
        <v>TURQUIE</v>
      </c>
      <c r="AH586" s="1"/>
      <c r="AI586" s="1"/>
      <c r="AJ586" s="1" t="str">
        <f ca="1">IFERROR(__xludf.DUMMYFUNCTION("""COMPUTED_VALUE"""),"F1589")</f>
        <v>F1589</v>
      </c>
      <c r="AK586" s="1" t="str">
        <f ca="1">IFERROR(__xludf.DUMMYFUNCTION("""COMPUTED_VALUE"""),"Marié(e)")</f>
        <v>Marié(e)</v>
      </c>
      <c r="AL586" s="1" t="str">
        <f ca="1">IFERROR(__xludf.DUMMYFUNCTION("""COMPUTED_VALUE"""),"Marié(e)")</f>
        <v>Marié(e)</v>
      </c>
      <c r="AM586" s="1" t="str">
        <f ca="1">IFERROR(__xludf.DUMMYFUNCTION("""COMPUTED_VALUE"""),"F1589")</f>
        <v>F1589</v>
      </c>
    </row>
    <row r="587" spans="1:39" ht="13" x14ac:dyDescent="0.15">
      <c r="A587" s="1" t="str">
        <f ca="1">IFERROR(__xludf.DUMMYFUNCTION("""COMPUTED_VALUE"""),"TEBER Nehir")</f>
        <v>TEBER Nehir</v>
      </c>
      <c r="B587" s="1" t="str">
        <f ca="1">IFERROR(__xludf.DUMMYFUNCTION("""COMPUTED_VALUE"""),"TEBER")</f>
        <v>TEBER</v>
      </c>
      <c r="C587" s="1" t="str">
        <f ca="1">IFERROR(__xludf.DUMMYFUNCTION("""COMPUTED_VALUE"""),"Nehir")</f>
        <v>Nehir</v>
      </c>
      <c r="D587" s="1" t="str">
        <f ca="1">IFERROR(__xludf.DUMMYFUNCTION("""COMPUTED_VALUE"""),"1588E2")</f>
        <v>1588E2</v>
      </c>
      <c r="E587" s="2">
        <f ca="1">IFERROR(__xludf.DUMMYFUNCTION("""COMPUTED_VALUE"""),40451)</f>
        <v>40451</v>
      </c>
      <c r="F587" s="1" t="str">
        <f ca="1">IFERROR(__xludf.DUMMYFUNCTION("""COMPUTED_VALUE"""),"3EME1")</f>
        <v>3EME1</v>
      </c>
      <c r="G587" s="1" t="str">
        <f ca="1">IFERROR(__xludf.DUMMYFUNCTION("""COMPUTED_VALUE"""),"3ème")</f>
        <v>3ème</v>
      </c>
      <c r="H587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587" s="1" t="str">
        <f ca="1">IFERROR(__xludf.DUMMYFUNCTION("""COMPUTED_VALUE"""),"LVA Anglais")</f>
        <v>LVA Anglais</v>
      </c>
      <c r="J587" s="1" t="str">
        <f ca="1">IFERROR(__xludf.DUMMYFUNCTION("""COMPUTED_VALUE"""),"LVB Espagnol")</f>
        <v>LVB Espagnol</v>
      </c>
      <c r="K587" s="1"/>
      <c r="L587" s="1"/>
      <c r="M587" s="1"/>
      <c r="N587" s="1" t="str">
        <f ca="1">IFERROR(__xludf.DUMMYFUNCTION("""COMPUTED_VALUE"""),"Fille")</f>
        <v>Fille</v>
      </c>
      <c r="O587" s="1"/>
      <c r="P587" s="1" t="str">
        <f ca="1">IFERROR(__xludf.DUMMYFUNCTION("""COMPUTED_VALUE"""),"TURQUIE")</f>
        <v>TURQUIE</v>
      </c>
      <c r="Q587" s="1"/>
      <c r="R587" s="1" t="str">
        <f ca="1">IFERROR(__xludf.DUMMYFUNCTION("""COMPUTED_VALUE"""),"nehir.teber@lfjpsaly.org")</f>
        <v>nehir.teber@lfjpsaly.org</v>
      </c>
      <c r="S587" s="1"/>
      <c r="T587" s="1" t="str">
        <f ca="1">IFERROR(__xludf.DUMMYFUNCTION("""COMPUTED_VALUE"""),"TEBER Emine")</f>
        <v>TEBER Emine</v>
      </c>
      <c r="U587" s="1" t="str">
        <f ca="1">IFERROR(__xludf.DUMMYFUNCTION("""COMPUTED_VALUE"""),"TEBER Mehmet")</f>
        <v>TEBER Mehmet</v>
      </c>
      <c r="V587" s="1" t="str">
        <f ca="1">IFERROR(__xludf.DUMMYFUNCTION("""COMPUTED_VALUE"""),"nhtteber@gmail.com")</f>
        <v>nhtteber@gmail.com</v>
      </c>
      <c r="W587" s="1" t="str">
        <f ca="1">IFERROR(__xludf.DUMMYFUNCTION("""COMPUTED_VALUE"""),"mehmetteber@gmail.com")</f>
        <v>mehmetteber@gmail.com</v>
      </c>
      <c r="X587" s="1" t="str">
        <f ca="1">IFERROR(__xludf.DUMMYFUNCTION("""COMPUTED_VALUE"""),"+221 77 388 81 12")</f>
        <v>+221 77 388 81 12</v>
      </c>
      <c r="Y587" s="1" t="str">
        <f ca="1">IFERROR(__xludf.DUMMYFUNCTION("""COMPUTED_VALUE"""),"+221 77 406 77 77")</f>
        <v>+221 77 406 77 77</v>
      </c>
      <c r="Z587" s="1"/>
      <c r="AA587" s="1"/>
      <c r="AB587" s="2">
        <f ca="1">IFERROR(__xludf.DUMMYFUNCTION("""COMPUTED_VALUE"""),30710)</f>
        <v>30710</v>
      </c>
      <c r="AC587" s="2">
        <f ca="1">IFERROR(__xludf.DUMMYFUNCTION("""COMPUTED_VALUE"""),28674)</f>
        <v>28674</v>
      </c>
      <c r="AD587" s="1" t="str">
        <f ca="1">IFERROR(__xludf.DUMMYFUNCTION("""COMPUTED_VALUE"""),"MERE")</f>
        <v>MERE</v>
      </c>
      <c r="AE587" s="1" t="str">
        <f ca="1">IFERROR(__xludf.DUMMYFUNCTION("""COMPUTED_VALUE"""),"PERE")</f>
        <v>PERE</v>
      </c>
      <c r="AF587" s="1" t="str">
        <f ca="1">IFERROR(__xludf.DUMMYFUNCTION("""COMPUTED_VALUE"""),"TURQUIE")</f>
        <v>TURQUIE</v>
      </c>
      <c r="AG587" s="1" t="str">
        <f ca="1">IFERROR(__xludf.DUMMYFUNCTION("""COMPUTED_VALUE"""),"TURQUIE")</f>
        <v>TURQUIE</v>
      </c>
      <c r="AH587" s="1"/>
      <c r="AI587" s="1"/>
      <c r="AJ587" s="1" t="str">
        <f ca="1">IFERROR(__xludf.DUMMYFUNCTION("""COMPUTED_VALUE"""),"F1588")</f>
        <v>F1588</v>
      </c>
      <c r="AK587" s="1" t="str">
        <f ca="1">IFERROR(__xludf.DUMMYFUNCTION("""COMPUTED_VALUE"""),"Marié(e)")</f>
        <v>Marié(e)</v>
      </c>
      <c r="AL587" s="1" t="str">
        <f ca="1">IFERROR(__xludf.DUMMYFUNCTION("""COMPUTED_VALUE"""),"Marié(e)")</f>
        <v>Marié(e)</v>
      </c>
      <c r="AM587" s="1" t="str">
        <f ca="1">IFERROR(__xludf.DUMMYFUNCTION("""COMPUTED_VALUE"""),"F1588")</f>
        <v>F1588</v>
      </c>
    </row>
    <row r="588" spans="1:39" ht="13" x14ac:dyDescent="0.15">
      <c r="A588" s="1" t="str">
        <f ca="1">IFERROR(__xludf.DUMMYFUNCTION("""COMPUTED_VALUE"""),"TEBER Osman")</f>
        <v>TEBER Osman</v>
      </c>
      <c r="B588" s="1" t="str">
        <f ca="1">IFERROR(__xludf.DUMMYFUNCTION("""COMPUTED_VALUE"""),"TEBER")</f>
        <v>TEBER</v>
      </c>
      <c r="C588" s="1" t="str">
        <f ca="1">IFERROR(__xludf.DUMMYFUNCTION("""COMPUTED_VALUE"""),"Osman")</f>
        <v>Osman</v>
      </c>
      <c r="D588" s="1" t="str">
        <f ca="1">IFERROR(__xludf.DUMMYFUNCTION("""COMPUTED_VALUE"""),"1589E3")</f>
        <v>1589E3</v>
      </c>
      <c r="E588" s="2">
        <f ca="1">IFERROR(__xludf.DUMMYFUNCTION("""COMPUTED_VALUE"""),41293)</f>
        <v>41293</v>
      </c>
      <c r="F588" s="1" t="str">
        <f ca="1">IFERROR(__xludf.DUMMYFUNCTION("""COMPUTED_VALUE"""),"5EME1")</f>
        <v>5EME1</v>
      </c>
      <c r="G588" s="1" t="str">
        <f ca="1">IFERROR(__xludf.DUMMYFUNCTION("""COMPUTED_VALUE"""),"5ème")</f>
        <v>5ème</v>
      </c>
      <c r="H588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588" s="1" t="str">
        <f ca="1">IFERROR(__xludf.DUMMYFUNCTION("""COMPUTED_VALUE"""),"LVA Anglais")</f>
        <v>LVA Anglais</v>
      </c>
      <c r="J588" s="1" t="str">
        <f ca="1">IFERROR(__xludf.DUMMYFUNCTION("""COMPUTED_VALUE"""),"LVB Espagnol")</f>
        <v>LVB Espagnol</v>
      </c>
      <c r="K588" s="1"/>
      <c r="L588" s="1"/>
      <c r="M588" s="1"/>
      <c r="N588" s="1" t="str">
        <f ca="1">IFERROR(__xludf.DUMMYFUNCTION("""COMPUTED_VALUE"""),"Garçon")</f>
        <v>Garçon</v>
      </c>
      <c r="O588" s="1"/>
      <c r="P588" s="1" t="str">
        <f ca="1">IFERROR(__xludf.DUMMYFUNCTION("""COMPUTED_VALUE"""),"TURQUIE")</f>
        <v>TURQUIE</v>
      </c>
      <c r="Q588" s="1"/>
      <c r="R588" s="1" t="str">
        <f ca="1">IFERROR(__xludf.DUMMYFUNCTION("""COMPUTED_VALUE"""),"osman.teber@lfjpsaly.org")</f>
        <v>osman.teber@lfjpsaly.org</v>
      </c>
      <c r="S588" s="1"/>
      <c r="T588" s="1" t="str">
        <f ca="1">IFERROR(__xludf.DUMMYFUNCTION("""COMPUTED_VALUE"""),"TEBER Resat")</f>
        <v>TEBER Resat</v>
      </c>
      <c r="U588" s="1" t="str">
        <f ca="1">IFERROR(__xludf.DUMMYFUNCTION("""COMPUTED_VALUE"""),"TEBER Sidar")</f>
        <v>TEBER Sidar</v>
      </c>
      <c r="V588" s="1" t="str">
        <f ca="1">IFERROR(__xludf.DUMMYFUNCTION("""COMPUTED_VALUE"""),"resatteber@hotmail.com")</f>
        <v>resatteber@hotmail.com</v>
      </c>
      <c r="W588" s="1" t="str">
        <f ca="1">IFERROR(__xludf.DUMMYFUNCTION("""COMPUTED_VALUE"""),"sidarteber@icloud.com")</f>
        <v>sidarteber@icloud.com</v>
      </c>
      <c r="X588" s="1" t="str">
        <f ca="1">IFERROR(__xludf.DUMMYFUNCTION("""COMPUTED_VALUE"""),"+221 77 962 83 83")</f>
        <v>+221 77 962 83 83</v>
      </c>
      <c r="Y588" s="1" t="str">
        <f ca="1">IFERROR(__xludf.DUMMYFUNCTION("""COMPUTED_VALUE"""),"+221 78 524 01 87")</f>
        <v>+221 78 524 01 87</v>
      </c>
      <c r="Z588" s="1" t="str">
        <f ca="1">IFERROR(__xludf.DUMMYFUNCTION("""COMPUTED_VALUE"""),"+221")</f>
        <v>+221</v>
      </c>
      <c r="AA588" s="1" t="str">
        <f ca="1">IFERROR(__xludf.DUMMYFUNCTION("""COMPUTED_VALUE"""),"+221")</f>
        <v>+221</v>
      </c>
      <c r="AB588" s="2">
        <f ca="1">IFERROR(__xludf.DUMMYFUNCTION("""COMPUTED_VALUE"""),30319)</f>
        <v>30319</v>
      </c>
      <c r="AC588" s="2">
        <f ca="1">IFERROR(__xludf.DUMMYFUNCTION("""COMPUTED_VALUE"""),33999)</f>
        <v>33999</v>
      </c>
      <c r="AD588" s="1" t="str">
        <f ca="1">IFERROR(__xludf.DUMMYFUNCTION("""COMPUTED_VALUE"""),"PERE")</f>
        <v>PERE</v>
      </c>
      <c r="AE588" s="1" t="str">
        <f ca="1">IFERROR(__xludf.DUMMYFUNCTION("""COMPUTED_VALUE"""),"MERE")</f>
        <v>MERE</v>
      </c>
      <c r="AF588" s="1" t="str">
        <f ca="1">IFERROR(__xludf.DUMMYFUNCTION("""COMPUTED_VALUE"""),"TURQUIE")</f>
        <v>TURQUIE</v>
      </c>
      <c r="AG588" s="1" t="str">
        <f ca="1">IFERROR(__xludf.DUMMYFUNCTION("""COMPUTED_VALUE"""),"TURQUIE")</f>
        <v>TURQUIE</v>
      </c>
      <c r="AH588" s="1"/>
      <c r="AI588" s="1"/>
      <c r="AJ588" s="1" t="str">
        <f ca="1">IFERROR(__xludf.DUMMYFUNCTION("""COMPUTED_VALUE"""),"F1589")</f>
        <v>F1589</v>
      </c>
      <c r="AK588" s="1" t="str">
        <f ca="1">IFERROR(__xludf.DUMMYFUNCTION("""COMPUTED_VALUE"""),"Marié(e)")</f>
        <v>Marié(e)</v>
      </c>
      <c r="AL588" s="1" t="str">
        <f ca="1">IFERROR(__xludf.DUMMYFUNCTION("""COMPUTED_VALUE"""),"Marié(e)")</f>
        <v>Marié(e)</v>
      </c>
      <c r="AM588" s="1" t="str">
        <f ca="1">IFERROR(__xludf.DUMMYFUNCTION("""COMPUTED_VALUE"""),"F1589")</f>
        <v>F1589</v>
      </c>
    </row>
    <row r="589" spans="1:39" ht="13" x14ac:dyDescent="0.15">
      <c r="A589" s="1" t="str">
        <f ca="1">IFERROR(__xludf.DUMMYFUNCTION("""COMPUTED_VALUE"""),"TERRANCLE Noa")</f>
        <v>TERRANCLE Noa</v>
      </c>
      <c r="B589" s="1" t="str">
        <f ca="1">IFERROR(__xludf.DUMMYFUNCTION("""COMPUTED_VALUE"""),"TERRANCLE")</f>
        <v>TERRANCLE</v>
      </c>
      <c r="C589" s="1" t="str">
        <f ca="1">IFERROR(__xludf.DUMMYFUNCTION("""COMPUTED_VALUE"""),"Noa")</f>
        <v>Noa</v>
      </c>
      <c r="D589" s="1" t="str">
        <f ca="1">IFERROR(__xludf.DUMMYFUNCTION("""COMPUTED_VALUE"""),"1590E1")</f>
        <v>1590E1</v>
      </c>
      <c r="E589" s="2">
        <f ca="1">IFERROR(__xludf.DUMMYFUNCTION("""COMPUTED_VALUE"""),41948)</f>
        <v>41948</v>
      </c>
      <c r="F589" s="1" t="str">
        <f ca="1">IFERROR(__xludf.DUMMYFUNCTION("""COMPUTED_VALUE"""),"6EME2")</f>
        <v>6EME2</v>
      </c>
      <c r="G589" s="1" t="str">
        <f ca="1">IFERROR(__xludf.DUMMYFUNCTION("""COMPUTED_VALUE"""),"6ème")</f>
        <v>6ème</v>
      </c>
      <c r="H589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589" s="1" t="str">
        <f ca="1">IFERROR(__xludf.DUMMYFUNCTION("""COMPUTED_VALUE"""),"LVA Anglais")</f>
        <v>LVA Anglais</v>
      </c>
      <c r="J589" s="1" t="str">
        <f ca="1">IFERROR(__xludf.DUMMYFUNCTION("""COMPUTED_VALUE"""),"LVB Espagnol")</f>
        <v>LVB Espagnol</v>
      </c>
      <c r="K589" s="1"/>
      <c r="L589" s="1"/>
      <c r="M589" s="1"/>
      <c r="N589" s="1" t="str">
        <f ca="1">IFERROR(__xludf.DUMMYFUNCTION("""COMPUTED_VALUE"""),"Garçon")</f>
        <v>Garçon</v>
      </c>
      <c r="O589" s="1"/>
      <c r="P589" s="1" t="str">
        <f ca="1">IFERROR(__xludf.DUMMYFUNCTION("""COMPUTED_VALUE"""),"FRANCE")</f>
        <v>FRANCE</v>
      </c>
      <c r="Q589" s="1" t="str">
        <f ca="1">IFERROR(__xludf.DUMMYFUNCTION("""COMPUTED_VALUE"""),"SENEGAL")</f>
        <v>SENEGAL</v>
      </c>
      <c r="R589" s="1" t="str">
        <f ca="1">IFERROR(__xludf.DUMMYFUNCTION("""COMPUTED_VALUE"""),"noa.terrancle@lfjpsaly.org")</f>
        <v>noa.terrancle@lfjpsaly.org</v>
      </c>
      <c r="S589" s="1"/>
      <c r="T589" s="1" t="str">
        <f ca="1">IFERROR(__xludf.DUMMYFUNCTION("""COMPUTED_VALUE"""),"NDEKY Inèse")</f>
        <v>NDEKY Inèse</v>
      </c>
      <c r="U589" s="1" t="str">
        <f ca="1">IFERROR(__xludf.DUMMYFUNCTION("""COMPUTED_VALUE"""),"TERRANCLE Christophe")</f>
        <v>TERRANCLE Christophe</v>
      </c>
      <c r="V589" s="1" t="str">
        <f ca="1">IFERROR(__xludf.DUMMYFUNCTION("""COMPUTED_VALUE"""),"ndeckyinese428@gmail.com")</f>
        <v>ndeckyinese428@gmail.com</v>
      </c>
      <c r="W589" s="1" t="str">
        <f ca="1">IFERROR(__xludf.DUMMYFUNCTION("""COMPUTED_VALUE"""),"terchristophe@gmail.com")</f>
        <v>terchristophe@gmail.com</v>
      </c>
      <c r="X589" s="1" t="str">
        <f ca="1">IFERROR(__xludf.DUMMYFUNCTION("""COMPUTED_VALUE"""),"+221 77 786 00 68")</f>
        <v>+221 77 786 00 68</v>
      </c>
      <c r="Y589" s="1" t="str">
        <f ca="1">IFERROR(__xludf.DUMMYFUNCTION("""COMPUTED_VALUE"""),"+221 77 786 00 68")</f>
        <v>+221 77 786 00 68</v>
      </c>
      <c r="Z589" s="1"/>
      <c r="AA589" s="1" t="str">
        <f ca="1">IFERROR(__xludf.DUMMYFUNCTION("""COMPUTED_VALUE"""),"+221")</f>
        <v>+221</v>
      </c>
      <c r="AB589" s="2">
        <f ca="1">IFERROR(__xludf.DUMMYFUNCTION("""COMPUTED_VALUE"""),32331)</f>
        <v>32331</v>
      </c>
      <c r="AC589" s="2">
        <f ca="1">IFERROR(__xludf.DUMMYFUNCTION("""COMPUTED_VALUE"""),24513)</f>
        <v>24513</v>
      </c>
      <c r="AD589" s="1" t="str">
        <f ca="1">IFERROR(__xludf.DUMMYFUNCTION("""COMPUTED_VALUE"""),"MERE")</f>
        <v>MERE</v>
      </c>
      <c r="AE589" s="1" t="str">
        <f ca="1">IFERROR(__xludf.DUMMYFUNCTION("""COMPUTED_VALUE"""),"PERE")</f>
        <v>PERE</v>
      </c>
      <c r="AF589" s="1" t="str">
        <f ca="1">IFERROR(__xludf.DUMMYFUNCTION("""COMPUTED_VALUE"""),"SENEGAL")</f>
        <v>SENEGAL</v>
      </c>
      <c r="AG589" s="1" t="str">
        <f ca="1">IFERROR(__xludf.DUMMYFUNCTION("""COMPUTED_VALUE"""),"FRANCE")</f>
        <v>FRANCE</v>
      </c>
      <c r="AH589" s="1"/>
      <c r="AI589" s="1"/>
      <c r="AJ589" s="1" t="str">
        <f ca="1">IFERROR(__xludf.DUMMYFUNCTION("""COMPUTED_VALUE"""),"F1590")</f>
        <v>F1590</v>
      </c>
      <c r="AK589" s="1" t="str">
        <f ca="1">IFERROR(__xludf.DUMMYFUNCTION("""COMPUTED_VALUE"""),"Marié(e)")</f>
        <v>Marié(e)</v>
      </c>
      <c r="AL589" s="1" t="str">
        <f ca="1">IFERROR(__xludf.DUMMYFUNCTION("""COMPUTED_VALUE"""),"Marié(e)")</f>
        <v>Marié(e)</v>
      </c>
      <c r="AM589" s="1" t="str">
        <f ca="1">IFERROR(__xludf.DUMMYFUNCTION("""COMPUTED_VALUE"""),"F1590")</f>
        <v>F1590</v>
      </c>
    </row>
    <row r="590" spans="1:39" ht="13" x14ac:dyDescent="0.15">
      <c r="A590" s="1" t="str">
        <f ca="1">IFERROR(__xludf.DUMMYFUNCTION("""COMPUTED_VALUE"""),"TESSON Lucas Guy Alan")</f>
        <v>TESSON Lucas Guy Alan</v>
      </c>
      <c r="B590" s="1" t="str">
        <f ca="1">IFERROR(__xludf.DUMMYFUNCTION("""COMPUTED_VALUE"""),"TESSON")</f>
        <v>TESSON</v>
      </c>
      <c r="C590" s="1" t="str">
        <f ca="1">IFERROR(__xludf.DUMMYFUNCTION("""COMPUTED_VALUE"""),"Lucas Guy Alan")</f>
        <v>Lucas Guy Alan</v>
      </c>
      <c r="D590" s="1" t="str">
        <f ca="1">IFERROR(__xludf.DUMMYFUNCTION("""COMPUTED_VALUE"""),"1591E1")</f>
        <v>1591E1</v>
      </c>
      <c r="E590" s="2">
        <f ca="1">IFERROR(__xludf.DUMMYFUNCTION("""COMPUTED_VALUE"""),43865)</f>
        <v>43865</v>
      </c>
      <c r="F590" s="1" t="str">
        <f ca="1">IFERROR(__xludf.DUMMYFUNCTION("""COMPUTED_VALUE"""),"Mat 2")</f>
        <v>Mat 2</v>
      </c>
      <c r="G590" s="1" t="str">
        <f ca="1">IFERROR(__xludf.DUMMYFUNCTION("""COMPUTED_VALUE"""),"GS")</f>
        <v>GS</v>
      </c>
      <c r="H590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590" s="1"/>
      <c r="J590" s="1"/>
      <c r="K590" s="1"/>
      <c r="L590" s="1"/>
      <c r="M590" s="1"/>
      <c r="N590" s="1" t="str">
        <f ca="1">IFERROR(__xludf.DUMMYFUNCTION("""COMPUTED_VALUE"""),"Garçon")</f>
        <v>Garçon</v>
      </c>
      <c r="O590" s="1"/>
      <c r="P590" s="1" t="str">
        <f ca="1">IFERROR(__xludf.DUMMYFUNCTION("""COMPUTED_VALUE"""),"FRANCE")</f>
        <v>FRANCE</v>
      </c>
      <c r="Q590" s="1"/>
      <c r="R590" s="1"/>
      <c r="S590" s="1"/>
      <c r="T590" s="1" t="str">
        <f ca="1">IFERROR(__xludf.DUMMYFUNCTION("""COMPUTED_VALUE"""),"APPETY Adjovi")</f>
        <v>APPETY Adjovi</v>
      </c>
      <c r="U590" s="1" t="str">
        <f ca="1">IFERROR(__xludf.DUMMYFUNCTION("""COMPUTED_VALUE"""),"SATCHIVI Ayele")</f>
        <v>SATCHIVI Ayele</v>
      </c>
      <c r="V590" s="1" t="str">
        <f ca="1">IFERROR(__xludf.DUMMYFUNCTION("""COMPUTED_VALUE"""),"appety30@gmail.com")</f>
        <v>appety30@gmail.com</v>
      </c>
      <c r="W590" s="1" t="str">
        <f ca="1">IFERROR(__xludf.DUMMYFUNCTION("""COMPUTED_VALUE"""),"satchiviayele6@gmail.com")</f>
        <v>satchiviayele6@gmail.com</v>
      </c>
      <c r="X590" s="1" t="str">
        <f ca="1">IFERROR(__xludf.DUMMYFUNCTION("""COMPUTED_VALUE"""),"+221 78 590 08 31")</f>
        <v>+221 78 590 08 31</v>
      </c>
      <c r="Y590" s="1" t="str">
        <f ca="1">IFERROR(__xludf.DUMMYFUNCTION("""COMPUTED_VALUE"""),"773093405")</f>
        <v>773093405</v>
      </c>
      <c r="Z590" s="1" t="str">
        <f ca="1">IFERROR(__xludf.DUMMYFUNCTION("""COMPUTED_VALUE"""),"+221")</f>
        <v>+221</v>
      </c>
      <c r="AA590" s="1"/>
      <c r="AB590" s="2">
        <f ca="1">IFERROR(__xludf.DUMMYFUNCTION("""COMPUTED_VALUE"""),30711)</f>
        <v>30711</v>
      </c>
      <c r="AC590" s="2">
        <f ca="1">IFERROR(__xludf.DUMMYFUNCTION("""COMPUTED_VALUE"""),32190)</f>
        <v>32190</v>
      </c>
      <c r="AD590" s="1" t="str">
        <f ca="1">IFERROR(__xludf.DUMMYFUNCTION("""COMPUTED_VALUE"""),"MERE")</f>
        <v>MERE</v>
      </c>
      <c r="AE590" s="1" t="str">
        <f ca="1">IFERROR(__xludf.DUMMYFUNCTION("""COMPUTED_VALUE"""),"TANTE")</f>
        <v>TANTE</v>
      </c>
      <c r="AF590" s="1" t="str">
        <f ca="1">IFERROR(__xludf.DUMMYFUNCTION("""COMPUTED_VALUE"""),"TOGO")</f>
        <v>TOGO</v>
      </c>
      <c r="AG590" s="1" t="str">
        <f ca="1">IFERROR(__xludf.DUMMYFUNCTION("""COMPUTED_VALUE"""),"TOGO")</f>
        <v>TOGO</v>
      </c>
      <c r="AH590" s="1" t="str">
        <f ca="1">IFERROR(__xludf.DUMMYFUNCTION("""COMPUTED_VALUE"""),"TOGO")</f>
        <v>TOGO</v>
      </c>
      <c r="AI590" s="1"/>
      <c r="AJ590" s="1" t="str">
        <f ca="1">IFERROR(__xludf.DUMMYFUNCTION("""COMPUTED_VALUE"""),"F1591")</f>
        <v>F1591</v>
      </c>
      <c r="AK590" s="1" t="str">
        <f ca="1">IFERROR(__xludf.DUMMYFUNCTION("""COMPUTED_VALUE"""),"Célibataire")</f>
        <v>Célibataire</v>
      </c>
      <c r="AL590" s="1" t="str">
        <f ca="1">IFERROR(__xludf.DUMMYFUNCTION("""COMPUTED_VALUE"""),"Célibataire")</f>
        <v>Célibataire</v>
      </c>
      <c r="AM590" s="1" t="str">
        <f ca="1">IFERROR(__xludf.DUMMYFUNCTION("""COMPUTED_VALUE"""),"F1591")</f>
        <v>F1591</v>
      </c>
    </row>
    <row r="591" spans="1:39" ht="13" x14ac:dyDescent="0.15">
      <c r="A591" s="1" t="str">
        <f ca="1">IFERROR(__xludf.DUMMYFUNCTION("""COMPUTED_VALUE"""),"TEVENOT Rose")</f>
        <v>TEVENOT Rose</v>
      </c>
      <c r="B591" s="1" t="str">
        <f ca="1">IFERROR(__xludf.DUMMYFUNCTION("""COMPUTED_VALUE"""),"TEVENOT")</f>
        <v>TEVENOT</v>
      </c>
      <c r="C591" s="1" t="str">
        <f ca="1">IFERROR(__xludf.DUMMYFUNCTION("""COMPUTED_VALUE"""),"Rose")</f>
        <v>Rose</v>
      </c>
      <c r="D591" s="1" t="str">
        <f ca="1">IFERROR(__xludf.DUMMYFUNCTION("""COMPUTED_VALUE"""),"1692E1")</f>
        <v>1692E1</v>
      </c>
      <c r="E591" s="2">
        <f ca="1">IFERROR(__xludf.DUMMYFUNCTION("""COMPUTED_VALUE"""),42979)</f>
        <v>42979</v>
      </c>
      <c r="F591" s="1" t="str">
        <f ca="1">IFERROR(__xludf.DUMMYFUNCTION("""COMPUTED_VALUE"""),"CE2")</f>
        <v>CE2</v>
      </c>
      <c r="G591" s="1" t="str">
        <f ca="1">IFERROR(__xludf.DUMMYFUNCTION("""COMPUTED_VALUE"""),"CE2")</f>
        <v>CE2</v>
      </c>
      <c r="H591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591" s="1"/>
      <c r="J591" s="1"/>
      <c r="K591" s="1"/>
      <c r="L591" s="1"/>
      <c r="M591" s="1"/>
      <c r="N591" s="1" t="str">
        <f ca="1">IFERROR(__xludf.DUMMYFUNCTION("""COMPUTED_VALUE"""),"Fille")</f>
        <v>Fille</v>
      </c>
      <c r="O591" s="1"/>
      <c r="P591" s="1" t="str">
        <f ca="1">IFERROR(__xludf.DUMMYFUNCTION("""COMPUTED_VALUE"""),"FRANCE")</f>
        <v>FRANCE</v>
      </c>
      <c r="Q591" s="1"/>
      <c r="R591" s="1"/>
      <c r="S591" s="1" t="str">
        <f ca="1">IFERROR(__xludf.DUMMYFUNCTION("""COMPUTED_VALUE"""),"+221")</f>
        <v>+221</v>
      </c>
      <c r="T591" s="1" t="str">
        <f ca="1">IFERROR(__xludf.DUMMYFUNCTION("""COMPUTED_VALUE"""),"TEVENOT Jeremy")</f>
        <v>TEVENOT Jeremy</v>
      </c>
      <c r="U591" s="1" t="str">
        <f ca="1">IFERROR(__xludf.DUMMYFUNCTION("""COMPUTED_VALUE"""),"TEVENOT Maud")</f>
        <v>TEVENOT Maud</v>
      </c>
      <c r="V591" s="1" t="str">
        <f ca="1">IFERROR(__xludf.DUMMYFUNCTION("""COMPUTED_VALUE"""),"jeremy.maud@gmail.com")</f>
        <v>jeremy.maud@gmail.com</v>
      </c>
      <c r="W591" s="1" t="str">
        <f ca="1">IFERROR(__xludf.DUMMYFUNCTION("""COMPUTED_VALUE"""),"jeremy.maud@gmail.com")</f>
        <v>jeremy.maud@gmail.com</v>
      </c>
      <c r="X591" s="1" t="str">
        <f ca="1">IFERROR(__xludf.DUMMYFUNCTION("""COMPUTED_VALUE"""),"+33 6 22 87 66 50")</f>
        <v>+33 6 22 87 66 50</v>
      </c>
      <c r="Y591" s="1" t="str">
        <f ca="1">IFERROR(__xludf.DUMMYFUNCTION("""COMPUTED_VALUE"""),"+221 77 201 70 65")</f>
        <v>+221 77 201 70 65</v>
      </c>
      <c r="Z591" s="1" t="str">
        <f ca="1">IFERROR(__xludf.DUMMYFUNCTION("""COMPUTED_VALUE"""),"+33")</f>
        <v>+33</v>
      </c>
      <c r="AA591" s="1" t="str">
        <f ca="1">IFERROR(__xludf.DUMMYFUNCTION("""COMPUTED_VALUE"""),"+221")</f>
        <v>+221</v>
      </c>
      <c r="AB591" s="2">
        <f ca="1">IFERROR(__xludf.DUMMYFUNCTION("""COMPUTED_VALUE"""),31788)</f>
        <v>31788</v>
      </c>
      <c r="AC591" s="2">
        <f ca="1">IFERROR(__xludf.DUMMYFUNCTION("""COMPUTED_VALUE"""),30680)</f>
        <v>30680</v>
      </c>
      <c r="AD591" s="1" t="str">
        <f ca="1">IFERROR(__xludf.DUMMYFUNCTION("""COMPUTED_VALUE"""),"PERE")</f>
        <v>PERE</v>
      </c>
      <c r="AE591" s="1" t="str">
        <f ca="1">IFERROR(__xludf.DUMMYFUNCTION("""COMPUTED_VALUE"""),"MERE")</f>
        <v>MERE</v>
      </c>
      <c r="AF591" s="1" t="str">
        <f ca="1">IFERROR(__xludf.DUMMYFUNCTION("""COMPUTED_VALUE"""),"FRANCE")</f>
        <v>FRANCE</v>
      </c>
      <c r="AG591" s="1" t="str">
        <f ca="1">IFERROR(__xludf.DUMMYFUNCTION("""COMPUTED_VALUE"""),"FRANCE")</f>
        <v>FRANCE</v>
      </c>
      <c r="AH591" s="1"/>
      <c r="AI591" s="1"/>
      <c r="AJ591" s="1" t="str">
        <f ca="1">IFERROR(__xludf.DUMMYFUNCTION("""COMPUTED_VALUE"""),"F1692")</f>
        <v>F1692</v>
      </c>
      <c r="AK591" s="1" t="str">
        <f ca="1">IFERROR(__xludf.DUMMYFUNCTION("""COMPUTED_VALUE"""),"Marié(e)")</f>
        <v>Marié(e)</v>
      </c>
      <c r="AL591" s="1" t="str">
        <f ca="1">IFERROR(__xludf.DUMMYFUNCTION("""COMPUTED_VALUE"""),"Marié(e)")</f>
        <v>Marié(e)</v>
      </c>
      <c r="AM591" s="1" t="str">
        <f ca="1">IFERROR(__xludf.DUMMYFUNCTION("""COMPUTED_VALUE"""),"F1692")</f>
        <v>F1692</v>
      </c>
    </row>
    <row r="592" spans="1:39" ht="13" x14ac:dyDescent="0.15">
      <c r="A592" s="1" t="str">
        <f ca="1">IFERROR(__xludf.DUMMYFUNCTION("""COMPUTED_VALUE"""),"THIAM Safiétou")</f>
        <v>THIAM Safiétou</v>
      </c>
      <c r="B592" s="1" t="str">
        <f ca="1">IFERROR(__xludf.DUMMYFUNCTION("""COMPUTED_VALUE"""),"THIAM")</f>
        <v>THIAM</v>
      </c>
      <c r="C592" s="1" t="str">
        <f ca="1">IFERROR(__xludf.DUMMYFUNCTION("""COMPUTED_VALUE"""),"Safiétou")</f>
        <v>Safiétou</v>
      </c>
      <c r="D592" s="1" t="str">
        <f ca="1">IFERROR(__xludf.DUMMYFUNCTION("""COMPUTED_VALUE"""),"11739S2425")</f>
        <v>11739S2425</v>
      </c>
      <c r="E592" s="2">
        <f ca="1">IFERROR(__xludf.DUMMYFUNCTION("""COMPUTED_VALUE"""),40811)</f>
        <v>40811</v>
      </c>
      <c r="F592" s="1" t="str">
        <f ca="1">IFERROR(__xludf.DUMMYFUNCTION("""COMPUTED_VALUE"""),"5EME1")</f>
        <v>5EME1</v>
      </c>
      <c r="G592" s="1" t="str">
        <f ca="1">IFERROR(__xludf.DUMMYFUNCTION("""COMPUTED_VALUE"""),"5ème")</f>
        <v>5ème</v>
      </c>
      <c r="H592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592" s="1" t="str">
        <f ca="1">IFERROR(__xludf.DUMMYFUNCTION("""COMPUTED_VALUE"""),"LVA Anglais")</f>
        <v>LVA Anglais</v>
      </c>
      <c r="J592" s="1" t="str">
        <f ca="1">IFERROR(__xludf.DUMMYFUNCTION("""COMPUTED_VALUE"""),"LVB Espagnol")</f>
        <v>LVB Espagnol</v>
      </c>
      <c r="K592" s="1"/>
      <c r="L592" s="1"/>
      <c r="M592" s="1"/>
      <c r="N592" s="1" t="str">
        <f ca="1">IFERROR(__xludf.DUMMYFUNCTION("""COMPUTED_VALUE"""),"Fille")</f>
        <v>Fille</v>
      </c>
      <c r="O592" s="1"/>
      <c r="P592" s="1" t="str">
        <f ca="1">IFERROR(__xludf.DUMMYFUNCTION("""COMPUTED_VALUE"""),"SENEGAL")</f>
        <v>SENEGAL</v>
      </c>
      <c r="Q592" s="1"/>
      <c r="R592" s="1" t="str">
        <f ca="1">IFERROR(__xludf.DUMMYFUNCTION("""COMPUTED_VALUE"""),"safietou.thiam@lfjpsaly.org")</f>
        <v>safietou.thiam@lfjpsaly.org</v>
      </c>
      <c r="S592" s="1" t="str">
        <f ca="1">IFERROR(__xludf.DUMMYFUNCTION("""COMPUTED_VALUE"""),"+221 77 141 59 79")</f>
        <v>+221 77 141 59 79</v>
      </c>
      <c r="T592" s="1" t="str">
        <f ca="1">IFERROR(__xludf.DUMMYFUNCTION("""COMPUTED_VALUE"""),"BOUSSO Ndeye")</f>
        <v>BOUSSO Ndeye</v>
      </c>
      <c r="U592" s="1" t="str">
        <f ca="1">IFERROR(__xludf.DUMMYFUNCTION("""COMPUTED_VALUE"""),"DIATTA Ernest")</f>
        <v>DIATTA Ernest</v>
      </c>
      <c r="V592" s="1" t="str">
        <f ca="1">IFERROR(__xludf.DUMMYFUNCTION("""COMPUTED_VALUE"""),"boussondeye1980@gmail.com")</f>
        <v>boussondeye1980@gmail.com</v>
      </c>
      <c r="W592" s="1" t="str">
        <f ca="1">IFERROR(__xludf.DUMMYFUNCTION("""COMPUTED_VALUE"""),"ernest.diatta71@gmail.com")</f>
        <v>ernest.diatta71@gmail.com</v>
      </c>
      <c r="X592" s="1" t="str">
        <f ca="1">IFERROR(__xludf.DUMMYFUNCTION("""COMPUTED_VALUE"""),"+33 7 67 31 49 21")</f>
        <v>+33 7 67 31 49 21</v>
      </c>
      <c r="Y592" s="1" t="str">
        <f ca="1">IFERROR(__xludf.DUMMYFUNCTION("""COMPUTED_VALUE"""),"+221 77 650 60 00")</f>
        <v>+221 77 650 60 00</v>
      </c>
      <c r="Z592" s="1" t="str">
        <f ca="1">IFERROR(__xludf.DUMMYFUNCTION("""COMPUTED_VALUE"""),"+221 77 652 97 02")</f>
        <v>+221 77 652 97 02</v>
      </c>
      <c r="AA592" s="1" t="str">
        <f ca="1">IFERROR(__xludf.DUMMYFUNCTION("""COMPUTED_VALUE"""),"+221 77 650 60 00")</f>
        <v>+221 77 650 60 00</v>
      </c>
      <c r="AB592" s="2">
        <f ca="1">IFERROR(__xludf.DUMMYFUNCTION("""COMPUTED_VALUE"""),29393)</f>
        <v>29393</v>
      </c>
      <c r="AC592" s="2">
        <f ca="1">IFERROR(__xludf.DUMMYFUNCTION("""COMPUTED_VALUE"""),23986)</f>
        <v>23986</v>
      </c>
      <c r="AD592" s="1" t="str">
        <f ca="1">IFERROR(__xludf.DUMMYFUNCTION("""COMPUTED_VALUE"""),"MERE")</f>
        <v>MERE</v>
      </c>
      <c r="AE592" s="1" t="str">
        <f ca="1">IFERROR(__xludf.DUMMYFUNCTION("""COMPUTED_VALUE"""),"TUTEUR")</f>
        <v>TUTEUR</v>
      </c>
      <c r="AF592" s="1" t="str">
        <f ca="1">IFERROR(__xludf.DUMMYFUNCTION("""COMPUTED_VALUE"""),"SENEGAL")</f>
        <v>SENEGAL</v>
      </c>
      <c r="AG592" s="1" t="str">
        <f ca="1">IFERROR(__xludf.DUMMYFUNCTION("""COMPUTED_VALUE"""),"SENEGAL")</f>
        <v>SENEGAL</v>
      </c>
      <c r="AH592" s="1"/>
      <c r="AI592" s="1"/>
      <c r="AJ592" s="1" t="str">
        <f ca="1">IFERROR(__xludf.DUMMYFUNCTION("""COMPUTED_VALUE"""),"U11739")</f>
        <v>U11739</v>
      </c>
      <c r="AK592" s="1" t="str">
        <f ca="1">IFERROR(__xludf.DUMMYFUNCTION("""COMPUTED_VALUE"""),"Marié(e)")</f>
        <v>Marié(e)</v>
      </c>
      <c r="AL592" s="1" t="str">
        <f ca="1">IFERROR(__xludf.DUMMYFUNCTION("""COMPUTED_VALUE"""),"Marié(e)")</f>
        <v>Marié(e)</v>
      </c>
      <c r="AM592" s="1" t="str">
        <f ca="1">IFERROR(__xludf.DUMMYFUNCTION("""COMPUTED_VALUE"""),"U11739")</f>
        <v>U11739</v>
      </c>
    </row>
    <row r="593" spans="1:39" ht="13" x14ac:dyDescent="0.15">
      <c r="A593" s="1" t="str">
        <f ca="1">IFERROR(__xludf.DUMMYFUNCTION("""COMPUTED_VALUE"""),"THIMEL Judith")</f>
        <v>THIMEL Judith</v>
      </c>
      <c r="B593" s="1" t="str">
        <f ca="1">IFERROR(__xludf.DUMMYFUNCTION("""COMPUTED_VALUE"""),"THIMEL")</f>
        <v>THIMEL</v>
      </c>
      <c r="C593" s="1" t="str">
        <f ca="1">IFERROR(__xludf.DUMMYFUNCTION("""COMPUTED_VALUE"""),"Judith")</f>
        <v>Judith</v>
      </c>
      <c r="D593" s="1" t="str">
        <f ca="1">IFERROR(__xludf.DUMMYFUNCTION("""COMPUTED_VALUE"""),"1594E1")</f>
        <v>1594E1</v>
      </c>
      <c r="E593" s="2">
        <f ca="1">IFERROR(__xludf.DUMMYFUNCTION("""COMPUTED_VALUE"""),41393)</f>
        <v>41393</v>
      </c>
      <c r="F593" s="1" t="str">
        <f ca="1">IFERROR(__xludf.DUMMYFUNCTION("""COMPUTED_VALUE"""),"5EME2")</f>
        <v>5EME2</v>
      </c>
      <c r="G593" s="1" t="str">
        <f ca="1">IFERROR(__xludf.DUMMYFUNCTION("""COMPUTED_VALUE"""),"5ème")</f>
        <v>5ème</v>
      </c>
      <c r="H593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593" s="1" t="str">
        <f ca="1">IFERROR(__xludf.DUMMYFUNCTION("""COMPUTED_VALUE"""),"LVA Anglais")</f>
        <v>LVA Anglais</v>
      </c>
      <c r="J593" s="1" t="str">
        <f ca="1">IFERROR(__xludf.DUMMYFUNCTION("""COMPUTED_VALUE"""),"LVB Espagnol")</f>
        <v>LVB Espagnol</v>
      </c>
      <c r="K593" s="1"/>
      <c r="L593" s="1"/>
      <c r="M593" s="1"/>
      <c r="N593" s="1" t="str">
        <f ca="1">IFERROR(__xludf.DUMMYFUNCTION("""COMPUTED_VALUE"""),"Fille")</f>
        <v>Fille</v>
      </c>
      <c r="O593" s="1"/>
      <c r="P593" s="1" t="str">
        <f ca="1">IFERROR(__xludf.DUMMYFUNCTION("""COMPUTED_VALUE"""),"FRANCE")</f>
        <v>FRANCE</v>
      </c>
      <c r="Q593" s="1" t="str">
        <f ca="1">IFERROR(__xludf.DUMMYFUNCTION("""COMPUTED_VALUE"""),"SENEGAL")</f>
        <v>SENEGAL</v>
      </c>
      <c r="R593" s="1" t="str">
        <f ca="1">IFERROR(__xludf.DUMMYFUNCTION("""COMPUTED_VALUE"""),"judith.thimel@lfjpsaly.org")</f>
        <v>judith.thimel@lfjpsaly.org</v>
      </c>
      <c r="S593" s="1" t="str">
        <f ca="1">IFERROR(__xludf.DUMMYFUNCTION("""COMPUTED_VALUE"""),"+221")</f>
        <v>+221</v>
      </c>
      <c r="T593" s="1" t="str">
        <f ca="1">IFERROR(__xludf.DUMMYFUNCTION("""COMPUTED_VALUE"""),"THIMEL Guy")</f>
        <v>THIMEL Guy</v>
      </c>
      <c r="U593" s="1"/>
      <c r="V593" s="1" t="str">
        <f ca="1">IFERROR(__xludf.DUMMYFUNCTION("""COMPUTED_VALUE"""),"guythimel@gmail.com")</f>
        <v>guythimel@gmail.com</v>
      </c>
      <c r="W593" s="1"/>
      <c r="X593" s="1" t="str">
        <f ca="1">IFERROR(__xludf.DUMMYFUNCTION("""COMPUTED_VALUE"""),"+221 78 635 52 96")</f>
        <v>+221 78 635 52 96</v>
      </c>
      <c r="Y593" s="1"/>
      <c r="Z593" s="1" t="str">
        <f ca="1">IFERROR(__xludf.DUMMYFUNCTION("""COMPUTED_VALUE"""),"+221 78 635 52 96")</f>
        <v>+221 78 635 52 96</v>
      </c>
      <c r="AA593" s="1"/>
      <c r="AB593" s="2">
        <f ca="1">IFERROR(__xludf.DUMMYFUNCTION("""COMPUTED_VALUE"""),19507)</f>
        <v>19507</v>
      </c>
      <c r="AC593" s="1"/>
      <c r="AD593" s="1" t="str">
        <f ca="1">IFERROR(__xludf.DUMMYFUNCTION("""COMPUTED_VALUE"""),"PERE")</f>
        <v>PERE</v>
      </c>
      <c r="AE593" s="1"/>
      <c r="AF593" s="1" t="str">
        <f ca="1">IFERROR(__xludf.DUMMYFUNCTION("""COMPUTED_VALUE"""),"FRANCE")</f>
        <v>FRANCE</v>
      </c>
      <c r="AG593" s="1"/>
      <c r="AH593" s="1"/>
      <c r="AI593" s="1"/>
      <c r="AJ593" s="1" t="str">
        <f ca="1">IFERROR(__xludf.DUMMYFUNCTION("""COMPUTED_VALUE"""),"F1594")</f>
        <v>F1594</v>
      </c>
      <c r="AK593" s="1" t="str">
        <f ca="1">IFERROR(__xludf.DUMMYFUNCTION("""COMPUTED_VALUE"""),"Divorcée")</f>
        <v>Divorcée</v>
      </c>
      <c r="AL593" s="1"/>
      <c r="AM593" s="1" t="str">
        <f ca="1">IFERROR(__xludf.DUMMYFUNCTION("""COMPUTED_VALUE"""),"F1594")</f>
        <v>F1594</v>
      </c>
    </row>
    <row r="594" spans="1:39" ht="13" x14ac:dyDescent="0.15">
      <c r="A594" s="1" t="str">
        <f ca="1">IFERROR(__xludf.DUMMYFUNCTION("""COMPUTED_VALUE"""),"THOMAS Célia Sabine")</f>
        <v>THOMAS Célia Sabine</v>
      </c>
      <c r="B594" s="1" t="str">
        <f ca="1">IFERROR(__xludf.DUMMYFUNCTION("""COMPUTED_VALUE"""),"THOMAS")</f>
        <v>THOMAS</v>
      </c>
      <c r="C594" s="1" t="str">
        <f ca="1">IFERROR(__xludf.DUMMYFUNCTION("""COMPUTED_VALUE"""),"Célia Sabine")</f>
        <v>Célia Sabine</v>
      </c>
      <c r="D594" s="1" t="str">
        <f ca="1">IFERROR(__xludf.DUMMYFUNCTION("""COMPUTED_VALUE"""),"1596E1")</f>
        <v>1596E1</v>
      </c>
      <c r="E594" s="2">
        <f ca="1">IFERROR(__xludf.DUMMYFUNCTION("""COMPUTED_VALUE"""),43985)</f>
        <v>43985</v>
      </c>
      <c r="F594" s="1" t="str">
        <f ca="1">IFERROR(__xludf.DUMMYFUNCTION("""COMPUTED_VALUE"""),"Mat 2")</f>
        <v>Mat 2</v>
      </c>
      <c r="G594" s="1" t="str">
        <f ca="1">IFERROR(__xludf.DUMMYFUNCTION("""COMPUTED_VALUE"""),"GS")</f>
        <v>GS</v>
      </c>
      <c r="H594" s="1" t="str">
        <f ca="1">IFERROR(__xludf.DUMMYFUNCTION("""COMPUTED_VALUE"""),"Lycée Français Jacques Prévert de Saly » Maternelle » GS » Générale")</f>
        <v>Lycée Français Jacques Prévert de Saly » Maternelle » GS » Générale</v>
      </c>
      <c r="I594" s="1"/>
      <c r="J594" s="1"/>
      <c r="K594" s="1"/>
      <c r="L594" s="1"/>
      <c r="M594" s="1"/>
      <c r="N594" s="1" t="str">
        <f ca="1">IFERROR(__xludf.DUMMYFUNCTION("""COMPUTED_VALUE"""),"Fille")</f>
        <v>Fille</v>
      </c>
      <c r="O594" s="1"/>
      <c r="P594" s="1" t="str">
        <f ca="1">IFERROR(__xludf.DUMMYFUNCTION("""COMPUTED_VALUE"""),"FRANCE")</f>
        <v>FRANCE</v>
      </c>
      <c r="Q594" s="1" t="str">
        <f ca="1">IFERROR(__xludf.DUMMYFUNCTION("""COMPUTED_VALUE"""),"SENEGAL")</f>
        <v>SENEGAL</v>
      </c>
      <c r="R594" s="1"/>
      <c r="S594" s="1"/>
      <c r="T594" s="1" t="str">
        <f ca="1">IFERROR(__xludf.DUMMYFUNCTION("""COMPUTED_VALUE"""),"THOMAS Yvon")</f>
        <v>THOMAS Yvon</v>
      </c>
      <c r="U594" s="1" t="str">
        <f ca="1">IFERROR(__xludf.DUMMYFUNCTION("""COMPUTED_VALUE"""),"NDOUR Thérèse")</f>
        <v>NDOUR Thérèse</v>
      </c>
      <c r="V594" s="1" t="str">
        <f ca="1">IFERROR(__xludf.DUMMYFUNCTION("""COMPUTED_VALUE"""),"yvon.thomas@lfjpsaly.org")</f>
        <v>yvon.thomas@lfjpsaly.org</v>
      </c>
      <c r="W594" s="1" t="str">
        <f ca="1">IFERROR(__xludf.DUMMYFUNCTION("""COMPUTED_VALUE"""),"y.pm@hotmail.fr")</f>
        <v>y.pm@hotmail.fr</v>
      </c>
      <c r="X594" s="1" t="str">
        <f ca="1">IFERROR(__xludf.DUMMYFUNCTION("""COMPUTED_VALUE"""),"+221 77 863 26 87")</f>
        <v>+221 77 863 26 87</v>
      </c>
      <c r="Y594" s="1" t="str">
        <f ca="1">IFERROR(__xludf.DUMMYFUNCTION("""COMPUTED_VALUE"""),"+221 77 863 26 95")</f>
        <v>+221 77 863 26 95</v>
      </c>
      <c r="Z594" s="1" t="str">
        <f ca="1">IFERROR(__xludf.DUMMYFUNCTION("""COMPUTED_VALUE"""),"+221 78 461 53 48")</f>
        <v>+221 78 461 53 48</v>
      </c>
      <c r="AA594" s="1" t="str">
        <f ca="1">IFERROR(__xludf.DUMMYFUNCTION("""COMPUTED_VALUE"""),"+221 77 863 26 95")</f>
        <v>+221 77 863 26 95</v>
      </c>
      <c r="AB594" s="2">
        <f ca="1">IFERROR(__xludf.DUMMYFUNCTION("""COMPUTED_VALUE"""),31900)</f>
        <v>31900</v>
      </c>
      <c r="AC594" s="2">
        <f ca="1">IFERROR(__xludf.DUMMYFUNCTION("""COMPUTED_VALUE"""),32553)</f>
        <v>32553</v>
      </c>
      <c r="AD594" s="1" t="str">
        <f ca="1">IFERROR(__xludf.DUMMYFUNCTION("""COMPUTED_VALUE"""),"PERE")</f>
        <v>PERE</v>
      </c>
      <c r="AE594" s="1" t="str">
        <f ca="1">IFERROR(__xludf.DUMMYFUNCTION("""COMPUTED_VALUE"""),"MERE")</f>
        <v>MERE</v>
      </c>
      <c r="AF594" s="1" t="str">
        <f ca="1">IFERROR(__xludf.DUMMYFUNCTION("""COMPUTED_VALUE"""),"FRANCE")</f>
        <v>FRANCE</v>
      </c>
      <c r="AG594" s="1" t="str">
        <f ca="1">IFERROR(__xludf.DUMMYFUNCTION("""COMPUTED_VALUE"""),"SENEGAL")</f>
        <v>SENEGAL</v>
      </c>
      <c r="AH594" s="1"/>
      <c r="AI594" s="1" t="str">
        <f ca="1">IFERROR(__xludf.DUMMYFUNCTION("""COMPUTED_VALUE"""),"FRANCE")</f>
        <v>FRANCE</v>
      </c>
      <c r="AJ594" s="1" t="str">
        <f ca="1">IFERROR(__xludf.DUMMYFUNCTION("""COMPUTED_VALUE"""),"F1596")</f>
        <v>F1596</v>
      </c>
      <c r="AK594" s="1" t="str">
        <f ca="1">IFERROR(__xludf.DUMMYFUNCTION("""COMPUTED_VALUE"""),"Marié(e)")</f>
        <v>Marié(e)</v>
      </c>
      <c r="AL594" s="1" t="str">
        <f ca="1">IFERROR(__xludf.DUMMYFUNCTION("""COMPUTED_VALUE"""),"Marié(e)")</f>
        <v>Marié(e)</v>
      </c>
      <c r="AM594" s="1" t="str">
        <f ca="1">IFERROR(__xludf.DUMMYFUNCTION("""COMPUTED_VALUE"""),"F1596")</f>
        <v>F1596</v>
      </c>
    </row>
    <row r="595" spans="1:39" ht="13" x14ac:dyDescent="0.15">
      <c r="A595" s="1" t="str">
        <f ca="1">IFERROR(__xludf.DUMMYFUNCTION("""COMPUTED_VALUE"""),"THOMAS Ferdinand")</f>
        <v>THOMAS Ferdinand</v>
      </c>
      <c r="B595" s="1" t="str">
        <f ca="1">IFERROR(__xludf.DUMMYFUNCTION("""COMPUTED_VALUE"""),"THOMAS")</f>
        <v>THOMAS</v>
      </c>
      <c r="C595" s="1" t="str">
        <f ca="1">IFERROR(__xludf.DUMMYFUNCTION("""COMPUTED_VALUE"""),"Ferdinand")</f>
        <v>Ferdinand</v>
      </c>
      <c r="D595" s="1" t="str">
        <f ca="1">IFERROR(__xludf.DUMMYFUNCTION("""COMPUTED_VALUE"""),"1596E2")</f>
        <v>1596E2</v>
      </c>
      <c r="E595" s="2">
        <f ca="1">IFERROR(__xludf.DUMMYFUNCTION("""COMPUTED_VALUE"""),42513)</f>
        <v>42513</v>
      </c>
      <c r="F595" s="1" t="str">
        <f ca="1">IFERROR(__xludf.DUMMYFUNCTION("""COMPUTED_VALUE"""),"CM1B")</f>
        <v>CM1B</v>
      </c>
      <c r="G595" s="1" t="str">
        <f ca="1">IFERROR(__xludf.DUMMYFUNCTION("""COMPUTED_VALUE"""),"CM1")</f>
        <v>CM1</v>
      </c>
      <c r="H595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595" s="1"/>
      <c r="J595" s="1"/>
      <c r="K595" s="1"/>
      <c r="L595" s="1"/>
      <c r="M595" s="1"/>
      <c r="N595" s="1" t="str">
        <f ca="1">IFERROR(__xludf.DUMMYFUNCTION("""COMPUTED_VALUE"""),"Garçon")</f>
        <v>Garçon</v>
      </c>
      <c r="O595" s="1"/>
      <c r="P595" s="1" t="str">
        <f ca="1">IFERROR(__xludf.DUMMYFUNCTION("""COMPUTED_VALUE"""),"FRANCE")</f>
        <v>FRANCE</v>
      </c>
      <c r="Q595" s="1" t="str">
        <f ca="1">IFERROR(__xludf.DUMMYFUNCTION("""COMPUTED_VALUE"""),"SENEGAL")</f>
        <v>SENEGAL</v>
      </c>
      <c r="R595" s="1"/>
      <c r="S595" s="1"/>
      <c r="T595" s="1" t="str">
        <f ca="1">IFERROR(__xludf.DUMMYFUNCTION("""COMPUTED_VALUE"""),"THOMAS Yvon")</f>
        <v>THOMAS Yvon</v>
      </c>
      <c r="U595" s="1" t="str">
        <f ca="1">IFERROR(__xludf.DUMMYFUNCTION("""COMPUTED_VALUE"""),"NDOUR Thérèse")</f>
        <v>NDOUR Thérèse</v>
      </c>
      <c r="V595" s="1" t="str">
        <f ca="1">IFERROR(__xludf.DUMMYFUNCTION("""COMPUTED_VALUE"""),"yvon.thomas@lfjpsaly.org")</f>
        <v>yvon.thomas@lfjpsaly.org</v>
      </c>
      <c r="W595" s="1" t="str">
        <f ca="1">IFERROR(__xludf.DUMMYFUNCTION("""COMPUTED_VALUE"""),"y.pm@hotmail.fr")</f>
        <v>y.pm@hotmail.fr</v>
      </c>
      <c r="X595" s="1" t="str">
        <f ca="1">IFERROR(__xludf.DUMMYFUNCTION("""COMPUTED_VALUE"""),"+221 77 863 26 87")</f>
        <v>+221 77 863 26 87</v>
      </c>
      <c r="Y595" s="1" t="str">
        <f ca="1">IFERROR(__xludf.DUMMYFUNCTION("""COMPUTED_VALUE"""),"+221 77 863 26 95")</f>
        <v>+221 77 863 26 95</v>
      </c>
      <c r="Z595" s="1" t="str">
        <f ca="1">IFERROR(__xludf.DUMMYFUNCTION("""COMPUTED_VALUE"""),"+221 78 461 53 48")</f>
        <v>+221 78 461 53 48</v>
      </c>
      <c r="AA595" s="1" t="str">
        <f ca="1">IFERROR(__xludf.DUMMYFUNCTION("""COMPUTED_VALUE"""),"+221 77 863 26 95")</f>
        <v>+221 77 863 26 95</v>
      </c>
      <c r="AB595" s="2">
        <f ca="1">IFERROR(__xludf.DUMMYFUNCTION("""COMPUTED_VALUE"""),31900)</f>
        <v>31900</v>
      </c>
      <c r="AC595" s="2">
        <f ca="1">IFERROR(__xludf.DUMMYFUNCTION("""COMPUTED_VALUE"""),32553)</f>
        <v>32553</v>
      </c>
      <c r="AD595" s="1" t="str">
        <f ca="1">IFERROR(__xludf.DUMMYFUNCTION("""COMPUTED_VALUE"""),"PERE")</f>
        <v>PERE</v>
      </c>
      <c r="AE595" s="1" t="str">
        <f ca="1">IFERROR(__xludf.DUMMYFUNCTION("""COMPUTED_VALUE"""),"MERE")</f>
        <v>MERE</v>
      </c>
      <c r="AF595" s="1" t="str">
        <f ca="1">IFERROR(__xludf.DUMMYFUNCTION("""COMPUTED_VALUE"""),"FRANCE")</f>
        <v>FRANCE</v>
      </c>
      <c r="AG595" s="1" t="str">
        <f ca="1">IFERROR(__xludf.DUMMYFUNCTION("""COMPUTED_VALUE"""),"SENEGAL")</f>
        <v>SENEGAL</v>
      </c>
      <c r="AH595" s="1"/>
      <c r="AI595" s="1" t="str">
        <f ca="1">IFERROR(__xludf.DUMMYFUNCTION("""COMPUTED_VALUE"""),"FRANCE")</f>
        <v>FRANCE</v>
      </c>
      <c r="AJ595" s="1" t="str">
        <f ca="1">IFERROR(__xludf.DUMMYFUNCTION("""COMPUTED_VALUE"""),"F1596")</f>
        <v>F1596</v>
      </c>
      <c r="AK595" s="1" t="str">
        <f ca="1">IFERROR(__xludf.DUMMYFUNCTION("""COMPUTED_VALUE"""),"Marié(e)")</f>
        <v>Marié(e)</v>
      </c>
      <c r="AL595" s="1" t="str">
        <f ca="1">IFERROR(__xludf.DUMMYFUNCTION("""COMPUTED_VALUE"""),"Marié(e)")</f>
        <v>Marié(e)</v>
      </c>
      <c r="AM595" s="1" t="str">
        <f ca="1">IFERROR(__xludf.DUMMYFUNCTION("""COMPUTED_VALUE"""),"F1596")</f>
        <v>F1596</v>
      </c>
    </row>
    <row r="596" spans="1:39" ht="13" x14ac:dyDescent="0.15">
      <c r="A596" s="1" t="str">
        <f ca="1">IFERROR(__xludf.DUMMYFUNCTION("""COMPUTED_VALUE"""),"THOMAS RODRIGUEZ Sasha")</f>
        <v>THOMAS RODRIGUEZ Sasha</v>
      </c>
      <c r="B596" s="1" t="str">
        <f ca="1">IFERROR(__xludf.DUMMYFUNCTION("""COMPUTED_VALUE"""),"THOMAS RODRIGUEZ")</f>
        <v>THOMAS RODRIGUEZ</v>
      </c>
      <c r="C596" s="1" t="str">
        <f ca="1">IFERROR(__xludf.DUMMYFUNCTION("""COMPUTED_VALUE"""),"Sasha")</f>
        <v>Sasha</v>
      </c>
      <c r="D596" s="1" t="str">
        <f ca="1">IFERROR(__xludf.DUMMYFUNCTION("""COMPUTED_VALUE"""),"1595E1")</f>
        <v>1595E1</v>
      </c>
      <c r="E596" s="2">
        <f ca="1">IFERROR(__xludf.DUMMYFUNCTION("""COMPUTED_VALUE"""),40580)</f>
        <v>40580</v>
      </c>
      <c r="F596" s="1" t="str">
        <f ca="1">IFERROR(__xludf.DUMMYFUNCTION("""COMPUTED_VALUE"""),"2NDE1 COOP")</f>
        <v>2NDE1 COOP</v>
      </c>
      <c r="G596" s="1" t="str">
        <f ca="1">IFERROR(__xludf.DUMMYFUNCTION("""COMPUTED_VALUE"""),"2nde")</f>
        <v>2nde</v>
      </c>
      <c r="H596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596" s="1"/>
      <c r="J596" s="1"/>
      <c r="K596" s="1"/>
      <c r="L596" s="1"/>
      <c r="M596" s="1"/>
      <c r="N596" s="1" t="str">
        <f ca="1">IFERROR(__xludf.DUMMYFUNCTION("""COMPUTED_VALUE"""),"Garçon")</f>
        <v>Garçon</v>
      </c>
      <c r="O596" s="1"/>
      <c r="P596" s="1" t="str">
        <f ca="1">IFERROR(__xludf.DUMMYFUNCTION("""COMPUTED_VALUE"""),"FRANCE")</f>
        <v>FRANCE</v>
      </c>
      <c r="Q596" s="1" t="str">
        <f ca="1">IFERROR(__xludf.DUMMYFUNCTION("""COMPUTED_VALUE"""),"SENEGAL")</f>
        <v>SENEGAL</v>
      </c>
      <c r="R596" s="1" t="str">
        <f ca="1">IFERROR(__xludf.DUMMYFUNCTION("""COMPUTED_VALUE"""),"sasha.thomas@lfjpsaly.org")</f>
        <v>sasha.thomas@lfjpsaly.org</v>
      </c>
      <c r="S596" s="1" t="str">
        <f ca="1">IFERROR(__xludf.DUMMYFUNCTION("""COMPUTED_VALUE"""),"+221")</f>
        <v>+221</v>
      </c>
      <c r="T596" s="1" t="str">
        <f ca="1">IFERROR(__xludf.DUMMYFUNCTION("""COMPUTED_VALUE"""),"THOMAS Benjamin")</f>
        <v>THOMAS Benjamin</v>
      </c>
      <c r="U596" s="1" t="str">
        <f ca="1">IFERROR(__xludf.DUMMYFUNCTION("""COMPUTED_VALUE"""),"RODRIGUEZ Valérie")</f>
        <v>RODRIGUEZ Valérie</v>
      </c>
      <c r="V596" s="1" t="str">
        <f ca="1">IFERROR(__xludf.DUMMYFUNCTION("""COMPUTED_VALUE"""),"bthomas.etsthomas@gmail.com")</f>
        <v>bthomas.etsthomas@gmail.com</v>
      </c>
      <c r="W596" s="1" t="str">
        <f ca="1">IFERROR(__xludf.DUMMYFUNCTION("""COMPUTED_VALUE"""),"valstylistefreelance@gmail.com")</f>
        <v>valstylistefreelance@gmail.com</v>
      </c>
      <c r="X596" s="1" t="str">
        <f ca="1">IFERROR(__xludf.DUMMYFUNCTION("""COMPUTED_VALUE"""),"+221 77 486 17 52")</f>
        <v>+221 77 486 17 52</v>
      </c>
      <c r="Y596" s="1" t="str">
        <f ca="1">IFERROR(__xludf.DUMMYFUNCTION("""COMPUTED_VALUE"""),"+221 78 520 82 82")</f>
        <v>+221 78 520 82 82</v>
      </c>
      <c r="Z596" s="1" t="str">
        <f ca="1">IFERROR(__xludf.DUMMYFUNCTION("""COMPUTED_VALUE"""),"+221")</f>
        <v>+221</v>
      </c>
      <c r="AA596" s="1" t="str">
        <f ca="1">IFERROR(__xludf.DUMMYFUNCTION("""COMPUTED_VALUE"""),"+221")</f>
        <v>+221</v>
      </c>
      <c r="AB596" s="2">
        <f ca="1">IFERROR(__xludf.DUMMYFUNCTION("""COMPUTED_VALUE"""),29417)</f>
        <v>29417</v>
      </c>
      <c r="AC596" s="2">
        <f ca="1">IFERROR(__xludf.DUMMYFUNCTION("""COMPUTED_VALUE"""),28704)</f>
        <v>28704</v>
      </c>
      <c r="AD596" s="1" t="str">
        <f ca="1">IFERROR(__xludf.DUMMYFUNCTION("""COMPUTED_VALUE"""),"MERE")</f>
        <v>MERE</v>
      </c>
      <c r="AE596" s="1" t="str">
        <f ca="1">IFERROR(__xludf.DUMMYFUNCTION("""COMPUTED_VALUE"""),"PERE")</f>
        <v>PERE</v>
      </c>
      <c r="AF596" s="1" t="str">
        <f ca="1">IFERROR(__xludf.DUMMYFUNCTION("""COMPUTED_VALUE"""),"FRANCE")</f>
        <v>FRANCE</v>
      </c>
      <c r="AG596" s="1" t="str">
        <f ca="1">IFERROR(__xludf.DUMMYFUNCTION("""COMPUTED_VALUE"""),"FRANCE")</f>
        <v>FRANCE</v>
      </c>
      <c r="AH596" s="1"/>
      <c r="AI596" s="1"/>
      <c r="AJ596" s="1" t="str">
        <f ca="1">IFERROR(__xludf.DUMMYFUNCTION("""COMPUTED_VALUE"""),"F1595")</f>
        <v>F1595</v>
      </c>
      <c r="AK596" s="1" t="str">
        <f ca="1">IFERROR(__xludf.DUMMYFUNCTION("""COMPUTED_VALUE"""),"Divorcée")</f>
        <v>Divorcée</v>
      </c>
      <c r="AL596" s="1" t="str">
        <f ca="1">IFERROR(__xludf.DUMMYFUNCTION("""COMPUTED_VALUE"""),"Divorcée")</f>
        <v>Divorcée</v>
      </c>
      <c r="AM596" s="1" t="str">
        <f ca="1">IFERROR(__xludf.DUMMYFUNCTION("""COMPUTED_VALUE"""),"F1595")</f>
        <v>F1595</v>
      </c>
    </row>
    <row r="597" spans="1:39" ht="13" x14ac:dyDescent="0.15">
      <c r="A597" s="1" t="str">
        <f ca="1">IFERROR(__xludf.DUMMYFUNCTION("""COMPUTED_VALUE"""),"TINE Ines")</f>
        <v>TINE Ines</v>
      </c>
      <c r="B597" s="1" t="str">
        <f ca="1">IFERROR(__xludf.DUMMYFUNCTION("""COMPUTED_VALUE"""),"TINE")</f>
        <v>TINE</v>
      </c>
      <c r="C597" s="1" t="str">
        <f ca="1">IFERROR(__xludf.DUMMYFUNCTION("""COMPUTED_VALUE"""),"Ines")</f>
        <v>Ines</v>
      </c>
      <c r="D597" s="1" t="str">
        <f ca="1">IFERROR(__xludf.DUMMYFUNCTION("""COMPUTED_VALUE"""),"1597E1")</f>
        <v>1597E1</v>
      </c>
      <c r="E597" s="2">
        <f ca="1">IFERROR(__xludf.DUMMYFUNCTION("""COMPUTED_VALUE"""),41207)</f>
        <v>41207</v>
      </c>
      <c r="F597" s="1" t="str">
        <f ca="1">IFERROR(__xludf.DUMMYFUNCTION("""COMPUTED_VALUE"""),"4EME1")</f>
        <v>4EME1</v>
      </c>
      <c r="G597" s="1" t="str">
        <f ca="1">IFERROR(__xludf.DUMMYFUNCTION("""COMPUTED_VALUE"""),"4ème")</f>
        <v>4ème</v>
      </c>
      <c r="H597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597" s="1" t="str">
        <f ca="1">IFERROR(__xludf.DUMMYFUNCTION("""COMPUTED_VALUE"""),"LVA Anglais")</f>
        <v>LVA Anglais</v>
      </c>
      <c r="J597" s="1" t="str">
        <f ca="1">IFERROR(__xludf.DUMMYFUNCTION("""COMPUTED_VALUE"""),"LVB Espagnol")</f>
        <v>LVB Espagnol</v>
      </c>
      <c r="K597" s="1"/>
      <c r="L597" s="1"/>
      <c r="M597" s="1"/>
      <c r="N597" s="1" t="str">
        <f ca="1">IFERROR(__xludf.DUMMYFUNCTION("""COMPUTED_VALUE"""),"Fille")</f>
        <v>Fille</v>
      </c>
      <c r="O597" s="1"/>
      <c r="P597" s="1" t="str">
        <f ca="1">IFERROR(__xludf.DUMMYFUNCTION("""COMPUTED_VALUE"""),"SENEGAL")</f>
        <v>SENEGAL</v>
      </c>
      <c r="Q597" s="1" t="str">
        <f ca="1">IFERROR(__xludf.DUMMYFUNCTION("""COMPUTED_VALUE"""),"MAROC")</f>
        <v>MAROC</v>
      </c>
      <c r="R597" s="1" t="str">
        <f ca="1">IFERROR(__xludf.DUMMYFUNCTION("""COMPUTED_VALUE"""),"ines.tine@lfjpsaly.org")</f>
        <v>ines.tine@lfjpsaly.org</v>
      </c>
      <c r="S597" s="1" t="str">
        <f ca="1">IFERROR(__xludf.DUMMYFUNCTION("""COMPUTED_VALUE"""),"+221 78 591 31 39")</f>
        <v>+221 78 591 31 39</v>
      </c>
      <c r="T597" s="1" t="str">
        <f ca="1">IFERROR(__xludf.DUMMYFUNCTION("""COMPUTED_VALUE"""),"TINE Felix")</f>
        <v>TINE Felix</v>
      </c>
      <c r="U597" s="1" t="str">
        <f ca="1">IFERROR(__xludf.DUMMYFUNCTION("""COMPUTED_VALUE"""),"AARAB Nadia")</f>
        <v>AARAB Nadia</v>
      </c>
      <c r="V597" s="1" t="str">
        <f ca="1">IFERROR(__xludf.DUMMYFUNCTION("""COMPUTED_VALUE"""),"lamanegalama@gmail.com")</f>
        <v>lamanegalama@gmail.com</v>
      </c>
      <c r="W597" s="1" t="str">
        <f ca="1">IFERROR(__xludf.DUMMYFUNCTION("""COMPUTED_VALUE"""),"nadiaaarab07@gmail.com")</f>
        <v>nadiaaarab07@gmail.com</v>
      </c>
      <c r="X597" s="1" t="str">
        <f ca="1">IFERROR(__xludf.DUMMYFUNCTION("""COMPUTED_VALUE"""),"+212 618-065536")</f>
        <v>+212 618-065536</v>
      </c>
      <c r="Y597" s="1" t="str">
        <f ca="1">IFERROR(__xludf.DUMMYFUNCTION("""COMPUTED_VALUE"""),"+221 78 837 26 83")</f>
        <v>+221 78 837 26 83</v>
      </c>
      <c r="Z597" s="1" t="str">
        <f ca="1">IFERROR(__xludf.DUMMYFUNCTION("""COMPUTED_VALUE"""),"+221 78 591 31 39")</f>
        <v>+221 78 591 31 39</v>
      </c>
      <c r="AA597" s="1" t="str">
        <f ca="1">IFERROR(__xludf.DUMMYFUNCTION("""COMPUTED_VALUE"""),"+212 657-224408")</f>
        <v>+212 657-224408</v>
      </c>
      <c r="AB597" s="2">
        <f ca="1">IFERROR(__xludf.DUMMYFUNCTION("""COMPUTED_VALUE"""),29128)</f>
        <v>29128</v>
      </c>
      <c r="AC597" s="2">
        <f ca="1">IFERROR(__xludf.DUMMYFUNCTION("""COMPUTED_VALUE"""),29776)</f>
        <v>29776</v>
      </c>
      <c r="AD597" s="1" t="str">
        <f ca="1">IFERROR(__xludf.DUMMYFUNCTION("""COMPUTED_VALUE"""),"PERE")</f>
        <v>PERE</v>
      </c>
      <c r="AE597" s="1" t="str">
        <f ca="1">IFERROR(__xludf.DUMMYFUNCTION("""COMPUTED_VALUE"""),"MERE")</f>
        <v>MERE</v>
      </c>
      <c r="AF597" s="1" t="str">
        <f ca="1">IFERROR(__xludf.DUMMYFUNCTION("""COMPUTED_VALUE"""),"SENEGAL")</f>
        <v>SENEGAL</v>
      </c>
      <c r="AG597" s="1" t="str">
        <f ca="1">IFERROR(__xludf.DUMMYFUNCTION("""COMPUTED_VALUE"""),"MAROC")</f>
        <v>MAROC</v>
      </c>
      <c r="AH597" s="1"/>
      <c r="AI597" s="1"/>
      <c r="AJ597" s="1" t="str">
        <f ca="1">IFERROR(__xludf.DUMMYFUNCTION("""COMPUTED_VALUE"""),"F1597")</f>
        <v>F1597</v>
      </c>
      <c r="AK597" s="1" t="str">
        <f ca="1">IFERROR(__xludf.DUMMYFUNCTION("""COMPUTED_VALUE"""),"Marié(e)")</f>
        <v>Marié(e)</v>
      </c>
      <c r="AL597" s="1" t="str">
        <f ca="1">IFERROR(__xludf.DUMMYFUNCTION("""COMPUTED_VALUE"""),"Marié(e)")</f>
        <v>Marié(e)</v>
      </c>
      <c r="AM597" s="1" t="str">
        <f ca="1">IFERROR(__xludf.DUMMYFUNCTION("""COMPUTED_VALUE"""),"F1597")</f>
        <v>F1597</v>
      </c>
    </row>
    <row r="598" spans="1:39" ht="13" x14ac:dyDescent="0.15">
      <c r="A598" s="1" t="str">
        <f ca="1">IFERROR(__xludf.DUMMYFUNCTION("""COMPUTED_VALUE"""),"TINE Jeanne Rebecca Codou")</f>
        <v>TINE Jeanne Rebecca Codou</v>
      </c>
      <c r="B598" s="1" t="str">
        <f ca="1">IFERROR(__xludf.DUMMYFUNCTION("""COMPUTED_VALUE"""),"TINE")</f>
        <v>TINE</v>
      </c>
      <c r="C598" s="1" t="str">
        <f ca="1">IFERROR(__xludf.DUMMYFUNCTION("""COMPUTED_VALUE"""),"Jeanne Rebecca Codou")</f>
        <v>Jeanne Rebecca Codou</v>
      </c>
      <c r="D598" s="1" t="str">
        <f ca="1">IFERROR(__xludf.DUMMYFUNCTION("""COMPUTED_VALUE"""),"1599E1")</f>
        <v>1599E1</v>
      </c>
      <c r="E598" s="2">
        <f ca="1">IFERROR(__xludf.DUMMYFUNCTION("""COMPUTED_VALUE"""),41804)</f>
        <v>41804</v>
      </c>
      <c r="F598" s="1" t="str">
        <f ca="1">IFERROR(__xludf.DUMMYFUNCTION("""COMPUTED_VALUE"""),"6EME1")</f>
        <v>6EME1</v>
      </c>
      <c r="G598" s="1" t="str">
        <f ca="1">IFERROR(__xludf.DUMMYFUNCTION("""COMPUTED_VALUE"""),"6ème")</f>
        <v>6ème</v>
      </c>
      <c r="H598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598" s="1" t="str">
        <f ca="1">IFERROR(__xludf.DUMMYFUNCTION("""COMPUTED_VALUE"""),"LVA Anglais")</f>
        <v>LVA Anglais</v>
      </c>
      <c r="J598" s="1" t="str">
        <f ca="1">IFERROR(__xludf.DUMMYFUNCTION("""COMPUTED_VALUE"""),"LVB Espagnol")</f>
        <v>LVB Espagnol</v>
      </c>
      <c r="K598" s="1"/>
      <c r="L598" s="1"/>
      <c r="M598" s="1"/>
      <c r="N598" s="1" t="str">
        <f ca="1">IFERROR(__xludf.DUMMYFUNCTION("""COMPUTED_VALUE"""),"Fille")</f>
        <v>Fille</v>
      </c>
      <c r="O598" s="1"/>
      <c r="P598" s="1" t="str">
        <f ca="1">IFERROR(__xludf.DUMMYFUNCTION("""COMPUTED_VALUE"""),"SENEGAL")</f>
        <v>SENEGAL</v>
      </c>
      <c r="Q598" s="1"/>
      <c r="R598" s="1" t="str">
        <f ca="1">IFERROR(__xludf.DUMMYFUNCTION("""COMPUTED_VALUE"""),"jeanne.tine@lfjpsaly.org")</f>
        <v>jeanne.tine@lfjpsaly.org</v>
      </c>
      <c r="S598" s="1" t="str">
        <f ca="1">IFERROR(__xludf.DUMMYFUNCTION("""COMPUTED_VALUE"""),"+221 77 720 75 75")</f>
        <v>+221 77 720 75 75</v>
      </c>
      <c r="T598" s="1" t="str">
        <f ca="1">IFERROR(__xludf.DUMMYFUNCTION("""COMPUTED_VALUE"""),"FAYE Marie Therese")</f>
        <v>FAYE Marie Therese</v>
      </c>
      <c r="U598" s="1" t="str">
        <f ca="1">IFERROR(__xludf.DUMMYFUNCTION("""COMPUTED_VALUE"""),"TINE Martin Pascal Famara")</f>
        <v>TINE Martin Pascal Famara</v>
      </c>
      <c r="V598" s="1" t="str">
        <f ca="1">IFERROR(__xludf.DUMMYFUNCTION("""COMPUTED_VALUE"""),"marie.montessorimery@gmail.com")</f>
        <v>marie.montessorimery@gmail.com</v>
      </c>
      <c r="W598" s="1" t="str">
        <f ca="1">IFERROR(__xludf.DUMMYFUNCTION("""COMPUTED_VALUE"""),"martin.tine@ucad.edu.sn")</f>
        <v>martin.tine@ucad.edu.sn</v>
      </c>
      <c r="X598" s="1" t="str">
        <f ca="1">IFERROR(__xludf.DUMMYFUNCTION("""COMPUTED_VALUE"""),"+221 77 107 74 37")</f>
        <v>+221 77 107 74 37</v>
      </c>
      <c r="Y598" s="1" t="str">
        <f ca="1">IFERROR(__xludf.DUMMYFUNCTION("""COMPUTED_VALUE"""),"+221 77 720 75 75")</f>
        <v>+221 77 720 75 75</v>
      </c>
      <c r="Z598" s="1"/>
      <c r="AA598" s="1"/>
      <c r="AB598" s="2">
        <f ca="1">IFERROR(__xludf.DUMMYFUNCTION("""COMPUTED_VALUE"""),28612)</f>
        <v>28612</v>
      </c>
      <c r="AC598" s="2">
        <f ca="1">IFERROR(__xludf.DUMMYFUNCTION("""COMPUTED_VALUE"""),28574)</f>
        <v>28574</v>
      </c>
      <c r="AD598" s="1" t="str">
        <f ca="1">IFERROR(__xludf.DUMMYFUNCTION("""COMPUTED_VALUE"""),"MERE")</f>
        <v>MERE</v>
      </c>
      <c r="AE598" s="1" t="str">
        <f ca="1">IFERROR(__xludf.DUMMYFUNCTION("""COMPUTED_VALUE"""),"PERE")</f>
        <v>PERE</v>
      </c>
      <c r="AF598" s="1" t="str">
        <f ca="1">IFERROR(__xludf.DUMMYFUNCTION("""COMPUTED_VALUE"""),"SENEGAL")</f>
        <v>SENEGAL</v>
      </c>
      <c r="AG598" s="1" t="str">
        <f ca="1">IFERROR(__xludf.DUMMYFUNCTION("""COMPUTED_VALUE"""),"SENEGAL")</f>
        <v>SENEGAL</v>
      </c>
      <c r="AH598" s="1"/>
      <c r="AI598" s="1"/>
      <c r="AJ598" s="1" t="str">
        <f ca="1">IFERROR(__xludf.DUMMYFUNCTION("""COMPUTED_VALUE"""),"F1599")</f>
        <v>F1599</v>
      </c>
      <c r="AK598" s="1" t="str">
        <f ca="1">IFERROR(__xludf.DUMMYFUNCTION("""COMPUTED_VALUE"""),"Marié(e)")</f>
        <v>Marié(e)</v>
      </c>
      <c r="AL598" s="1" t="str">
        <f ca="1">IFERROR(__xludf.DUMMYFUNCTION("""COMPUTED_VALUE"""),"Marié(e)")</f>
        <v>Marié(e)</v>
      </c>
      <c r="AM598" s="1" t="str">
        <f ca="1">IFERROR(__xludf.DUMMYFUNCTION("""COMPUTED_VALUE"""),"F1599")</f>
        <v>F1599</v>
      </c>
    </row>
    <row r="599" spans="1:39" ht="13" x14ac:dyDescent="0.15">
      <c r="A599" s="1" t="str">
        <f ca="1">IFERROR(__xludf.DUMMYFUNCTION("""COMPUTED_VALUE"""),"TINE Khadija")</f>
        <v>TINE Khadija</v>
      </c>
      <c r="B599" s="1" t="str">
        <f ca="1">IFERROR(__xludf.DUMMYFUNCTION("""COMPUTED_VALUE"""),"TINE")</f>
        <v>TINE</v>
      </c>
      <c r="C599" s="1" t="str">
        <f ca="1">IFERROR(__xludf.DUMMYFUNCTION("""COMPUTED_VALUE"""),"Khadija")</f>
        <v>Khadija</v>
      </c>
      <c r="D599" s="1" t="str">
        <f ca="1">IFERROR(__xludf.DUMMYFUNCTION("""COMPUTED_VALUE"""),"1597E2")</f>
        <v>1597E2</v>
      </c>
      <c r="E599" s="2">
        <f ca="1">IFERROR(__xludf.DUMMYFUNCTION("""COMPUTED_VALUE"""),42295)</f>
        <v>42295</v>
      </c>
      <c r="F599" s="1" t="str">
        <f ca="1">IFERROR(__xludf.DUMMYFUNCTION("""COMPUTED_VALUE"""),"CM2B")</f>
        <v>CM2B</v>
      </c>
      <c r="G599" s="1" t="str">
        <f ca="1">IFERROR(__xludf.DUMMYFUNCTION("""COMPUTED_VALUE"""),"CM2")</f>
        <v>CM2</v>
      </c>
      <c r="H599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599" s="1"/>
      <c r="J599" s="1"/>
      <c r="K599" s="1"/>
      <c r="L599" s="1"/>
      <c r="M599" s="1"/>
      <c r="N599" s="1" t="str">
        <f ca="1">IFERROR(__xludf.DUMMYFUNCTION("""COMPUTED_VALUE"""),"Fille")</f>
        <v>Fille</v>
      </c>
      <c r="O599" s="1"/>
      <c r="P599" s="1" t="str">
        <f ca="1">IFERROR(__xludf.DUMMYFUNCTION("""COMPUTED_VALUE"""),"SENEGAL")</f>
        <v>SENEGAL</v>
      </c>
      <c r="Q599" s="1" t="str">
        <f ca="1">IFERROR(__xludf.DUMMYFUNCTION("""COMPUTED_VALUE"""),"MAROC")</f>
        <v>MAROC</v>
      </c>
      <c r="R599" s="1"/>
      <c r="S599" s="1"/>
      <c r="T599" s="1" t="str">
        <f ca="1">IFERROR(__xludf.DUMMYFUNCTION("""COMPUTED_VALUE"""),"TINE Felix")</f>
        <v>TINE Felix</v>
      </c>
      <c r="U599" s="1" t="str">
        <f ca="1">IFERROR(__xludf.DUMMYFUNCTION("""COMPUTED_VALUE"""),"AARAB Nadia")</f>
        <v>AARAB Nadia</v>
      </c>
      <c r="V599" s="1" t="str">
        <f ca="1">IFERROR(__xludf.DUMMYFUNCTION("""COMPUTED_VALUE"""),"lamanegalama@gmail.com")</f>
        <v>lamanegalama@gmail.com</v>
      </c>
      <c r="W599" s="1" t="str">
        <f ca="1">IFERROR(__xludf.DUMMYFUNCTION("""COMPUTED_VALUE"""),"nadiaaarab07@gmail.com")</f>
        <v>nadiaaarab07@gmail.com</v>
      </c>
      <c r="X599" s="1" t="str">
        <f ca="1">IFERROR(__xludf.DUMMYFUNCTION("""COMPUTED_VALUE"""),"+212 618-065536")</f>
        <v>+212 618-065536</v>
      </c>
      <c r="Y599" s="1" t="str">
        <f ca="1">IFERROR(__xludf.DUMMYFUNCTION("""COMPUTED_VALUE"""),"+221 78 837 26 83")</f>
        <v>+221 78 837 26 83</v>
      </c>
      <c r="Z599" s="1" t="str">
        <f ca="1">IFERROR(__xludf.DUMMYFUNCTION("""COMPUTED_VALUE"""),"+221 78 591 31 39")</f>
        <v>+221 78 591 31 39</v>
      </c>
      <c r="AA599" s="1" t="str">
        <f ca="1">IFERROR(__xludf.DUMMYFUNCTION("""COMPUTED_VALUE"""),"+212 657-224408")</f>
        <v>+212 657-224408</v>
      </c>
      <c r="AB599" s="2">
        <f ca="1">IFERROR(__xludf.DUMMYFUNCTION("""COMPUTED_VALUE"""),29128)</f>
        <v>29128</v>
      </c>
      <c r="AC599" s="2">
        <f ca="1">IFERROR(__xludf.DUMMYFUNCTION("""COMPUTED_VALUE"""),29776)</f>
        <v>29776</v>
      </c>
      <c r="AD599" s="1" t="str">
        <f ca="1">IFERROR(__xludf.DUMMYFUNCTION("""COMPUTED_VALUE"""),"PERE")</f>
        <v>PERE</v>
      </c>
      <c r="AE599" s="1" t="str">
        <f ca="1">IFERROR(__xludf.DUMMYFUNCTION("""COMPUTED_VALUE"""),"MERE")</f>
        <v>MERE</v>
      </c>
      <c r="AF599" s="1" t="str">
        <f ca="1">IFERROR(__xludf.DUMMYFUNCTION("""COMPUTED_VALUE"""),"SENEGAL")</f>
        <v>SENEGAL</v>
      </c>
      <c r="AG599" s="1" t="str">
        <f ca="1">IFERROR(__xludf.DUMMYFUNCTION("""COMPUTED_VALUE"""),"MAROC")</f>
        <v>MAROC</v>
      </c>
      <c r="AH599" s="1"/>
      <c r="AI599" s="1"/>
      <c r="AJ599" s="1" t="str">
        <f ca="1">IFERROR(__xludf.DUMMYFUNCTION("""COMPUTED_VALUE"""),"F1597")</f>
        <v>F1597</v>
      </c>
      <c r="AK599" s="1" t="str">
        <f ca="1">IFERROR(__xludf.DUMMYFUNCTION("""COMPUTED_VALUE"""),"Marié(e)")</f>
        <v>Marié(e)</v>
      </c>
      <c r="AL599" s="1" t="str">
        <f ca="1">IFERROR(__xludf.DUMMYFUNCTION("""COMPUTED_VALUE"""),"Marié(e)")</f>
        <v>Marié(e)</v>
      </c>
      <c r="AM599" s="1" t="str">
        <f ca="1">IFERROR(__xludf.DUMMYFUNCTION("""COMPUTED_VALUE"""),"F1597")</f>
        <v>F1597</v>
      </c>
    </row>
    <row r="600" spans="1:39" ht="13" x14ac:dyDescent="0.15">
      <c r="A600" s="1" t="str">
        <f ca="1">IFERROR(__xludf.DUMMYFUNCTION("""COMPUTED_VALUE"""),"TINE Marie Gnilane")</f>
        <v>TINE Marie Gnilane</v>
      </c>
      <c r="B600" s="1" t="str">
        <f ca="1">IFERROR(__xludf.DUMMYFUNCTION("""COMPUTED_VALUE"""),"TINE")</f>
        <v>TINE</v>
      </c>
      <c r="C600" s="1" t="str">
        <f ca="1">IFERROR(__xludf.DUMMYFUNCTION("""COMPUTED_VALUE"""),"Marie Gnilane")</f>
        <v>Marie Gnilane</v>
      </c>
      <c r="D600" s="1" t="str">
        <f ca="1">IFERROR(__xludf.DUMMYFUNCTION("""COMPUTED_VALUE"""),"1599E3")</f>
        <v>1599E3</v>
      </c>
      <c r="E600" s="2">
        <f ca="1">IFERROR(__xludf.DUMMYFUNCTION("""COMPUTED_VALUE"""),40293)</f>
        <v>40293</v>
      </c>
      <c r="F600" s="1" t="str">
        <f ca="1">IFERROR(__xludf.DUMMYFUNCTION("""COMPUTED_VALUE"""),"2NDE1 COOP")</f>
        <v>2NDE1 COOP</v>
      </c>
      <c r="G600" s="1" t="str">
        <f ca="1">IFERROR(__xludf.DUMMYFUNCTION("""COMPUTED_VALUE"""),"2nde")</f>
        <v>2nde</v>
      </c>
      <c r="H600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600" s="1" t="str">
        <f ca="1">IFERROR(__xludf.DUMMYFUNCTION("""COMPUTED_VALUE"""),"LVA Anglais")</f>
        <v>LVA Anglais</v>
      </c>
      <c r="J600" s="1" t="str">
        <f ca="1">IFERROR(__xludf.DUMMYFUNCTION("""COMPUTED_VALUE"""),"LVB Espagnol")</f>
        <v>LVB Espagnol</v>
      </c>
      <c r="K600" s="1"/>
      <c r="L600" s="1"/>
      <c r="M600" s="1"/>
      <c r="N600" s="1" t="str">
        <f ca="1">IFERROR(__xludf.DUMMYFUNCTION("""COMPUTED_VALUE"""),"Fille")</f>
        <v>Fille</v>
      </c>
      <c r="O600" s="1"/>
      <c r="P600" s="1" t="str">
        <f ca="1">IFERROR(__xludf.DUMMYFUNCTION("""COMPUTED_VALUE"""),"SENEGAL")</f>
        <v>SENEGAL</v>
      </c>
      <c r="Q600" s="1"/>
      <c r="R600" s="1" t="str">
        <f ca="1">IFERROR(__xludf.DUMMYFUNCTION("""COMPUTED_VALUE"""),"mariegnilane.tine@lfjpsaly.org")</f>
        <v>mariegnilane.tine@lfjpsaly.org</v>
      </c>
      <c r="S600" s="1" t="str">
        <f ca="1">IFERROR(__xludf.DUMMYFUNCTION("""COMPUTED_VALUE"""),"+221 77 720 75 75")</f>
        <v>+221 77 720 75 75</v>
      </c>
      <c r="T600" s="1" t="str">
        <f ca="1">IFERROR(__xludf.DUMMYFUNCTION("""COMPUTED_VALUE"""),"FAYE Marie Therese")</f>
        <v>FAYE Marie Therese</v>
      </c>
      <c r="U600" s="1" t="str">
        <f ca="1">IFERROR(__xludf.DUMMYFUNCTION("""COMPUTED_VALUE"""),"TINE Martin Pascal Famara")</f>
        <v>TINE Martin Pascal Famara</v>
      </c>
      <c r="V600" s="1" t="str">
        <f ca="1">IFERROR(__xludf.DUMMYFUNCTION("""COMPUTED_VALUE"""),"marie.montessorimery@gmail.com")</f>
        <v>marie.montessorimery@gmail.com</v>
      </c>
      <c r="W600" s="1" t="str">
        <f ca="1">IFERROR(__xludf.DUMMYFUNCTION("""COMPUTED_VALUE"""),"martin.tine@ucad.edu.sn")</f>
        <v>martin.tine@ucad.edu.sn</v>
      </c>
      <c r="X600" s="1" t="str">
        <f ca="1">IFERROR(__xludf.DUMMYFUNCTION("""COMPUTED_VALUE"""),"+221 77 107 74 37")</f>
        <v>+221 77 107 74 37</v>
      </c>
      <c r="Y600" s="1" t="str">
        <f ca="1">IFERROR(__xludf.DUMMYFUNCTION("""COMPUTED_VALUE"""),"+221 77 720 75 75")</f>
        <v>+221 77 720 75 75</v>
      </c>
      <c r="Z600" s="1"/>
      <c r="AA600" s="1"/>
      <c r="AB600" s="2">
        <f ca="1">IFERROR(__xludf.DUMMYFUNCTION("""COMPUTED_VALUE"""),28612)</f>
        <v>28612</v>
      </c>
      <c r="AC600" s="2">
        <f ca="1">IFERROR(__xludf.DUMMYFUNCTION("""COMPUTED_VALUE"""),28574)</f>
        <v>28574</v>
      </c>
      <c r="AD600" s="1" t="str">
        <f ca="1">IFERROR(__xludf.DUMMYFUNCTION("""COMPUTED_VALUE"""),"MERE")</f>
        <v>MERE</v>
      </c>
      <c r="AE600" s="1" t="str">
        <f ca="1">IFERROR(__xludf.DUMMYFUNCTION("""COMPUTED_VALUE"""),"PERE")</f>
        <v>PERE</v>
      </c>
      <c r="AF600" s="1" t="str">
        <f ca="1">IFERROR(__xludf.DUMMYFUNCTION("""COMPUTED_VALUE"""),"SENEGAL")</f>
        <v>SENEGAL</v>
      </c>
      <c r="AG600" s="1" t="str">
        <f ca="1">IFERROR(__xludf.DUMMYFUNCTION("""COMPUTED_VALUE"""),"SENEGAL")</f>
        <v>SENEGAL</v>
      </c>
      <c r="AH600" s="1"/>
      <c r="AI600" s="1"/>
      <c r="AJ600" s="1" t="str">
        <f ca="1">IFERROR(__xludf.DUMMYFUNCTION("""COMPUTED_VALUE"""),"F1599")</f>
        <v>F1599</v>
      </c>
      <c r="AK600" s="1" t="str">
        <f ca="1">IFERROR(__xludf.DUMMYFUNCTION("""COMPUTED_VALUE"""),"Marié(e)")</f>
        <v>Marié(e)</v>
      </c>
      <c r="AL600" s="1" t="str">
        <f ca="1">IFERROR(__xludf.DUMMYFUNCTION("""COMPUTED_VALUE"""),"Marié(e)")</f>
        <v>Marié(e)</v>
      </c>
      <c r="AM600" s="1" t="str">
        <f ca="1">IFERROR(__xludf.DUMMYFUNCTION("""COMPUTED_VALUE"""),"F1599")</f>
        <v>F1599</v>
      </c>
    </row>
    <row r="601" spans="1:39" ht="13" x14ac:dyDescent="0.15">
      <c r="A601" s="1" t="str">
        <f ca="1">IFERROR(__xludf.DUMMYFUNCTION("""COMPUTED_VALUE"""),"TINE Serge Emmanuel Back")</f>
        <v>TINE Serge Emmanuel Back</v>
      </c>
      <c r="B601" s="1" t="str">
        <f ca="1">IFERROR(__xludf.DUMMYFUNCTION("""COMPUTED_VALUE"""),"TINE")</f>
        <v>TINE</v>
      </c>
      <c r="C601" s="1" t="str">
        <f ca="1">IFERROR(__xludf.DUMMYFUNCTION("""COMPUTED_VALUE"""),"Serge Emmanuel Back")</f>
        <v>Serge Emmanuel Back</v>
      </c>
      <c r="D601" s="1" t="str">
        <f ca="1">IFERROR(__xludf.DUMMYFUNCTION("""COMPUTED_VALUE"""),"1599E2")</f>
        <v>1599E2</v>
      </c>
      <c r="E601" s="2">
        <f ca="1">IFERROR(__xludf.DUMMYFUNCTION("""COMPUTED_VALUE"""),43446)</f>
        <v>43446</v>
      </c>
      <c r="F601" s="1" t="str">
        <f ca="1">IFERROR(__xludf.DUMMYFUNCTION("""COMPUTED_VALUE"""),"CE1A")</f>
        <v>CE1A</v>
      </c>
      <c r="G601" s="1" t="str">
        <f ca="1">IFERROR(__xludf.DUMMYFUNCTION("""COMPUTED_VALUE"""),"CE1")</f>
        <v>CE1</v>
      </c>
      <c r="H601" s="1" t="str">
        <f ca="1">IFERROR(__xludf.DUMMYFUNCTION("""COMPUTED_VALUE"""),"Lycée Français Jacques Prévert de Saly » Elémentaire » CE1 » Générale")</f>
        <v>Lycée Français Jacques Prévert de Saly » Elémentaire » CE1 » Générale</v>
      </c>
      <c r="I601" s="1"/>
      <c r="J601" s="1"/>
      <c r="K601" s="1"/>
      <c r="L601" s="1"/>
      <c r="M601" s="1"/>
      <c r="N601" s="1" t="str">
        <f ca="1">IFERROR(__xludf.DUMMYFUNCTION("""COMPUTED_VALUE"""),"Garçon")</f>
        <v>Garçon</v>
      </c>
      <c r="O601" s="1"/>
      <c r="P601" s="1" t="str">
        <f ca="1">IFERROR(__xludf.DUMMYFUNCTION("""COMPUTED_VALUE"""),"SENEGAL")</f>
        <v>SENEGAL</v>
      </c>
      <c r="Q601" s="1"/>
      <c r="R601" s="1"/>
      <c r="S601" s="1"/>
      <c r="T601" s="1" t="str">
        <f ca="1">IFERROR(__xludf.DUMMYFUNCTION("""COMPUTED_VALUE"""),"FAYE Marie Therese")</f>
        <v>FAYE Marie Therese</v>
      </c>
      <c r="U601" s="1" t="str">
        <f ca="1">IFERROR(__xludf.DUMMYFUNCTION("""COMPUTED_VALUE"""),"TINE Martin Pascal Famara")</f>
        <v>TINE Martin Pascal Famara</v>
      </c>
      <c r="V601" s="1" t="str">
        <f ca="1">IFERROR(__xludf.DUMMYFUNCTION("""COMPUTED_VALUE"""),"marie.montessorimery@gmail.com")</f>
        <v>marie.montessorimery@gmail.com</v>
      </c>
      <c r="W601" s="1" t="str">
        <f ca="1">IFERROR(__xludf.DUMMYFUNCTION("""COMPUTED_VALUE"""),"martin.tine@ucad.edu.sn")</f>
        <v>martin.tine@ucad.edu.sn</v>
      </c>
      <c r="X601" s="1" t="str">
        <f ca="1">IFERROR(__xludf.DUMMYFUNCTION("""COMPUTED_VALUE"""),"+221 77 107 74 37")</f>
        <v>+221 77 107 74 37</v>
      </c>
      <c r="Y601" s="1" t="str">
        <f ca="1">IFERROR(__xludf.DUMMYFUNCTION("""COMPUTED_VALUE"""),"+221 77 720 75 75")</f>
        <v>+221 77 720 75 75</v>
      </c>
      <c r="Z601" s="1"/>
      <c r="AA601" s="1"/>
      <c r="AB601" s="2">
        <f ca="1">IFERROR(__xludf.DUMMYFUNCTION("""COMPUTED_VALUE"""),28612)</f>
        <v>28612</v>
      </c>
      <c r="AC601" s="2">
        <f ca="1">IFERROR(__xludf.DUMMYFUNCTION("""COMPUTED_VALUE"""),28574)</f>
        <v>28574</v>
      </c>
      <c r="AD601" s="1" t="str">
        <f ca="1">IFERROR(__xludf.DUMMYFUNCTION("""COMPUTED_VALUE"""),"MERE")</f>
        <v>MERE</v>
      </c>
      <c r="AE601" s="1" t="str">
        <f ca="1">IFERROR(__xludf.DUMMYFUNCTION("""COMPUTED_VALUE"""),"PERE")</f>
        <v>PERE</v>
      </c>
      <c r="AF601" s="1" t="str">
        <f ca="1">IFERROR(__xludf.DUMMYFUNCTION("""COMPUTED_VALUE"""),"SENEGAL")</f>
        <v>SENEGAL</v>
      </c>
      <c r="AG601" s="1" t="str">
        <f ca="1">IFERROR(__xludf.DUMMYFUNCTION("""COMPUTED_VALUE"""),"SENEGAL")</f>
        <v>SENEGAL</v>
      </c>
      <c r="AH601" s="1"/>
      <c r="AI601" s="1"/>
      <c r="AJ601" s="1" t="str">
        <f ca="1">IFERROR(__xludf.DUMMYFUNCTION("""COMPUTED_VALUE"""),"F1599")</f>
        <v>F1599</v>
      </c>
      <c r="AK601" s="1" t="str">
        <f ca="1">IFERROR(__xludf.DUMMYFUNCTION("""COMPUTED_VALUE"""),"Marié(e)")</f>
        <v>Marié(e)</v>
      </c>
      <c r="AL601" s="1" t="str">
        <f ca="1">IFERROR(__xludf.DUMMYFUNCTION("""COMPUTED_VALUE"""),"Marié(e)")</f>
        <v>Marié(e)</v>
      </c>
      <c r="AM601" s="1" t="str">
        <f ca="1">IFERROR(__xludf.DUMMYFUNCTION("""COMPUTED_VALUE"""),"F1599")</f>
        <v>F1599</v>
      </c>
    </row>
    <row r="602" spans="1:39" ht="13" x14ac:dyDescent="0.15">
      <c r="A602" s="1" t="str">
        <f ca="1">IFERROR(__xludf.DUMMYFUNCTION("""COMPUTED_VALUE"""),"TISGHIRI Mohamed")</f>
        <v>TISGHIRI Mohamed</v>
      </c>
      <c r="B602" s="1" t="str">
        <f ca="1">IFERROR(__xludf.DUMMYFUNCTION("""COMPUTED_VALUE"""),"TISGHIRI")</f>
        <v>TISGHIRI</v>
      </c>
      <c r="C602" s="1" t="str">
        <f ca="1">IFERROR(__xludf.DUMMYFUNCTION("""COMPUTED_VALUE"""),"Mohamed")</f>
        <v>Mohamed</v>
      </c>
      <c r="D602" s="1" t="str">
        <f ca="1">IFERROR(__xludf.DUMMYFUNCTION("""COMPUTED_VALUE"""),"1600E1")</f>
        <v>1600E1</v>
      </c>
      <c r="E602" s="2">
        <f ca="1">IFERROR(__xludf.DUMMYFUNCTION("""COMPUTED_VALUE"""),40485)</f>
        <v>40485</v>
      </c>
      <c r="F602" s="1" t="str">
        <f ca="1">IFERROR(__xludf.DUMMYFUNCTION("""COMPUTED_VALUE"""),"2NDE2")</f>
        <v>2NDE2</v>
      </c>
      <c r="G602" s="1" t="str">
        <f ca="1">IFERROR(__xludf.DUMMYFUNCTION("""COMPUTED_VALUE"""),"2nde")</f>
        <v>2nde</v>
      </c>
      <c r="H602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602" s="1" t="str">
        <f ca="1">IFERROR(__xludf.DUMMYFUNCTION("""COMPUTED_VALUE"""),"LVA Anglais")</f>
        <v>LVA Anglais</v>
      </c>
      <c r="J602" s="1" t="str">
        <f ca="1">IFERROR(__xludf.DUMMYFUNCTION("""COMPUTED_VALUE"""),"LVB Espagnol")</f>
        <v>LVB Espagnol</v>
      </c>
      <c r="K602" s="1"/>
      <c r="L602" s="1"/>
      <c r="M602" s="1"/>
      <c r="N602" s="1" t="str">
        <f ca="1">IFERROR(__xludf.DUMMYFUNCTION("""COMPUTED_VALUE"""),"Garçon")</f>
        <v>Garçon</v>
      </c>
      <c r="O602" s="1"/>
      <c r="P602" s="1" t="str">
        <f ca="1">IFERROR(__xludf.DUMMYFUNCTION("""COMPUTED_VALUE"""),"MAROC")</f>
        <v>MAROC</v>
      </c>
      <c r="Q602" s="1"/>
      <c r="R602" s="1" t="str">
        <f ca="1">IFERROR(__xludf.DUMMYFUNCTION("""COMPUTED_VALUE"""),"mohammed.tisghiri@lfjpsaly.org")</f>
        <v>mohammed.tisghiri@lfjpsaly.org</v>
      </c>
      <c r="S602" s="1" t="str">
        <f ca="1">IFERROR(__xludf.DUMMYFUNCTION("""COMPUTED_VALUE"""),"+221 77 335 83 39")</f>
        <v>+221 77 335 83 39</v>
      </c>
      <c r="T602" s="1" t="str">
        <f ca="1">IFERROR(__xludf.DUMMYFUNCTION("""COMPUTED_VALUE"""),"EL HABBOUD Khadija")</f>
        <v>EL HABBOUD Khadija</v>
      </c>
      <c r="U602" s="1" t="str">
        <f ca="1">IFERROR(__xludf.DUMMYFUNCTION("""COMPUTED_VALUE"""),"TISGHIRI Hassan")</f>
        <v>TISGHIRI Hassan</v>
      </c>
      <c r="V602" s="1" t="str">
        <f ca="1">IFERROR(__xludf.DUMMYFUNCTION("""COMPUTED_VALUE"""),"mtisghiri@gmail.com")</f>
        <v>mtisghiri@gmail.com</v>
      </c>
      <c r="W602" s="1" t="str">
        <f ca="1">IFERROR(__xludf.DUMMYFUNCTION("""COMPUTED_VALUE"""),"mtisghiri@gmail.com")</f>
        <v>mtisghiri@gmail.com</v>
      </c>
      <c r="X602" s="1" t="str">
        <f ca="1">IFERROR(__xludf.DUMMYFUNCTION("""COMPUTED_VALUE"""),"+221 78 158 59 53")</f>
        <v>+221 78 158 59 53</v>
      </c>
      <c r="Y602" s="1" t="str">
        <f ca="1">IFERROR(__xludf.DUMMYFUNCTION("""COMPUTED_VALUE"""),"+221 77 335 83 39")</f>
        <v>+221 77 335 83 39</v>
      </c>
      <c r="Z602" s="1" t="str">
        <f ca="1">IFERROR(__xludf.DUMMYFUNCTION("""COMPUTED_VALUE"""),"+221 78 158 59 53")</f>
        <v>+221 78 158 59 53</v>
      </c>
      <c r="AA602" s="1" t="str">
        <f ca="1">IFERROR(__xludf.DUMMYFUNCTION("""COMPUTED_VALUE"""),"+221 77 335 83 39")</f>
        <v>+221 77 335 83 39</v>
      </c>
      <c r="AB602" s="2">
        <f ca="1">IFERROR(__xludf.DUMMYFUNCTION("""COMPUTED_VALUE"""),29234)</f>
        <v>29234</v>
      </c>
      <c r="AC602" s="2">
        <f ca="1">IFERROR(__xludf.DUMMYFUNCTION("""COMPUTED_VALUE"""),27838)</f>
        <v>27838</v>
      </c>
      <c r="AD602" s="1" t="str">
        <f ca="1">IFERROR(__xludf.DUMMYFUNCTION("""COMPUTED_VALUE"""),"MERE")</f>
        <v>MERE</v>
      </c>
      <c r="AE602" s="1" t="str">
        <f ca="1">IFERROR(__xludf.DUMMYFUNCTION("""COMPUTED_VALUE"""),"PERE")</f>
        <v>PERE</v>
      </c>
      <c r="AF602" s="1" t="str">
        <f ca="1">IFERROR(__xludf.DUMMYFUNCTION("""COMPUTED_VALUE"""),"MAROC")</f>
        <v>MAROC</v>
      </c>
      <c r="AG602" s="1" t="str">
        <f ca="1">IFERROR(__xludf.DUMMYFUNCTION("""COMPUTED_VALUE"""),"MAROC")</f>
        <v>MAROC</v>
      </c>
      <c r="AH602" s="1"/>
      <c r="AI602" s="1"/>
      <c r="AJ602" s="1" t="str">
        <f ca="1">IFERROR(__xludf.DUMMYFUNCTION("""COMPUTED_VALUE"""),"F1600")</f>
        <v>F1600</v>
      </c>
      <c r="AK602" s="1" t="str">
        <f ca="1">IFERROR(__xludf.DUMMYFUNCTION("""COMPUTED_VALUE"""),"Marié(e)")</f>
        <v>Marié(e)</v>
      </c>
      <c r="AL602" s="1" t="str">
        <f ca="1">IFERROR(__xludf.DUMMYFUNCTION("""COMPUTED_VALUE"""),"Marié(e)")</f>
        <v>Marié(e)</v>
      </c>
      <c r="AM602" s="1" t="str">
        <f ca="1">IFERROR(__xludf.DUMMYFUNCTION("""COMPUTED_VALUE"""),"F1600")</f>
        <v>F1600</v>
      </c>
    </row>
    <row r="603" spans="1:39" ht="13" x14ac:dyDescent="0.15">
      <c r="A603" s="1" t="str">
        <f ca="1">IFERROR(__xludf.DUMMYFUNCTION("""COMPUTED_VALUE"""),"TISGHIRI Reda")</f>
        <v>TISGHIRI Reda</v>
      </c>
      <c r="B603" s="1" t="str">
        <f ca="1">IFERROR(__xludf.DUMMYFUNCTION("""COMPUTED_VALUE"""),"TISGHIRI")</f>
        <v>TISGHIRI</v>
      </c>
      <c r="C603" s="1" t="str">
        <f ca="1">IFERROR(__xludf.DUMMYFUNCTION("""COMPUTED_VALUE"""),"Reda")</f>
        <v>Reda</v>
      </c>
      <c r="D603" s="1" t="str">
        <f ca="1">IFERROR(__xludf.DUMMYFUNCTION("""COMPUTED_VALUE"""),"1600E2")</f>
        <v>1600E2</v>
      </c>
      <c r="E603" s="2">
        <f ca="1">IFERROR(__xludf.DUMMYFUNCTION("""COMPUTED_VALUE"""),42007)</f>
        <v>42007</v>
      </c>
      <c r="F603" s="1" t="str">
        <f ca="1">IFERROR(__xludf.DUMMYFUNCTION("""COMPUTED_VALUE"""),"CM2B")</f>
        <v>CM2B</v>
      </c>
      <c r="G603" s="1" t="str">
        <f ca="1">IFERROR(__xludf.DUMMYFUNCTION("""COMPUTED_VALUE"""),"CM2")</f>
        <v>CM2</v>
      </c>
      <c r="H603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603" s="1"/>
      <c r="J603" s="1"/>
      <c r="K603" s="1"/>
      <c r="L603" s="1"/>
      <c r="M603" s="1"/>
      <c r="N603" s="1" t="str">
        <f ca="1">IFERROR(__xludf.DUMMYFUNCTION("""COMPUTED_VALUE"""),"Garçon")</f>
        <v>Garçon</v>
      </c>
      <c r="O603" s="1"/>
      <c r="P603" s="1" t="str">
        <f ca="1">IFERROR(__xludf.DUMMYFUNCTION("""COMPUTED_VALUE"""),"MAROC")</f>
        <v>MAROC</v>
      </c>
      <c r="Q603" s="1" t="str">
        <f ca="1">IFERROR(__xludf.DUMMYFUNCTION("""COMPUTED_VALUE"""),"SENEGAL")</f>
        <v>SENEGAL</v>
      </c>
      <c r="R603" s="1"/>
      <c r="S603" s="1" t="str">
        <f ca="1">IFERROR(__xludf.DUMMYFUNCTION("""COMPUTED_VALUE"""),"+221 77 335 83 39")</f>
        <v>+221 77 335 83 39</v>
      </c>
      <c r="T603" s="1" t="str">
        <f ca="1">IFERROR(__xludf.DUMMYFUNCTION("""COMPUTED_VALUE"""),"EL HABBOUD Khadija")</f>
        <v>EL HABBOUD Khadija</v>
      </c>
      <c r="U603" s="1" t="str">
        <f ca="1">IFERROR(__xludf.DUMMYFUNCTION("""COMPUTED_VALUE"""),"TISGHIRI Hassan")</f>
        <v>TISGHIRI Hassan</v>
      </c>
      <c r="V603" s="1" t="str">
        <f ca="1">IFERROR(__xludf.DUMMYFUNCTION("""COMPUTED_VALUE"""),"mtisghiri@gmail.com")</f>
        <v>mtisghiri@gmail.com</v>
      </c>
      <c r="W603" s="1" t="str">
        <f ca="1">IFERROR(__xludf.DUMMYFUNCTION("""COMPUTED_VALUE"""),"mtisghiri@gmail.com")</f>
        <v>mtisghiri@gmail.com</v>
      </c>
      <c r="X603" s="1" t="str">
        <f ca="1">IFERROR(__xludf.DUMMYFUNCTION("""COMPUTED_VALUE"""),"+221 78 158 59 53")</f>
        <v>+221 78 158 59 53</v>
      </c>
      <c r="Y603" s="1" t="str">
        <f ca="1">IFERROR(__xludf.DUMMYFUNCTION("""COMPUTED_VALUE"""),"+221 77 335 83 39")</f>
        <v>+221 77 335 83 39</v>
      </c>
      <c r="Z603" s="1" t="str">
        <f ca="1">IFERROR(__xludf.DUMMYFUNCTION("""COMPUTED_VALUE"""),"+221 78 158 59 53")</f>
        <v>+221 78 158 59 53</v>
      </c>
      <c r="AA603" s="1" t="str">
        <f ca="1">IFERROR(__xludf.DUMMYFUNCTION("""COMPUTED_VALUE"""),"+221 77 335 83 39")</f>
        <v>+221 77 335 83 39</v>
      </c>
      <c r="AB603" s="2">
        <f ca="1">IFERROR(__xludf.DUMMYFUNCTION("""COMPUTED_VALUE"""),29234)</f>
        <v>29234</v>
      </c>
      <c r="AC603" s="2">
        <f ca="1">IFERROR(__xludf.DUMMYFUNCTION("""COMPUTED_VALUE"""),27838)</f>
        <v>27838</v>
      </c>
      <c r="AD603" s="1" t="str">
        <f ca="1">IFERROR(__xludf.DUMMYFUNCTION("""COMPUTED_VALUE"""),"MERE")</f>
        <v>MERE</v>
      </c>
      <c r="AE603" s="1" t="str">
        <f ca="1">IFERROR(__xludf.DUMMYFUNCTION("""COMPUTED_VALUE"""),"PERE")</f>
        <v>PERE</v>
      </c>
      <c r="AF603" s="1" t="str">
        <f ca="1">IFERROR(__xludf.DUMMYFUNCTION("""COMPUTED_VALUE"""),"MAROC")</f>
        <v>MAROC</v>
      </c>
      <c r="AG603" s="1" t="str">
        <f ca="1">IFERROR(__xludf.DUMMYFUNCTION("""COMPUTED_VALUE"""),"MAROC")</f>
        <v>MAROC</v>
      </c>
      <c r="AH603" s="1"/>
      <c r="AI603" s="1"/>
      <c r="AJ603" s="1" t="str">
        <f ca="1">IFERROR(__xludf.DUMMYFUNCTION("""COMPUTED_VALUE"""),"F1600")</f>
        <v>F1600</v>
      </c>
      <c r="AK603" s="1" t="str">
        <f ca="1">IFERROR(__xludf.DUMMYFUNCTION("""COMPUTED_VALUE"""),"Marié(e)")</f>
        <v>Marié(e)</v>
      </c>
      <c r="AL603" s="1" t="str">
        <f ca="1">IFERROR(__xludf.DUMMYFUNCTION("""COMPUTED_VALUE"""),"Marié(e)")</f>
        <v>Marié(e)</v>
      </c>
      <c r="AM603" s="1" t="str">
        <f ca="1">IFERROR(__xludf.DUMMYFUNCTION("""COMPUTED_VALUE"""),"F1600")</f>
        <v>F1600</v>
      </c>
    </row>
    <row r="604" spans="1:39" ht="13" x14ac:dyDescent="0.15">
      <c r="A604" s="1" t="str">
        <f ca="1">IFERROR(__xludf.DUMMYFUNCTION("""COMPUTED_VALUE"""),"TOGOLA Cheikh")</f>
        <v>TOGOLA Cheikh</v>
      </c>
      <c r="B604" s="1" t="str">
        <f ca="1">IFERROR(__xludf.DUMMYFUNCTION("""COMPUTED_VALUE"""),"TOGOLA")</f>
        <v>TOGOLA</v>
      </c>
      <c r="C604" s="1" t="str">
        <f ca="1">IFERROR(__xludf.DUMMYFUNCTION("""COMPUTED_VALUE"""),"Cheikh")</f>
        <v>Cheikh</v>
      </c>
      <c r="D604" s="1" t="str">
        <f ca="1">IFERROR(__xludf.DUMMYFUNCTION("""COMPUTED_VALUE"""),"1601E1")</f>
        <v>1601E1</v>
      </c>
      <c r="E604" s="2">
        <f ca="1">IFERROR(__xludf.DUMMYFUNCTION("""COMPUTED_VALUE"""),44461)</f>
        <v>44461</v>
      </c>
      <c r="F604" s="1" t="str">
        <f ca="1">IFERROR(__xludf.DUMMYFUNCTION("""COMPUTED_VALUE"""),"Mat 3")</f>
        <v>Mat 3</v>
      </c>
      <c r="G604" s="1" t="str">
        <f ca="1">IFERROR(__xludf.DUMMYFUNCTION("""COMPUTED_VALUE"""),"MS")</f>
        <v>MS</v>
      </c>
      <c r="H604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604" s="1"/>
      <c r="J604" s="1"/>
      <c r="K604" s="1"/>
      <c r="L604" s="1"/>
      <c r="M604" s="1"/>
      <c r="N604" s="1" t="str">
        <f ca="1">IFERROR(__xludf.DUMMYFUNCTION("""COMPUTED_VALUE"""),"Garçon")</f>
        <v>Garçon</v>
      </c>
      <c r="O604" s="1"/>
      <c r="P604" s="1" t="str">
        <f ca="1">IFERROR(__xludf.DUMMYFUNCTION("""COMPUTED_VALUE"""),"FRANCE")</f>
        <v>FRANCE</v>
      </c>
      <c r="Q604" s="1"/>
      <c r="R604" s="1"/>
      <c r="S604" s="1"/>
      <c r="T604" s="1" t="str">
        <f ca="1">IFERROR(__xludf.DUMMYFUNCTION("""COMPUTED_VALUE"""),"TOGOLA Lamine")</f>
        <v>TOGOLA Lamine</v>
      </c>
      <c r="U604" s="1" t="str">
        <f ca="1">IFERROR(__xludf.DUMMYFUNCTION("""COMPUTED_VALUE"""),"SENE Mariama")</f>
        <v>SENE Mariama</v>
      </c>
      <c r="V604" s="1" t="str">
        <f ca="1">IFERROR(__xludf.DUMMYFUNCTION("""COMPUTED_VALUE"""),"lemedia@orange.fr")</f>
        <v>lemedia@orange.fr</v>
      </c>
      <c r="W604" s="1" t="str">
        <f ca="1">IFERROR(__xludf.DUMMYFUNCTION("""COMPUTED_VALUE"""),"naniyasene@gmail.com")</f>
        <v>naniyasene@gmail.com</v>
      </c>
      <c r="X604" s="1" t="str">
        <f ca="1">IFERROR(__xludf.DUMMYFUNCTION("""COMPUTED_VALUE"""),"+33 7 71 71 04 08")</f>
        <v>+33 7 71 71 04 08</v>
      </c>
      <c r="Y604" s="1" t="str">
        <f ca="1">IFERROR(__xludf.DUMMYFUNCTION("""COMPUTED_VALUE"""),"77 797 79 77")</f>
        <v>77 797 79 77</v>
      </c>
      <c r="Z604" s="1" t="str">
        <f ca="1">IFERROR(__xludf.DUMMYFUNCTION("""COMPUTED_VALUE"""),"+221")</f>
        <v>+221</v>
      </c>
      <c r="AA604" s="1"/>
      <c r="AB604" s="2">
        <f ca="1">IFERROR(__xludf.DUMMYFUNCTION("""COMPUTED_VALUE"""),27610)</f>
        <v>27610</v>
      </c>
      <c r="AC604" s="2">
        <f ca="1">IFERROR(__xludf.DUMMYFUNCTION("""COMPUTED_VALUE"""),34556)</f>
        <v>34556</v>
      </c>
      <c r="AD604" s="1" t="str">
        <f ca="1">IFERROR(__xludf.DUMMYFUNCTION("""COMPUTED_VALUE"""),"PERE")</f>
        <v>PERE</v>
      </c>
      <c r="AE604" s="1" t="str">
        <f ca="1">IFERROR(__xludf.DUMMYFUNCTION("""COMPUTED_VALUE"""),"MERE")</f>
        <v>MERE</v>
      </c>
      <c r="AF604" s="1" t="str">
        <f ca="1">IFERROR(__xludf.DUMMYFUNCTION("""COMPUTED_VALUE"""),"FRANCE")</f>
        <v>FRANCE</v>
      </c>
      <c r="AG604" s="1" t="str">
        <f ca="1">IFERROR(__xludf.DUMMYFUNCTION("""COMPUTED_VALUE"""),"SENEGAL")</f>
        <v>SENEGAL</v>
      </c>
      <c r="AH604" s="1"/>
      <c r="AI604" s="1"/>
      <c r="AJ604" s="1" t="str">
        <f ca="1">IFERROR(__xludf.DUMMYFUNCTION("""COMPUTED_VALUE"""),"F1601")</f>
        <v>F1601</v>
      </c>
      <c r="AK604" s="1" t="str">
        <f ca="1">IFERROR(__xludf.DUMMYFUNCTION("""COMPUTED_VALUE"""),"Marié(e)")</f>
        <v>Marié(e)</v>
      </c>
      <c r="AL604" s="1" t="str">
        <f ca="1">IFERROR(__xludf.DUMMYFUNCTION("""COMPUTED_VALUE"""),"Marié(e)")</f>
        <v>Marié(e)</v>
      </c>
      <c r="AM604" s="1" t="str">
        <f ca="1">IFERROR(__xludf.DUMMYFUNCTION("""COMPUTED_VALUE"""),"F1601")</f>
        <v>F1601</v>
      </c>
    </row>
    <row r="605" spans="1:39" ht="13" x14ac:dyDescent="0.15">
      <c r="A605" s="1" t="str">
        <f ca="1">IFERROR(__xludf.DUMMYFUNCTION("""COMPUTED_VALUE"""),"TOUNKARA Isaac")</f>
        <v>TOUNKARA Isaac</v>
      </c>
      <c r="B605" s="1" t="str">
        <f ca="1">IFERROR(__xludf.DUMMYFUNCTION("""COMPUTED_VALUE"""),"TOUNKARA")</f>
        <v>TOUNKARA</v>
      </c>
      <c r="C605" s="1" t="str">
        <f ca="1">IFERROR(__xludf.DUMMYFUNCTION("""COMPUTED_VALUE"""),"Isaac")</f>
        <v>Isaac</v>
      </c>
      <c r="D605" s="1" t="str">
        <f ca="1">IFERROR(__xludf.DUMMYFUNCTION("""COMPUTED_VALUE"""),"11817S2602")</f>
        <v>11817S2602</v>
      </c>
      <c r="E605" s="2">
        <f ca="1">IFERROR(__xludf.DUMMYFUNCTION("""COMPUTED_VALUE"""),41894)</f>
        <v>41894</v>
      </c>
      <c r="F605" s="1" t="str">
        <f ca="1">IFERROR(__xludf.DUMMYFUNCTION("""COMPUTED_VALUE"""),"6EME2")</f>
        <v>6EME2</v>
      </c>
      <c r="G605" s="1" t="str">
        <f ca="1">IFERROR(__xludf.DUMMYFUNCTION("""COMPUTED_VALUE"""),"6ème")</f>
        <v>6ème</v>
      </c>
      <c r="H605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605" s="1" t="str">
        <f ca="1">IFERROR(__xludf.DUMMYFUNCTION("""COMPUTED_VALUE"""),"LVA Anglais")</f>
        <v>LVA Anglais</v>
      </c>
      <c r="J605" s="1" t="str">
        <f ca="1">IFERROR(__xludf.DUMMYFUNCTION("""COMPUTED_VALUE"""),"LVB Espagnol")</f>
        <v>LVB Espagnol</v>
      </c>
      <c r="K605" s="1"/>
      <c r="L605" s="1"/>
      <c r="M605" s="1"/>
      <c r="N605" s="1" t="str">
        <f ca="1">IFERROR(__xludf.DUMMYFUNCTION("""COMPUTED_VALUE"""),"Garçon")</f>
        <v>Garçon</v>
      </c>
      <c r="O605" s="1"/>
      <c r="P605" s="1" t="str">
        <f ca="1">IFERROR(__xludf.DUMMYFUNCTION("""COMPUTED_VALUE"""),"FRANCE")</f>
        <v>FRANCE</v>
      </c>
      <c r="Q605" s="1"/>
      <c r="R605" s="1" t="str">
        <f ca="1">IFERROR(__xludf.DUMMYFUNCTION("""COMPUTED_VALUE"""),"isaac.tounkara@lfjpsaly.org")</f>
        <v>isaac.tounkara@lfjpsaly.org</v>
      </c>
      <c r="S605" s="1" t="str">
        <f ca="1">IFERROR(__xludf.DUMMYFUNCTION("""COMPUTED_VALUE"""),"+221 77 597 24 96")</f>
        <v>+221 77 597 24 96</v>
      </c>
      <c r="T605" s="1" t="str">
        <f ca="1">IFERROR(__xludf.DUMMYFUNCTION("""COMPUTED_VALUE"""),"TOUNKARA Moussa")</f>
        <v>TOUNKARA Moussa</v>
      </c>
      <c r="U605" s="1" t="str">
        <f ca="1">IFERROR(__xludf.DUMMYFUNCTION("""COMPUTED_VALUE"""),"DABO Aminata")</f>
        <v>DABO Aminata</v>
      </c>
      <c r="V605" s="1" t="str">
        <f ca="1">IFERROR(__xludf.DUMMYFUNCTION("""COMPUTED_VALUE"""),"tounkaram4@gmail.com")</f>
        <v>tounkaram4@gmail.com</v>
      </c>
      <c r="W605" s="1" t="str">
        <f ca="1">IFERROR(__xludf.DUMMYFUNCTION("""COMPUTED_VALUE"""),"amy.dabo@gmail.com")</f>
        <v>amy.dabo@gmail.com</v>
      </c>
      <c r="X605" s="1" t="str">
        <f ca="1">IFERROR(__xludf.DUMMYFUNCTION("""COMPUTED_VALUE"""),"+221 77 361 53 72")</f>
        <v>+221 77 361 53 72</v>
      </c>
      <c r="Y605" s="1" t="str">
        <f ca="1">IFERROR(__xludf.DUMMYFUNCTION("""COMPUTED_VALUE"""),"+221 77 596 24 96")</f>
        <v>+221 77 596 24 96</v>
      </c>
      <c r="Z605" s="1" t="str">
        <f ca="1">IFERROR(__xludf.DUMMYFUNCTION("""COMPUTED_VALUE"""),"+33 6 51 82 88 99")</f>
        <v>+33 6 51 82 88 99</v>
      </c>
      <c r="AA605" s="1" t="str">
        <f ca="1">IFERROR(__xludf.DUMMYFUNCTION("""COMPUTED_VALUE"""),"+33 6 45 08 44 08")</f>
        <v>+33 6 45 08 44 08</v>
      </c>
      <c r="AB605" s="2">
        <f ca="1">IFERROR(__xludf.DUMMYFUNCTION("""COMPUTED_VALUE"""),32245)</f>
        <v>32245</v>
      </c>
      <c r="AC605" s="2">
        <f ca="1">IFERROR(__xludf.DUMMYFUNCTION("""COMPUTED_VALUE"""),33485)</f>
        <v>33485</v>
      </c>
      <c r="AD605" s="1" t="str">
        <f ca="1">IFERROR(__xludf.DUMMYFUNCTION("""COMPUTED_VALUE"""),"PERE")</f>
        <v>PERE</v>
      </c>
      <c r="AE605" s="1" t="str">
        <f ca="1">IFERROR(__xludf.DUMMYFUNCTION("""COMPUTED_VALUE"""),"MERE")</f>
        <v>MERE</v>
      </c>
      <c r="AF605" s="1" t="str">
        <f ca="1">IFERROR(__xludf.DUMMYFUNCTION("""COMPUTED_VALUE"""),"FRANCE")</f>
        <v>FRANCE</v>
      </c>
      <c r="AG605" s="1" t="str">
        <f ca="1">IFERROR(__xludf.DUMMYFUNCTION("""COMPUTED_VALUE"""),"FRANCE")</f>
        <v>FRANCE</v>
      </c>
      <c r="AH605" s="1"/>
      <c r="AI605" s="1"/>
      <c r="AJ605" s="1" t="str">
        <f ca="1">IFERROR(__xludf.DUMMYFUNCTION("""COMPUTED_VALUE"""),"U11817")</f>
        <v>U11817</v>
      </c>
      <c r="AK605" s="1" t="str">
        <f ca="1">IFERROR(__xludf.DUMMYFUNCTION("""COMPUTED_VALUE"""),"CONCUBINAGE")</f>
        <v>CONCUBINAGE</v>
      </c>
      <c r="AL605" s="1" t="str">
        <f ca="1">IFERROR(__xludf.DUMMYFUNCTION("""COMPUTED_VALUE"""),"CONCUBINAGE")</f>
        <v>CONCUBINAGE</v>
      </c>
      <c r="AM605" s="1" t="str">
        <f ca="1">IFERROR(__xludf.DUMMYFUNCTION("""COMPUTED_VALUE"""),"U11817")</f>
        <v>U11817</v>
      </c>
    </row>
    <row r="606" spans="1:39" ht="13" x14ac:dyDescent="0.15">
      <c r="A606" s="1" t="str">
        <f ca="1">IFERROR(__xludf.DUMMYFUNCTION("""COMPUTED_VALUE"""),"TOUPANE Grace Raphaella Nabib")</f>
        <v>TOUPANE Grace Raphaella Nabib</v>
      </c>
      <c r="B606" s="1" t="str">
        <f ca="1">IFERROR(__xludf.DUMMYFUNCTION("""COMPUTED_VALUE"""),"TOUPANE")</f>
        <v>TOUPANE</v>
      </c>
      <c r="C606" s="1" t="str">
        <f ca="1">IFERROR(__xludf.DUMMYFUNCTION("""COMPUTED_VALUE"""),"Grace Raphaella Nabib")</f>
        <v>Grace Raphaella Nabib</v>
      </c>
      <c r="D606" s="1" t="str">
        <f ca="1">IFERROR(__xludf.DUMMYFUNCTION("""COMPUTED_VALUE"""),"1694E1")</f>
        <v>1694E1</v>
      </c>
      <c r="E606" s="2">
        <f ca="1">IFERROR(__xludf.DUMMYFUNCTION("""COMPUTED_VALUE"""),43540)</f>
        <v>43540</v>
      </c>
      <c r="F606" s="1" t="str">
        <f ca="1">IFERROR(__xludf.DUMMYFUNCTION("""COMPUTED_VALUE"""),"CP")</f>
        <v>CP</v>
      </c>
      <c r="G606" s="1" t="str">
        <f ca="1">IFERROR(__xludf.DUMMYFUNCTION("""COMPUTED_VALUE"""),"CP")</f>
        <v>CP</v>
      </c>
      <c r="H606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606" s="1"/>
      <c r="J606" s="1"/>
      <c r="K606" s="1"/>
      <c r="L606" s="1"/>
      <c r="M606" s="1"/>
      <c r="N606" s="1" t="str">
        <f ca="1">IFERROR(__xludf.DUMMYFUNCTION("""COMPUTED_VALUE"""),"Fille")</f>
        <v>Fille</v>
      </c>
      <c r="O606" s="1"/>
      <c r="P606" s="1" t="str">
        <f ca="1">IFERROR(__xludf.DUMMYFUNCTION("""COMPUTED_VALUE"""),"SENEGAL")</f>
        <v>SENEGAL</v>
      </c>
      <c r="Q606" s="1"/>
      <c r="R606" s="1"/>
      <c r="S606" s="1"/>
      <c r="T606" s="1" t="str">
        <f ca="1">IFERROR(__xludf.DUMMYFUNCTION("""COMPUTED_VALUE"""),"TOUPANE Tino Raphael")</f>
        <v>TOUPANE Tino Raphael</v>
      </c>
      <c r="U606" s="1" t="str">
        <f ca="1">IFERROR(__xludf.DUMMYFUNCTION("""COMPUTED_VALUE"""),"KALY Adeline")</f>
        <v>KALY Adeline</v>
      </c>
      <c r="V606" s="1" t="str">
        <f ca="1">IFERROR(__xludf.DUMMYFUNCTION("""COMPUTED_VALUE"""),"tino.toupane@gmail.com")</f>
        <v>tino.toupane@gmail.com</v>
      </c>
      <c r="W606" s="1" t="str">
        <f ca="1">IFERROR(__xludf.DUMMYFUNCTION("""COMPUTED_VALUE"""),"adelinekaly2@gmail.com")</f>
        <v>adelinekaly2@gmail.com</v>
      </c>
      <c r="X606" s="1" t="str">
        <f ca="1">IFERROR(__xludf.DUMMYFUNCTION("""COMPUTED_VALUE"""),"+221 77 275 73 46")</f>
        <v>+221 77 275 73 46</v>
      </c>
      <c r="Y606" s="1" t="str">
        <f ca="1">IFERROR(__xludf.DUMMYFUNCTION("""COMPUTED_VALUE"""),"+221 77 275 73 46")</f>
        <v>+221 77 275 73 46</v>
      </c>
      <c r="Z606" s="1" t="str">
        <f ca="1">IFERROR(__xludf.DUMMYFUNCTION("""COMPUTED_VALUE"""),"+254 759 769889")</f>
        <v>+254 759 769889</v>
      </c>
      <c r="AA606" s="1" t="str">
        <f ca="1">IFERROR(__xludf.DUMMYFUNCTION("""COMPUTED_VALUE"""),"+221 77 395 73 33")</f>
        <v>+221 77 395 73 33</v>
      </c>
      <c r="AB606" s="2">
        <f ca="1">IFERROR(__xludf.DUMMYFUNCTION("""COMPUTED_VALUE"""),28216)</f>
        <v>28216</v>
      </c>
      <c r="AC606" s="2">
        <f ca="1">IFERROR(__xludf.DUMMYFUNCTION("""COMPUTED_VALUE"""),31492)</f>
        <v>31492</v>
      </c>
      <c r="AD606" s="1" t="str">
        <f ca="1">IFERROR(__xludf.DUMMYFUNCTION("""COMPUTED_VALUE"""),"PERE")</f>
        <v>PERE</v>
      </c>
      <c r="AE606" s="1" t="str">
        <f ca="1">IFERROR(__xludf.DUMMYFUNCTION("""COMPUTED_VALUE"""),"MERE")</f>
        <v>MERE</v>
      </c>
      <c r="AF606" s="1" t="str">
        <f ca="1">IFERROR(__xludf.DUMMYFUNCTION("""COMPUTED_VALUE"""),"SENEGAL")</f>
        <v>SENEGAL</v>
      </c>
      <c r="AG606" s="1" t="str">
        <f ca="1">IFERROR(__xludf.DUMMYFUNCTION("""COMPUTED_VALUE"""),"SENEGAL")</f>
        <v>SENEGAL</v>
      </c>
      <c r="AH606" s="1"/>
      <c r="AI606" s="1"/>
      <c r="AJ606" s="1" t="str">
        <f ca="1">IFERROR(__xludf.DUMMYFUNCTION("""COMPUTED_VALUE"""),"F1694")</f>
        <v>F1694</v>
      </c>
      <c r="AK606" s="1" t="str">
        <f ca="1">IFERROR(__xludf.DUMMYFUNCTION("""COMPUTED_VALUE"""),"Marié(e)")</f>
        <v>Marié(e)</v>
      </c>
      <c r="AL606" s="1" t="str">
        <f ca="1">IFERROR(__xludf.DUMMYFUNCTION("""COMPUTED_VALUE"""),"Marié(e)")</f>
        <v>Marié(e)</v>
      </c>
      <c r="AM606" s="1" t="str">
        <f ca="1">IFERROR(__xludf.DUMMYFUNCTION("""COMPUTED_VALUE"""),"F1694")</f>
        <v>F1694</v>
      </c>
    </row>
    <row r="607" spans="1:39" ht="13" x14ac:dyDescent="0.15">
      <c r="A607" s="1" t="str">
        <f ca="1">IFERROR(__xludf.DUMMYFUNCTION("""COMPUTED_VALUE"""),"TOURE Ababacar")</f>
        <v>TOURE Ababacar</v>
      </c>
      <c r="B607" s="1" t="str">
        <f ca="1">IFERROR(__xludf.DUMMYFUNCTION("""COMPUTED_VALUE"""),"TOURE")</f>
        <v>TOURE</v>
      </c>
      <c r="C607" s="1" t="str">
        <f ca="1">IFERROR(__xludf.DUMMYFUNCTION("""COMPUTED_VALUE"""),"Ababacar")</f>
        <v>Ababacar</v>
      </c>
      <c r="D607" s="1" t="str">
        <f ca="1">IFERROR(__xludf.DUMMYFUNCTION("""COMPUTED_VALUE"""),"11705S2605")</f>
        <v>11705S2605</v>
      </c>
      <c r="E607" s="2">
        <f ca="1">IFERROR(__xludf.DUMMYFUNCTION("""COMPUTED_VALUE"""),40392)</f>
        <v>40392</v>
      </c>
      <c r="F607" s="1" t="str">
        <f ca="1">IFERROR(__xludf.DUMMYFUNCTION("""COMPUTED_VALUE"""),"4EME2")</f>
        <v>4EME2</v>
      </c>
      <c r="G607" s="1" t="str">
        <f ca="1">IFERROR(__xludf.DUMMYFUNCTION("""COMPUTED_VALUE"""),"4ème")</f>
        <v>4ème</v>
      </c>
      <c r="H607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607" s="1" t="str">
        <f ca="1">IFERROR(__xludf.DUMMYFUNCTION("""COMPUTED_VALUE"""),"LVA Anglais")</f>
        <v>LVA Anglais</v>
      </c>
      <c r="J607" s="1" t="str">
        <f ca="1">IFERROR(__xludf.DUMMYFUNCTION("""COMPUTED_VALUE"""),"LVB Espagnol")</f>
        <v>LVB Espagnol</v>
      </c>
      <c r="K607" s="1"/>
      <c r="L607" s="1"/>
      <c r="M607" s="1"/>
      <c r="N607" s="1" t="str">
        <f ca="1">IFERROR(__xludf.DUMMYFUNCTION("""COMPUTED_VALUE"""),"Garçon")</f>
        <v>Garçon</v>
      </c>
      <c r="O607" s="1"/>
      <c r="P607" s="1" t="str">
        <f ca="1">IFERROR(__xludf.DUMMYFUNCTION("""COMPUTED_VALUE"""),"SENEGAL")</f>
        <v>SENEGAL</v>
      </c>
      <c r="Q607" s="1" t="str">
        <f ca="1">IFERROR(__xludf.DUMMYFUNCTION("""COMPUTED_VALUE"""),"SENEGAL")</f>
        <v>SENEGAL</v>
      </c>
      <c r="R607" s="1" t="str">
        <f ca="1">IFERROR(__xludf.DUMMYFUNCTION("""COMPUTED_VALUE"""),"ababacar.toure@lfjpsaly.org")</f>
        <v>ababacar.toure@lfjpsaly.org</v>
      </c>
      <c r="S607" s="1" t="str">
        <f ca="1">IFERROR(__xludf.DUMMYFUNCTION("""COMPUTED_VALUE"""),"+221 77 377 45 30")</f>
        <v>+221 77 377 45 30</v>
      </c>
      <c r="T607" s="1" t="str">
        <f ca="1">IFERROR(__xludf.DUMMYFUNCTION("""COMPUTED_VALUE"""),"SOUMAHORO Djenebou")</f>
        <v>SOUMAHORO Djenebou</v>
      </c>
      <c r="U607" s="1" t="str">
        <f ca="1">IFERROR(__xludf.DUMMYFUNCTION("""COMPUTED_VALUE"""),"STRIVE Valérie Raphoz")</f>
        <v>STRIVE Valérie Raphoz</v>
      </c>
      <c r="V607" s="1" t="str">
        <f ca="1">IFERROR(__xludf.DUMMYFUNCTION("""COMPUTED_VALUE"""),"soumahorozeinab2@gmail.com")</f>
        <v>soumahorozeinab2@gmail.com</v>
      </c>
      <c r="W607" s="1" t="str">
        <f ca="1">IFERROR(__xludf.DUMMYFUNCTION("""COMPUTED_VALUE"""),"vraphoz@strivefootballgroup.com")</f>
        <v>vraphoz@strivefootballgroup.com</v>
      </c>
      <c r="X607" s="1" t="str">
        <f ca="1">IFERROR(__xludf.DUMMYFUNCTION("""COMPUTED_VALUE"""),"+221 78 733 82 89")</f>
        <v>+221 78 733 82 89</v>
      </c>
      <c r="Y607" s="1" t="str">
        <f ca="1">IFERROR(__xludf.DUMMYFUNCTION("""COMPUTED_VALUE"""),"+33 6 50 85 20 71")</f>
        <v>+33 6 50 85 20 71</v>
      </c>
      <c r="Z607" s="1" t="str">
        <f ca="1">IFERROR(__xludf.DUMMYFUNCTION("""COMPUTED_VALUE"""),"+221")</f>
        <v>+221</v>
      </c>
      <c r="AA607" s="1" t="str">
        <f ca="1">IFERROR(__xludf.DUMMYFUNCTION("""COMPUTED_VALUE"""),"+221")</f>
        <v>+221</v>
      </c>
      <c r="AB607" s="2">
        <f ca="1">IFERROR(__xludf.DUMMYFUNCTION("""COMPUTED_VALUE"""),35883)</f>
        <v>35883</v>
      </c>
      <c r="AC607" s="2">
        <f ca="1">IFERROR(__xludf.DUMMYFUNCTION("""COMPUTED_VALUE"""),44754)</f>
        <v>44754</v>
      </c>
      <c r="AD607" s="1" t="str">
        <f ca="1">IFERROR(__xludf.DUMMYFUNCTION("""COMPUTED_VALUE"""),"TUTEUR")</f>
        <v>TUTEUR</v>
      </c>
      <c r="AE607" s="1" t="str">
        <f ca="1">IFERROR(__xludf.DUMMYFUNCTION("""COMPUTED_VALUE"""),"TUTEUR")</f>
        <v>TUTEUR</v>
      </c>
      <c r="AF607" s="1" t="str">
        <f ca="1">IFERROR(__xludf.DUMMYFUNCTION("""COMPUTED_VALUE"""),"COTE D'IVOIRE")</f>
        <v>COTE D'IVOIRE</v>
      </c>
      <c r="AG607" s="1" t="str">
        <f ca="1">IFERROR(__xludf.DUMMYFUNCTION("""COMPUTED_VALUE"""),"FRANCE")</f>
        <v>FRANCE</v>
      </c>
      <c r="AH607" s="1"/>
      <c r="AI607" s="1" t="str">
        <f ca="1">IFERROR(__xludf.DUMMYFUNCTION("""COMPUTED_VALUE"""),"FRANCE")</f>
        <v>FRANCE</v>
      </c>
      <c r="AJ607" s="1" t="str">
        <f ca="1">IFERROR(__xludf.DUMMYFUNCTION("""COMPUTED_VALUE"""),"F1575")</f>
        <v>F1575</v>
      </c>
      <c r="AK607" s="1" t="str">
        <f ca="1">IFERROR(__xludf.DUMMYFUNCTION("""COMPUTED_VALUE"""),"Marié(e)")</f>
        <v>Marié(e)</v>
      </c>
      <c r="AL607" s="1" t="str">
        <f ca="1">IFERROR(__xludf.DUMMYFUNCTION("""COMPUTED_VALUE"""),"Marié(e)")</f>
        <v>Marié(e)</v>
      </c>
      <c r="AM607" s="1" t="str">
        <f ca="1">IFERROR(__xludf.DUMMYFUNCTION("""COMPUTED_VALUE"""),"F1575")</f>
        <v>F1575</v>
      </c>
    </row>
    <row r="608" spans="1:39" ht="13" x14ac:dyDescent="0.15">
      <c r="A608" s="1" t="str">
        <f ca="1">IFERROR(__xludf.DUMMYFUNCTION("""COMPUTED_VALUE"""),"TOURÉ Eden")</f>
        <v>TOURÉ Eden</v>
      </c>
      <c r="B608" s="1" t="str">
        <f ca="1">IFERROR(__xludf.DUMMYFUNCTION("""COMPUTED_VALUE"""),"TOURÉ")</f>
        <v>TOURÉ</v>
      </c>
      <c r="C608" s="1" t="str">
        <f ca="1">IFERROR(__xludf.DUMMYFUNCTION("""COMPUTED_VALUE"""),"Eden")</f>
        <v>Eden</v>
      </c>
      <c r="D608" s="1" t="str">
        <f ca="1">IFERROR(__xludf.DUMMYFUNCTION("""COMPUTED_VALUE"""),"1604E1")</f>
        <v>1604E1</v>
      </c>
      <c r="E608" s="2">
        <f ca="1">IFERROR(__xludf.DUMMYFUNCTION("""COMPUTED_VALUE"""),42159)</f>
        <v>42159</v>
      </c>
      <c r="F608" s="1" t="str">
        <f ca="1">IFERROR(__xludf.DUMMYFUNCTION("""COMPUTED_VALUE"""),"CM2B")</f>
        <v>CM2B</v>
      </c>
      <c r="G608" s="1" t="str">
        <f ca="1">IFERROR(__xludf.DUMMYFUNCTION("""COMPUTED_VALUE"""),"CM2")</f>
        <v>CM2</v>
      </c>
      <c r="H608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608" s="1"/>
      <c r="J608" s="1"/>
      <c r="K608" s="1"/>
      <c r="L608" s="1"/>
      <c r="M608" s="1"/>
      <c r="N608" s="1" t="str">
        <f ca="1">IFERROR(__xludf.DUMMYFUNCTION("""COMPUTED_VALUE"""),"Garçon")</f>
        <v>Garçon</v>
      </c>
      <c r="O608" s="1"/>
      <c r="P608" s="1" t="str">
        <f ca="1">IFERROR(__xludf.DUMMYFUNCTION("""COMPUTED_VALUE"""),"FRANCE")</f>
        <v>FRANCE</v>
      </c>
      <c r="Q608" s="1"/>
      <c r="R608" s="1"/>
      <c r="S608" s="1"/>
      <c r="T608" s="1" t="str">
        <f ca="1">IFERROR(__xludf.DUMMYFUNCTION("""COMPUTED_VALUE"""),"SIMERY Pauline")</f>
        <v>SIMERY Pauline</v>
      </c>
      <c r="U608" s="1" t="str">
        <f ca="1">IFERROR(__xludf.DUMMYFUNCTION("""COMPUTED_VALUE"""),"TOURE Moussa")</f>
        <v>TOURE Moussa</v>
      </c>
      <c r="V608" s="1" t="str">
        <f ca="1">IFERROR(__xludf.DUMMYFUNCTION("""COMPUTED_VALUE"""),"pauline.simery@me.com")</f>
        <v>pauline.simery@me.com</v>
      </c>
      <c r="W608" s="1" t="str">
        <f ca="1">IFERROR(__xludf.DUMMYFUNCTION("""COMPUTED_VALUE"""),"sofiane.toure@gmail.com")</f>
        <v>sofiane.toure@gmail.com</v>
      </c>
      <c r="X608" s="1" t="str">
        <f ca="1">IFERROR(__xludf.DUMMYFUNCTION("""COMPUTED_VALUE"""),"+221 78 255 41 46")</f>
        <v>+221 78 255 41 46</v>
      </c>
      <c r="Y608" s="1" t="str">
        <f ca="1">IFERROR(__xludf.DUMMYFUNCTION("""COMPUTED_VALUE"""),"+221 77 485 84 60")</f>
        <v>+221 77 485 84 60</v>
      </c>
      <c r="Z608" s="1" t="str">
        <f ca="1">IFERROR(__xludf.DUMMYFUNCTION("""COMPUTED_VALUE"""),"+33 7 70 13 17 96")</f>
        <v>+33 7 70 13 17 96</v>
      </c>
      <c r="AA608" s="1" t="str">
        <f ca="1">IFERROR(__xludf.DUMMYFUNCTION("""COMPUTED_VALUE"""),"+33 7 70 13 17 96")</f>
        <v>+33 7 70 13 17 96</v>
      </c>
      <c r="AB608" s="2">
        <f ca="1">IFERROR(__xludf.DUMMYFUNCTION("""COMPUTED_VALUE"""),31904)</f>
        <v>31904</v>
      </c>
      <c r="AC608" s="2">
        <f ca="1">IFERROR(__xludf.DUMMYFUNCTION("""COMPUTED_VALUE"""),31142)</f>
        <v>31142</v>
      </c>
      <c r="AD608" s="1" t="str">
        <f ca="1">IFERROR(__xludf.DUMMYFUNCTION("""COMPUTED_VALUE"""),"MERE")</f>
        <v>MERE</v>
      </c>
      <c r="AE608" s="1" t="str">
        <f ca="1">IFERROR(__xludf.DUMMYFUNCTION("""COMPUTED_VALUE"""),"PERE")</f>
        <v>PERE</v>
      </c>
      <c r="AF608" s="1" t="str">
        <f ca="1">IFERROR(__xludf.DUMMYFUNCTION("""COMPUTED_VALUE"""),"FRANCE")</f>
        <v>FRANCE</v>
      </c>
      <c r="AG608" s="1" t="str">
        <f ca="1">IFERROR(__xludf.DUMMYFUNCTION("""COMPUTED_VALUE"""),"FRANCE")</f>
        <v>FRANCE</v>
      </c>
      <c r="AH608" s="1"/>
      <c r="AI608" s="1" t="str">
        <f ca="1">IFERROR(__xludf.DUMMYFUNCTION("""COMPUTED_VALUE"""),"SENEGAL")</f>
        <v>SENEGAL</v>
      </c>
      <c r="AJ608" s="1" t="str">
        <f ca="1">IFERROR(__xludf.DUMMYFUNCTION("""COMPUTED_VALUE"""),"F1604")</f>
        <v>F1604</v>
      </c>
      <c r="AK608" s="1" t="str">
        <f ca="1">IFERROR(__xludf.DUMMYFUNCTION("""COMPUTED_VALUE"""),"Pacsé(e)")</f>
        <v>Pacsé(e)</v>
      </c>
      <c r="AL608" s="1" t="str">
        <f ca="1">IFERROR(__xludf.DUMMYFUNCTION("""COMPUTED_VALUE"""),"Pacsé(e)")</f>
        <v>Pacsé(e)</v>
      </c>
      <c r="AM608" s="1" t="str">
        <f ca="1">IFERROR(__xludf.DUMMYFUNCTION("""COMPUTED_VALUE"""),"F1604")</f>
        <v>F1604</v>
      </c>
    </row>
    <row r="609" spans="1:39" ht="13" x14ac:dyDescent="0.15">
      <c r="A609" s="1" t="str">
        <f ca="1">IFERROR(__xludf.DUMMYFUNCTION("""COMPUTED_VALUE"""),"TOURE Kimie")</f>
        <v>TOURE Kimie</v>
      </c>
      <c r="B609" s="1" t="str">
        <f ca="1">IFERROR(__xludf.DUMMYFUNCTION("""COMPUTED_VALUE"""),"TOURE")</f>
        <v>TOURE</v>
      </c>
      <c r="C609" s="1" t="str">
        <f ca="1">IFERROR(__xludf.DUMMYFUNCTION("""COMPUTED_VALUE"""),"Kimie")</f>
        <v>Kimie</v>
      </c>
      <c r="D609" s="1" t="str">
        <f ca="1">IFERROR(__xludf.DUMMYFUNCTION("""COMPUTED_VALUE"""),"11404S2673")</f>
        <v>11404S2673</v>
      </c>
      <c r="E609" s="2">
        <f ca="1">IFERROR(__xludf.DUMMYFUNCTION("""COMPUTED_VALUE"""),44411)</f>
        <v>44411</v>
      </c>
      <c r="F609" s="1" t="str">
        <f ca="1">IFERROR(__xludf.DUMMYFUNCTION("""COMPUTED_VALUE"""),"Mat 3")</f>
        <v>Mat 3</v>
      </c>
      <c r="G609" s="1" t="str">
        <f ca="1">IFERROR(__xludf.DUMMYFUNCTION("""COMPUTED_VALUE"""),"MS")</f>
        <v>MS</v>
      </c>
      <c r="H609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609" s="1"/>
      <c r="J609" s="1"/>
      <c r="K609" s="1"/>
      <c r="L609" s="1"/>
      <c r="M609" s="1"/>
      <c r="N609" s="1" t="str">
        <f ca="1">IFERROR(__xludf.DUMMYFUNCTION("""COMPUTED_VALUE"""),"Fille")</f>
        <v>Fille</v>
      </c>
      <c r="O609" s="1"/>
      <c r="P609" s="1" t="str">
        <f ca="1">IFERROR(__xludf.DUMMYFUNCTION("""COMPUTED_VALUE"""),"FRANCE")</f>
        <v>FRANCE</v>
      </c>
      <c r="Q609" s="1"/>
      <c r="R609" s="1"/>
      <c r="S609" s="1" t="str">
        <f ca="1">IFERROR(__xludf.DUMMYFUNCTION("""COMPUTED_VALUE"""),"+221")</f>
        <v>+221</v>
      </c>
      <c r="T609" s="1" t="str">
        <f ca="1">IFERROR(__xludf.DUMMYFUNCTION("""COMPUTED_VALUE"""),"SIMERY Pauline")</f>
        <v>SIMERY Pauline</v>
      </c>
      <c r="U609" s="1" t="str">
        <f ca="1">IFERROR(__xludf.DUMMYFUNCTION("""COMPUTED_VALUE"""),"TOURE Moussa")</f>
        <v>TOURE Moussa</v>
      </c>
      <c r="V609" s="1" t="str">
        <f ca="1">IFERROR(__xludf.DUMMYFUNCTION("""COMPUTED_VALUE"""),"pauline.simery@me.com")</f>
        <v>pauline.simery@me.com</v>
      </c>
      <c r="W609" s="1" t="str">
        <f ca="1">IFERROR(__xludf.DUMMYFUNCTION("""COMPUTED_VALUE"""),"sofiane.toure@gmail.com")</f>
        <v>sofiane.toure@gmail.com</v>
      </c>
      <c r="X609" s="1" t="str">
        <f ca="1">IFERROR(__xludf.DUMMYFUNCTION("""COMPUTED_VALUE"""),"+221 78 255 41 46")</f>
        <v>+221 78 255 41 46</v>
      </c>
      <c r="Y609" s="1" t="str">
        <f ca="1">IFERROR(__xludf.DUMMYFUNCTION("""COMPUTED_VALUE"""),"+221 77 485 84 60")</f>
        <v>+221 77 485 84 60</v>
      </c>
      <c r="Z609" s="1" t="str">
        <f ca="1">IFERROR(__xludf.DUMMYFUNCTION("""COMPUTED_VALUE"""),"+33 7 70 13 17 96")</f>
        <v>+33 7 70 13 17 96</v>
      </c>
      <c r="AA609" s="1" t="str">
        <f ca="1">IFERROR(__xludf.DUMMYFUNCTION("""COMPUTED_VALUE"""),"+33 7 70 13 17 96")</f>
        <v>+33 7 70 13 17 96</v>
      </c>
      <c r="AB609" s="2">
        <f ca="1">IFERROR(__xludf.DUMMYFUNCTION("""COMPUTED_VALUE"""),31904)</f>
        <v>31904</v>
      </c>
      <c r="AC609" s="2">
        <f ca="1">IFERROR(__xludf.DUMMYFUNCTION("""COMPUTED_VALUE"""),31142)</f>
        <v>31142</v>
      </c>
      <c r="AD609" s="1" t="str">
        <f ca="1">IFERROR(__xludf.DUMMYFUNCTION("""COMPUTED_VALUE"""),"MERE")</f>
        <v>MERE</v>
      </c>
      <c r="AE609" s="1" t="str">
        <f ca="1">IFERROR(__xludf.DUMMYFUNCTION("""COMPUTED_VALUE"""),"PERE")</f>
        <v>PERE</v>
      </c>
      <c r="AF609" s="1" t="str">
        <f ca="1">IFERROR(__xludf.DUMMYFUNCTION("""COMPUTED_VALUE"""),"FRANCE")</f>
        <v>FRANCE</v>
      </c>
      <c r="AG609" s="1" t="str">
        <f ca="1">IFERROR(__xludf.DUMMYFUNCTION("""COMPUTED_VALUE"""),"FRANCE")</f>
        <v>FRANCE</v>
      </c>
      <c r="AH609" s="1"/>
      <c r="AI609" s="1" t="str">
        <f ca="1">IFERROR(__xludf.DUMMYFUNCTION("""COMPUTED_VALUE"""),"SENEGAL")</f>
        <v>SENEGAL</v>
      </c>
      <c r="AJ609" s="1" t="str">
        <f ca="1">IFERROR(__xludf.DUMMYFUNCTION("""COMPUTED_VALUE"""),"F1604")</f>
        <v>F1604</v>
      </c>
      <c r="AK609" s="1" t="str">
        <f ca="1">IFERROR(__xludf.DUMMYFUNCTION("""COMPUTED_VALUE"""),"Pacsé(e)")</f>
        <v>Pacsé(e)</v>
      </c>
      <c r="AL609" s="1" t="str">
        <f ca="1">IFERROR(__xludf.DUMMYFUNCTION("""COMPUTED_VALUE"""),"Pacsé(e)")</f>
        <v>Pacsé(e)</v>
      </c>
      <c r="AM609" s="1" t="str">
        <f ca="1">IFERROR(__xludf.DUMMYFUNCTION("""COMPUTED_VALUE"""),"F1604")</f>
        <v>F1604</v>
      </c>
    </row>
    <row r="610" spans="1:39" ht="13" x14ac:dyDescent="0.15">
      <c r="A610" s="1" t="str">
        <f ca="1">IFERROR(__xludf.DUMMYFUNCTION("""COMPUTED_VALUE"""),"TOURON Sarah")</f>
        <v>TOURON Sarah</v>
      </c>
      <c r="B610" s="1" t="str">
        <f ca="1">IFERROR(__xludf.DUMMYFUNCTION("""COMPUTED_VALUE"""),"TOURON")</f>
        <v>TOURON</v>
      </c>
      <c r="C610" s="1" t="str">
        <f ca="1">IFERROR(__xludf.DUMMYFUNCTION("""COMPUTED_VALUE"""),"Sarah")</f>
        <v>Sarah</v>
      </c>
      <c r="D610" s="1" t="str">
        <f ca="1">IFERROR(__xludf.DUMMYFUNCTION("""COMPUTED_VALUE"""),"1605E1")</f>
        <v>1605E1</v>
      </c>
      <c r="E610" s="2">
        <f ca="1">IFERROR(__xludf.DUMMYFUNCTION("""COMPUTED_VALUE"""),43176)</f>
        <v>43176</v>
      </c>
      <c r="F610" s="1" t="str">
        <f ca="1">IFERROR(__xludf.DUMMYFUNCTION("""COMPUTED_VALUE"""),"CE2")</f>
        <v>CE2</v>
      </c>
      <c r="G610" s="1" t="str">
        <f ca="1">IFERROR(__xludf.DUMMYFUNCTION("""COMPUTED_VALUE"""),"CE2")</f>
        <v>CE2</v>
      </c>
      <c r="H610" s="1" t="str">
        <f ca="1">IFERROR(__xludf.DUMMYFUNCTION("""COMPUTED_VALUE"""),"Lycée Français Jacques Prévert de Saly » Elémentaire » CE2 » Générale")</f>
        <v>Lycée Français Jacques Prévert de Saly » Elémentaire » CE2 » Générale</v>
      </c>
      <c r="I610" s="1"/>
      <c r="J610" s="1"/>
      <c r="K610" s="1"/>
      <c r="L610" s="1"/>
      <c r="M610" s="1"/>
      <c r="N610" s="1" t="str">
        <f ca="1">IFERROR(__xludf.DUMMYFUNCTION("""COMPUTED_VALUE"""),"Fille")</f>
        <v>Fille</v>
      </c>
      <c r="O610" s="1"/>
      <c r="P610" s="1" t="str">
        <f ca="1">IFERROR(__xludf.DUMMYFUNCTION("""COMPUTED_VALUE"""),"FRANCE")</f>
        <v>FRANCE</v>
      </c>
      <c r="Q610" s="1" t="str">
        <f ca="1">IFERROR(__xludf.DUMMYFUNCTION("""COMPUTED_VALUE"""),"SENEGAL")</f>
        <v>SENEGAL</v>
      </c>
      <c r="R610" s="1"/>
      <c r="S610" s="1"/>
      <c r="T610" s="1" t="str">
        <f ca="1">IFERROR(__xludf.DUMMYFUNCTION("""COMPUTED_VALUE"""),"TOURON Didier Marcel")</f>
        <v>TOURON Didier Marcel</v>
      </c>
      <c r="U610" s="1" t="str">
        <f ca="1">IFERROR(__xludf.DUMMYFUNCTION("""COMPUTED_VALUE"""),"THIOUNE Aissatou")</f>
        <v>THIOUNE Aissatou</v>
      </c>
      <c r="V610" s="1" t="str">
        <f ca="1">IFERROR(__xludf.DUMMYFUNCTION("""COMPUTED_VALUE"""),"touron.didier59@gmail.com")</f>
        <v>touron.didier59@gmail.com</v>
      </c>
      <c r="W610" s="1" t="str">
        <f ca="1">IFERROR(__xludf.DUMMYFUNCTION("""COMPUTED_VALUE"""),"babysenegal@hotmail.com")</f>
        <v>babysenegal@hotmail.com</v>
      </c>
      <c r="X610" s="1" t="str">
        <f ca="1">IFERROR(__xludf.DUMMYFUNCTION("""COMPUTED_VALUE"""),"775583347")</f>
        <v>775583347</v>
      </c>
      <c r="Y610" s="1" t="str">
        <f ca="1">IFERROR(__xludf.DUMMYFUNCTION("""COMPUTED_VALUE"""),"775439612")</f>
        <v>775439612</v>
      </c>
      <c r="Z610" s="1"/>
      <c r="AA610" s="1"/>
      <c r="AB610" s="2">
        <f ca="1">IFERROR(__xludf.DUMMYFUNCTION("""COMPUTED_VALUE"""),21847)</f>
        <v>21847</v>
      </c>
      <c r="AC610" s="2">
        <f ca="1">IFERROR(__xludf.DUMMYFUNCTION("""COMPUTED_VALUE"""),29662)</f>
        <v>29662</v>
      </c>
      <c r="AD610" s="1" t="str">
        <f ca="1">IFERROR(__xludf.DUMMYFUNCTION("""COMPUTED_VALUE"""),"PERE")</f>
        <v>PERE</v>
      </c>
      <c r="AE610" s="1" t="str">
        <f ca="1">IFERROR(__xludf.DUMMYFUNCTION("""COMPUTED_VALUE"""),"MERE")</f>
        <v>MERE</v>
      </c>
      <c r="AF610" s="1" t="str">
        <f ca="1">IFERROR(__xludf.DUMMYFUNCTION("""COMPUTED_VALUE"""),"FRANCE")</f>
        <v>FRANCE</v>
      </c>
      <c r="AG610" s="1" t="str">
        <f ca="1">IFERROR(__xludf.DUMMYFUNCTION("""COMPUTED_VALUE"""),"SENEGAL")</f>
        <v>SENEGAL</v>
      </c>
      <c r="AH610" s="1"/>
      <c r="AI610" s="1" t="str">
        <f ca="1">IFERROR(__xludf.DUMMYFUNCTION("""COMPUTED_VALUE"""),"FRANCE")</f>
        <v>FRANCE</v>
      </c>
      <c r="AJ610" s="1" t="str">
        <f ca="1">IFERROR(__xludf.DUMMYFUNCTION("""COMPUTED_VALUE"""),"F1605")</f>
        <v>F1605</v>
      </c>
      <c r="AK610" s="1" t="str">
        <f ca="1">IFERROR(__xludf.DUMMYFUNCTION("""COMPUTED_VALUE"""),"Marié(e)")</f>
        <v>Marié(e)</v>
      </c>
      <c r="AL610" s="1" t="str">
        <f ca="1">IFERROR(__xludf.DUMMYFUNCTION("""COMPUTED_VALUE"""),"Marié(e)")</f>
        <v>Marié(e)</v>
      </c>
      <c r="AM610" s="1" t="str">
        <f ca="1">IFERROR(__xludf.DUMMYFUNCTION("""COMPUTED_VALUE"""),"F1605")</f>
        <v>F1605</v>
      </c>
    </row>
    <row r="611" spans="1:39" ht="13" x14ac:dyDescent="0.15">
      <c r="A611" s="1" t="str">
        <f ca="1">IFERROR(__xludf.DUMMYFUNCTION("""COMPUTED_VALUE"""),"TRAORE Aly")</f>
        <v>TRAORE Aly</v>
      </c>
      <c r="B611" s="1" t="str">
        <f ca="1">IFERROR(__xludf.DUMMYFUNCTION("""COMPUTED_VALUE"""),"TRAORE")</f>
        <v>TRAORE</v>
      </c>
      <c r="C611" s="1" t="str">
        <f ca="1">IFERROR(__xludf.DUMMYFUNCTION("""COMPUTED_VALUE"""),"Aly")</f>
        <v>Aly</v>
      </c>
      <c r="D611" s="1" t="str">
        <f ca="1">IFERROR(__xludf.DUMMYFUNCTION("""COMPUTED_VALUE"""),"11460S2708")</f>
        <v>11460S2708</v>
      </c>
      <c r="E611" s="2">
        <f ca="1">IFERROR(__xludf.DUMMYFUNCTION("""COMPUTED_VALUE"""),44912)</f>
        <v>44912</v>
      </c>
      <c r="F611" s="1" t="str">
        <f ca="1">IFERROR(__xludf.DUMMYFUNCTION("""COMPUTED_VALUE"""),"Mat 1")</f>
        <v>Mat 1</v>
      </c>
      <c r="G611" s="1" t="str">
        <f ca="1">IFERROR(__xludf.DUMMYFUNCTION("""COMPUTED_VALUE"""),"PS")</f>
        <v>PS</v>
      </c>
      <c r="H611" s="1" t="str">
        <f ca="1">IFERROR(__xludf.DUMMYFUNCTION("""COMPUTED_VALUE"""),"Lycée Français Jacques Prévert de Saly » Maternelle » PS » Générale")</f>
        <v>Lycée Français Jacques Prévert de Saly » Maternelle » PS » Générale</v>
      </c>
      <c r="I611" s="1"/>
      <c r="J611" s="1"/>
      <c r="K611" s="1"/>
      <c r="L611" s="1"/>
      <c r="M611" s="1"/>
      <c r="N611" s="1" t="str">
        <f ca="1">IFERROR(__xludf.DUMMYFUNCTION("""COMPUTED_VALUE"""),"Garçon")</f>
        <v>Garçon</v>
      </c>
      <c r="O611" s="1"/>
      <c r="P611" s="1" t="str">
        <f ca="1">IFERROR(__xludf.DUMMYFUNCTION("""COMPUTED_VALUE"""),"FRANCE")</f>
        <v>FRANCE</v>
      </c>
      <c r="Q611" s="1" t="str">
        <f ca="1">IFERROR(__xludf.DUMMYFUNCTION("""COMPUTED_VALUE"""),"SENEGAL")</f>
        <v>SENEGAL</v>
      </c>
      <c r="R611" s="1"/>
      <c r="S611" s="1" t="str">
        <f ca="1">IFERROR(__xludf.DUMMYFUNCTION("""COMPUTED_VALUE"""),"+221")</f>
        <v>+221</v>
      </c>
      <c r="T611" s="1" t="str">
        <f ca="1">IFERROR(__xludf.DUMMYFUNCTION("""COMPUTED_VALUE"""),"TRAORE Abdramane")</f>
        <v>TRAORE Abdramane</v>
      </c>
      <c r="U611" s="1" t="str">
        <f ca="1">IFERROR(__xludf.DUMMYFUNCTION("""COMPUTED_VALUE"""),"CAMARA Aissetou")</f>
        <v>CAMARA Aissetou</v>
      </c>
      <c r="V611" s="1" t="str">
        <f ca="1">IFERROR(__xludf.DUMMYFUNCTION("""COMPUTED_VALUE"""),"traoreabde@hotmail.fr")</f>
        <v>traoreabde@hotmail.fr</v>
      </c>
      <c r="W611" s="1" t="str">
        <f ca="1">IFERROR(__xludf.DUMMYFUNCTION("""COMPUTED_VALUE"""),"camaissetou@gmail.com")</f>
        <v>camaissetou@gmail.com</v>
      </c>
      <c r="X611" s="1" t="str">
        <f ca="1">IFERROR(__xludf.DUMMYFUNCTION("""COMPUTED_VALUE"""),"+33 6 11 63 39 22")</f>
        <v>+33 6 11 63 39 22</v>
      </c>
      <c r="Y611" s="1" t="str">
        <f ca="1">IFERROR(__xludf.DUMMYFUNCTION("""COMPUTED_VALUE"""),"+221 71 038 31 85")</f>
        <v>+221 71 038 31 85</v>
      </c>
      <c r="Z611" s="1" t="str">
        <f ca="1">IFERROR(__xludf.DUMMYFUNCTION("""COMPUTED_VALUE"""),"+221 71 058 64 76")</f>
        <v>+221 71 058 64 76</v>
      </c>
      <c r="AA611" s="1" t="str">
        <f ca="1">IFERROR(__xludf.DUMMYFUNCTION("""COMPUTED_VALUE"""),"+33 6 61 22 44 99")</f>
        <v>+33 6 61 22 44 99</v>
      </c>
      <c r="AB611" s="2">
        <f ca="1">IFERROR(__xludf.DUMMYFUNCTION("""COMPUTED_VALUE"""),29891)</f>
        <v>29891</v>
      </c>
      <c r="AC611" s="2">
        <f ca="1">IFERROR(__xludf.DUMMYFUNCTION("""COMPUTED_VALUE"""),30500)</f>
        <v>30500</v>
      </c>
      <c r="AD611" s="1" t="str">
        <f ca="1">IFERROR(__xludf.DUMMYFUNCTION("""COMPUTED_VALUE"""),"PERE")</f>
        <v>PERE</v>
      </c>
      <c r="AE611" s="1" t="str">
        <f ca="1">IFERROR(__xludf.DUMMYFUNCTION("""COMPUTED_VALUE"""),"MERE")</f>
        <v>MERE</v>
      </c>
      <c r="AF611" s="1" t="str">
        <f ca="1">IFERROR(__xludf.DUMMYFUNCTION("""COMPUTED_VALUE"""),"FRANCE")</f>
        <v>FRANCE</v>
      </c>
      <c r="AG611" s="1" t="str">
        <f ca="1">IFERROR(__xludf.DUMMYFUNCTION("""COMPUTED_VALUE"""),"FRANCE")</f>
        <v>FRANCE</v>
      </c>
      <c r="AH611" s="1" t="str">
        <f ca="1">IFERROR(__xludf.DUMMYFUNCTION("""COMPUTED_VALUE"""),"FRANCE")</f>
        <v>FRANCE</v>
      </c>
      <c r="AI611" s="1" t="str">
        <f ca="1">IFERROR(__xludf.DUMMYFUNCTION("""COMPUTED_VALUE"""),"GUINEE")</f>
        <v>GUINEE</v>
      </c>
      <c r="AJ611" s="1" t="str">
        <f ca="1">IFERROR(__xludf.DUMMYFUNCTION("""COMPUTED_VALUE"""),"F1606")</f>
        <v>F1606</v>
      </c>
      <c r="AK611" s="1" t="str">
        <f ca="1">IFERROR(__xludf.DUMMYFUNCTION("""COMPUTED_VALUE"""),"Marié(e)")</f>
        <v>Marié(e)</v>
      </c>
      <c r="AL611" s="1" t="str">
        <f ca="1">IFERROR(__xludf.DUMMYFUNCTION("""COMPUTED_VALUE"""),"Marié(e)")</f>
        <v>Marié(e)</v>
      </c>
      <c r="AM611" s="1" t="str">
        <f ca="1">IFERROR(__xludf.DUMMYFUNCTION("""COMPUTED_VALUE"""),"F1606")</f>
        <v>F1606</v>
      </c>
    </row>
    <row r="612" spans="1:39" ht="13" x14ac:dyDescent="0.15">
      <c r="A612" s="1" t="str">
        <f ca="1">IFERROR(__xludf.DUMMYFUNCTION("""COMPUTED_VALUE"""),"TRAORE Haby")</f>
        <v>TRAORE Haby</v>
      </c>
      <c r="B612" s="1" t="str">
        <f ca="1">IFERROR(__xludf.DUMMYFUNCTION("""COMPUTED_VALUE"""),"TRAORE")</f>
        <v>TRAORE</v>
      </c>
      <c r="C612" s="1" t="str">
        <f ca="1">IFERROR(__xludf.DUMMYFUNCTION("""COMPUTED_VALUE"""),"Haby")</f>
        <v>Haby</v>
      </c>
      <c r="D612" s="1" t="str">
        <f ca="1">IFERROR(__xludf.DUMMYFUNCTION("""COMPUTED_VALUE"""),"1606E1")</f>
        <v>1606E1</v>
      </c>
      <c r="E612" s="2">
        <f ca="1">IFERROR(__xludf.DUMMYFUNCTION("""COMPUTED_VALUE"""),41821)</f>
        <v>41821</v>
      </c>
      <c r="F612" s="1" t="str">
        <f ca="1">IFERROR(__xludf.DUMMYFUNCTION("""COMPUTED_VALUE"""),"6EME1")</f>
        <v>6EME1</v>
      </c>
      <c r="G612" s="1" t="str">
        <f ca="1">IFERROR(__xludf.DUMMYFUNCTION("""COMPUTED_VALUE"""),"6ème")</f>
        <v>6ème</v>
      </c>
      <c r="H612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612" s="1" t="str">
        <f ca="1">IFERROR(__xludf.DUMMYFUNCTION("""COMPUTED_VALUE"""),"LVA Anglais")</f>
        <v>LVA Anglais</v>
      </c>
      <c r="J612" s="1" t="str">
        <f ca="1">IFERROR(__xludf.DUMMYFUNCTION("""COMPUTED_VALUE"""),"LVB Espagnol")</f>
        <v>LVB Espagnol</v>
      </c>
      <c r="K612" s="1"/>
      <c r="L612" s="1"/>
      <c r="M612" s="1"/>
      <c r="N612" s="1" t="str">
        <f ca="1">IFERROR(__xludf.DUMMYFUNCTION("""COMPUTED_VALUE"""),"Fille")</f>
        <v>Fille</v>
      </c>
      <c r="O612" s="1"/>
      <c r="P612" s="1" t="str">
        <f ca="1">IFERROR(__xludf.DUMMYFUNCTION("""COMPUTED_VALUE"""),"FRANCE")</f>
        <v>FRANCE</v>
      </c>
      <c r="Q612" s="1"/>
      <c r="R612" s="1" t="str">
        <f ca="1">IFERROR(__xludf.DUMMYFUNCTION("""COMPUTED_VALUE"""),"haby.traore@lfjpsaly.org")</f>
        <v>haby.traore@lfjpsaly.org</v>
      </c>
      <c r="S612" s="1" t="str">
        <f ca="1">IFERROR(__xludf.DUMMYFUNCTION("""COMPUTED_VALUE"""),"+221 71 038 31 85")</f>
        <v>+221 71 038 31 85</v>
      </c>
      <c r="T612" s="1" t="str">
        <f ca="1">IFERROR(__xludf.DUMMYFUNCTION("""COMPUTED_VALUE"""),"CAMARA Aissetou")</f>
        <v>CAMARA Aissetou</v>
      </c>
      <c r="U612" s="1" t="str">
        <f ca="1">IFERROR(__xludf.DUMMYFUNCTION("""COMPUTED_VALUE"""),"TRAORE Abdramane")</f>
        <v>TRAORE Abdramane</v>
      </c>
      <c r="V612" s="1" t="str">
        <f ca="1">IFERROR(__xludf.DUMMYFUNCTION("""COMPUTED_VALUE"""),"camaissetou@gmail.com")</f>
        <v>camaissetou@gmail.com</v>
      </c>
      <c r="W612" s="1" t="str">
        <f ca="1">IFERROR(__xludf.DUMMYFUNCTION("""COMPUTED_VALUE"""),"traoreabde@hotmail.fr")</f>
        <v>traoreabde@hotmail.fr</v>
      </c>
      <c r="X612" s="1" t="str">
        <f ca="1">IFERROR(__xludf.DUMMYFUNCTION("""COMPUTED_VALUE"""),"+221 71 038 31 85")</f>
        <v>+221 71 038 31 85</v>
      </c>
      <c r="Y612" s="1" t="str">
        <f ca="1">IFERROR(__xludf.DUMMYFUNCTION("""COMPUTED_VALUE"""),"+33 6 11 63 39 22")</f>
        <v>+33 6 11 63 39 22</v>
      </c>
      <c r="Z612" s="1" t="str">
        <f ca="1">IFERROR(__xludf.DUMMYFUNCTION("""COMPUTED_VALUE"""),"+33 6 61 22 44 99")</f>
        <v>+33 6 61 22 44 99</v>
      </c>
      <c r="AA612" s="1" t="str">
        <f ca="1">IFERROR(__xludf.DUMMYFUNCTION("""COMPUTED_VALUE"""),"+221 71 058 64 76")</f>
        <v>+221 71 058 64 76</v>
      </c>
      <c r="AB612" s="2">
        <f ca="1">IFERROR(__xludf.DUMMYFUNCTION("""COMPUTED_VALUE"""),30500)</f>
        <v>30500</v>
      </c>
      <c r="AC612" s="2">
        <f ca="1">IFERROR(__xludf.DUMMYFUNCTION("""COMPUTED_VALUE"""),29891)</f>
        <v>29891</v>
      </c>
      <c r="AD612" s="1" t="str">
        <f ca="1">IFERROR(__xludf.DUMMYFUNCTION("""COMPUTED_VALUE"""),"MERE")</f>
        <v>MERE</v>
      </c>
      <c r="AE612" s="1" t="str">
        <f ca="1">IFERROR(__xludf.DUMMYFUNCTION("""COMPUTED_VALUE"""),"PERE")</f>
        <v>PERE</v>
      </c>
      <c r="AF612" s="1" t="str">
        <f ca="1">IFERROR(__xludf.DUMMYFUNCTION("""COMPUTED_VALUE"""),"FRANCE")</f>
        <v>FRANCE</v>
      </c>
      <c r="AG612" s="1" t="str">
        <f ca="1">IFERROR(__xludf.DUMMYFUNCTION("""COMPUTED_VALUE"""),"FRANCE")</f>
        <v>FRANCE</v>
      </c>
      <c r="AH612" s="1" t="str">
        <f ca="1">IFERROR(__xludf.DUMMYFUNCTION("""COMPUTED_VALUE"""),"GUINEE")</f>
        <v>GUINEE</v>
      </c>
      <c r="AI612" s="1" t="str">
        <f ca="1">IFERROR(__xludf.DUMMYFUNCTION("""COMPUTED_VALUE"""),"FRANCE")</f>
        <v>FRANCE</v>
      </c>
      <c r="AJ612" s="1" t="str">
        <f ca="1">IFERROR(__xludf.DUMMYFUNCTION("""COMPUTED_VALUE"""),"F1606")</f>
        <v>F1606</v>
      </c>
      <c r="AK612" s="1" t="str">
        <f ca="1">IFERROR(__xludf.DUMMYFUNCTION("""COMPUTED_VALUE"""),"Marié(e)")</f>
        <v>Marié(e)</v>
      </c>
      <c r="AL612" s="1" t="str">
        <f ca="1">IFERROR(__xludf.DUMMYFUNCTION("""COMPUTED_VALUE"""),"Marié(e)")</f>
        <v>Marié(e)</v>
      </c>
      <c r="AM612" s="1" t="str">
        <f ca="1">IFERROR(__xludf.DUMMYFUNCTION("""COMPUTED_VALUE"""),"F1606")</f>
        <v>F1606</v>
      </c>
    </row>
    <row r="613" spans="1:39" ht="13" x14ac:dyDescent="0.15">
      <c r="A613" s="1" t="str">
        <f ca="1">IFERROR(__xludf.DUMMYFUNCTION("""COMPUTED_VALUE"""),"TRAORÉ Leila")</f>
        <v>TRAORÉ Leila</v>
      </c>
      <c r="B613" s="1" t="str">
        <f ca="1">IFERROR(__xludf.DUMMYFUNCTION("""COMPUTED_VALUE"""),"TRAORÉ")</f>
        <v>TRAORÉ</v>
      </c>
      <c r="C613" s="1" t="str">
        <f ca="1">IFERROR(__xludf.DUMMYFUNCTION("""COMPUTED_VALUE"""),"Leila")</f>
        <v>Leila</v>
      </c>
      <c r="D613" s="1" t="str">
        <f ca="1">IFERROR(__xludf.DUMMYFUNCTION("""COMPUTED_VALUE"""),"1696E1")</f>
        <v>1696E1</v>
      </c>
      <c r="E613" s="2">
        <f ca="1">IFERROR(__xludf.DUMMYFUNCTION("""COMPUTED_VALUE"""),41773)</f>
        <v>41773</v>
      </c>
      <c r="F613" s="1" t="str">
        <f ca="1">IFERROR(__xludf.DUMMYFUNCTION("""COMPUTED_VALUE"""),"6EME1")</f>
        <v>6EME1</v>
      </c>
      <c r="G613" s="1" t="str">
        <f ca="1">IFERROR(__xludf.DUMMYFUNCTION("""COMPUTED_VALUE"""),"6ème")</f>
        <v>6ème</v>
      </c>
      <c r="H613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613" s="1" t="str">
        <f ca="1">IFERROR(__xludf.DUMMYFUNCTION("""COMPUTED_VALUE"""),"LVA Anglais")</f>
        <v>LVA Anglais</v>
      </c>
      <c r="J613" s="1" t="str">
        <f ca="1">IFERROR(__xludf.DUMMYFUNCTION("""COMPUTED_VALUE"""),"LVB Espagnol")</f>
        <v>LVB Espagnol</v>
      </c>
      <c r="K613" s="1"/>
      <c r="L613" s="1"/>
      <c r="M613" s="1"/>
      <c r="N613" s="1" t="str">
        <f ca="1">IFERROR(__xludf.DUMMYFUNCTION("""COMPUTED_VALUE"""),"Fille")</f>
        <v>Fille</v>
      </c>
      <c r="O613" s="1"/>
      <c r="P613" s="1" t="str">
        <f ca="1">IFERROR(__xludf.DUMMYFUNCTION("""COMPUTED_VALUE"""),"CANADA")</f>
        <v>CANADA</v>
      </c>
      <c r="Q613" s="1" t="str">
        <f ca="1">IFERROR(__xludf.DUMMYFUNCTION("""COMPUTED_VALUE"""),"MALI")</f>
        <v>MALI</v>
      </c>
      <c r="R613" s="1" t="str">
        <f ca="1">IFERROR(__xludf.DUMMYFUNCTION("""COMPUTED_VALUE"""),"leila.traore@lfjpsaly.org")</f>
        <v>leila.traore@lfjpsaly.org</v>
      </c>
      <c r="S613" s="1" t="str">
        <f ca="1">IFERROR(__xludf.DUMMYFUNCTION("""COMPUTED_VALUE"""),"+221 78 119 93 57")</f>
        <v>+221 78 119 93 57</v>
      </c>
      <c r="T613" s="1" t="str">
        <f ca="1">IFERROR(__xludf.DUMMYFUNCTION("""COMPUTED_VALUE"""),"TRAORE Mamadou Lamine")</f>
        <v>TRAORE Mamadou Lamine</v>
      </c>
      <c r="U613" s="1" t="str">
        <f ca="1">IFERROR(__xludf.DUMMYFUNCTION("""COMPUTED_VALUE"""),"BA TRAORÉ Abssatou")</f>
        <v>BA TRAORÉ Abssatou</v>
      </c>
      <c r="V613" s="1" t="str">
        <f ca="1">IFERROR(__xludf.DUMMYFUNCTION("""COMPUTED_VALUE"""),"mamadou.traore@mixx.sn")</f>
        <v>mamadou.traore@mixx.sn</v>
      </c>
      <c r="W613" s="1" t="str">
        <f ca="1">IFERROR(__xludf.DUMMYFUNCTION("""COMPUTED_VALUE"""),"nandisally@yahoo.fr")</f>
        <v>nandisally@yahoo.fr</v>
      </c>
      <c r="X613" s="1" t="str">
        <f ca="1">IFERROR(__xludf.DUMMYFUNCTION("""COMPUTED_VALUE"""),"+221 78 119 93 57")</f>
        <v>+221 78 119 93 57</v>
      </c>
      <c r="Y613" s="1" t="str">
        <f ca="1">IFERROR(__xludf.DUMMYFUNCTION("""COMPUTED_VALUE"""),"+33 3 38 22 75 44")</f>
        <v>+33 3 38 22 75 44</v>
      </c>
      <c r="Z613" s="1" t="str">
        <f ca="1">IFERROR(__xludf.DUMMYFUNCTION("""COMPUTED_VALUE"""),"+221 78 119 93 57")</f>
        <v>+221 78 119 93 57</v>
      </c>
      <c r="AA613" s="1" t="str">
        <f ca="1">IFERROR(__xludf.DUMMYFUNCTION("""COMPUTED_VALUE"""),"+221 78 119 93 57")</f>
        <v>+221 78 119 93 57</v>
      </c>
      <c r="AB613" s="2">
        <f ca="1">IFERROR(__xludf.DUMMYFUNCTION("""COMPUTED_VALUE"""),27718)</f>
        <v>27718</v>
      </c>
      <c r="AC613" s="2">
        <f ca="1">IFERROR(__xludf.DUMMYFUNCTION("""COMPUTED_VALUE"""),27396)</f>
        <v>27396</v>
      </c>
      <c r="AD613" s="1" t="str">
        <f ca="1">IFERROR(__xludf.DUMMYFUNCTION("""COMPUTED_VALUE"""),"PERE")</f>
        <v>PERE</v>
      </c>
      <c r="AE613" s="1" t="str">
        <f ca="1">IFERROR(__xludf.DUMMYFUNCTION("""COMPUTED_VALUE"""),"MERE")</f>
        <v>MERE</v>
      </c>
      <c r="AF613" s="1" t="str">
        <f ca="1">IFERROR(__xludf.DUMMYFUNCTION("""COMPUTED_VALUE"""),"MALI")</f>
        <v>MALI</v>
      </c>
      <c r="AG613" s="1" t="str">
        <f ca="1">IFERROR(__xludf.DUMMYFUNCTION("""COMPUTED_VALUE"""),"MALI")</f>
        <v>MALI</v>
      </c>
      <c r="AH613" s="1"/>
      <c r="AI613" s="1"/>
      <c r="AJ613" s="1" t="str">
        <f ca="1">IFERROR(__xludf.DUMMYFUNCTION("""COMPUTED_VALUE"""),"F1696")</f>
        <v>F1696</v>
      </c>
      <c r="AK613" s="1" t="str">
        <f ca="1">IFERROR(__xludf.DUMMYFUNCTION("""COMPUTED_VALUE"""),"Marié(e)")</f>
        <v>Marié(e)</v>
      </c>
      <c r="AL613" s="1" t="str">
        <f ca="1">IFERROR(__xludf.DUMMYFUNCTION("""COMPUTED_VALUE"""),"Marié(e)")</f>
        <v>Marié(e)</v>
      </c>
      <c r="AM613" s="1" t="str">
        <f ca="1">IFERROR(__xludf.DUMMYFUNCTION("""COMPUTED_VALUE"""),"F1696")</f>
        <v>F1696</v>
      </c>
    </row>
    <row r="614" spans="1:39" ht="13" x14ac:dyDescent="0.15">
      <c r="A614" s="1" t="str">
        <f ca="1">IFERROR(__xludf.DUMMYFUNCTION("""COMPUTED_VALUE"""),"TRAORE Nafy")</f>
        <v>TRAORE Nafy</v>
      </c>
      <c r="B614" s="1" t="str">
        <f ca="1">IFERROR(__xludf.DUMMYFUNCTION("""COMPUTED_VALUE"""),"TRAORE")</f>
        <v>TRAORE</v>
      </c>
      <c r="C614" s="1" t="str">
        <f ca="1">IFERROR(__xludf.DUMMYFUNCTION("""COMPUTED_VALUE"""),"Nafy")</f>
        <v>Nafy</v>
      </c>
      <c r="D614" s="1" t="str">
        <f ca="1">IFERROR(__xludf.DUMMYFUNCTION("""COMPUTED_VALUE"""),"1606E2")</f>
        <v>1606E2</v>
      </c>
      <c r="E614" s="2">
        <f ca="1">IFERROR(__xludf.DUMMYFUNCTION("""COMPUTED_VALUE"""),43487)</f>
        <v>43487</v>
      </c>
      <c r="F614" s="1" t="str">
        <f ca="1">IFERROR(__xludf.DUMMYFUNCTION("""COMPUTED_VALUE"""),"CP-CE2")</f>
        <v>CP-CE2</v>
      </c>
      <c r="G614" s="1" t="str">
        <f ca="1">IFERROR(__xludf.DUMMYFUNCTION("""COMPUTED_VALUE"""),"CP")</f>
        <v>CP</v>
      </c>
      <c r="H614" s="1" t="str">
        <f ca="1">IFERROR(__xludf.DUMMYFUNCTION("""COMPUTED_VALUE"""),"Lycée Français Jacques Prévert de Saly » Elémentaire » CP » Générale")</f>
        <v>Lycée Français Jacques Prévert de Saly » Elémentaire » CP » Générale</v>
      </c>
      <c r="I614" s="1"/>
      <c r="J614" s="1"/>
      <c r="K614" s="1"/>
      <c r="L614" s="1"/>
      <c r="M614" s="1"/>
      <c r="N614" s="1" t="str">
        <f ca="1">IFERROR(__xludf.DUMMYFUNCTION("""COMPUTED_VALUE"""),"Fille")</f>
        <v>Fille</v>
      </c>
      <c r="O614" s="1"/>
      <c r="P614" s="1" t="str">
        <f ca="1">IFERROR(__xludf.DUMMYFUNCTION("""COMPUTED_VALUE"""),"FRANCE")</f>
        <v>FRANCE</v>
      </c>
      <c r="Q614" s="1"/>
      <c r="R614" s="1"/>
      <c r="S614" s="1"/>
      <c r="T614" s="1" t="str">
        <f ca="1">IFERROR(__xludf.DUMMYFUNCTION("""COMPUTED_VALUE"""),"CAMARA Aissetou")</f>
        <v>CAMARA Aissetou</v>
      </c>
      <c r="U614" s="1" t="str">
        <f ca="1">IFERROR(__xludf.DUMMYFUNCTION("""COMPUTED_VALUE"""),"TRAORE Abdramane")</f>
        <v>TRAORE Abdramane</v>
      </c>
      <c r="V614" s="1" t="str">
        <f ca="1">IFERROR(__xludf.DUMMYFUNCTION("""COMPUTED_VALUE"""),"camaissetou@gmail.com")</f>
        <v>camaissetou@gmail.com</v>
      </c>
      <c r="W614" s="1" t="str">
        <f ca="1">IFERROR(__xludf.DUMMYFUNCTION("""COMPUTED_VALUE"""),"traoreabde@hotmail.fr")</f>
        <v>traoreabde@hotmail.fr</v>
      </c>
      <c r="X614" s="1" t="str">
        <f ca="1">IFERROR(__xludf.DUMMYFUNCTION("""COMPUTED_VALUE"""),"+221 71 038 31 85")</f>
        <v>+221 71 038 31 85</v>
      </c>
      <c r="Y614" s="1" t="str">
        <f ca="1">IFERROR(__xludf.DUMMYFUNCTION("""COMPUTED_VALUE"""),"+33 6 11 63 39 22")</f>
        <v>+33 6 11 63 39 22</v>
      </c>
      <c r="Z614" s="1" t="str">
        <f ca="1">IFERROR(__xludf.DUMMYFUNCTION("""COMPUTED_VALUE"""),"+33 6 61 22 44 99")</f>
        <v>+33 6 61 22 44 99</v>
      </c>
      <c r="AA614" s="1" t="str">
        <f ca="1">IFERROR(__xludf.DUMMYFUNCTION("""COMPUTED_VALUE"""),"+221 71 058 64 76")</f>
        <v>+221 71 058 64 76</v>
      </c>
      <c r="AB614" s="2">
        <f ca="1">IFERROR(__xludf.DUMMYFUNCTION("""COMPUTED_VALUE"""),30500)</f>
        <v>30500</v>
      </c>
      <c r="AC614" s="2">
        <f ca="1">IFERROR(__xludf.DUMMYFUNCTION("""COMPUTED_VALUE"""),29891)</f>
        <v>29891</v>
      </c>
      <c r="AD614" s="1" t="str">
        <f ca="1">IFERROR(__xludf.DUMMYFUNCTION("""COMPUTED_VALUE"""),"MERE")</f>
        <v>MERE</v>
      </c>
      <c r="AE614" s="1" t="str">
        <f ca="1">IFERROR(__xludf.DUMMYFUNCTION("""COMPUTED_VALUE"""),"PERE")</f>
        <v>PERE</v>
      </c>
      <c r="AF614" s="1" t="str">
        <f ca="1">IFERROR(__xludf.DUMMYFUNCTION("""COMPUTED_VALUE"""),"FRANCE")</f>
        <v>FRANCE</v>
      </c>
      <c r="AG614" s="1" t="str">
        <f ca="1">IFERROR(__xludf.DUMMYFUNCTION("""COMPUTED_VALUE"""),"FRANCE")</f>
        <v>FRANCE</v>
      </c>
      <c r="AH614" s="1" t="str">
        <f ca="1">IFERROR(__xludf.DUMMYFUNCTION("""COMPUTED_VALUE"""),"GUINEE")</f>
        <v>GUINEE</v>
      </c>
      <c r="AI614" s="1" t="str">
        <f ca="1">IFERROR(__xludf.DUMMYFUNCTION("""COMPUTED_VALUE"""),"FRANCE")</f>
        <v>FRANCE</v>
      </c>
      <c r="AJ614" s="1" t="str">
        <f ca="1">IFERROR(__xludf.DUMMYFUNCTION("""COMPUTED_VALUE"""),"F1606")</f>
        <v>F1606</v>
      </c>
      <c r="AK614" s="1" t="str">
        <f ca="1">IFERROR(__xludf.DUMMYFUNCTION("""COMPUTED_VALUE"""),"Marié(e)")</f>
        <v>Marié(e)</v>
      </c>
      <c r="AL614" s="1" t="str">
        <f ca="1">IFERROR(__xludf.DUMMYFUNCTION("""COMPUTED_VALUE"""),"Marié(e)")</f>
        <v>Marié(e)</v>
      </c>
      <c r="AM614" s="1" t="str">
        <f ca="1">IFERROR(__xludf.DUMMYFUNCTION("""COMPUTED_VALUE"""),"F1606")</f>
        <v>F1606</v>
      </c>
    </row>
    <row r="615" spans="1:39" ht="13" x14ac:dyDescent="0.15">
      <c r="A615" s="1" t="str">
        <f ca="1">IFERROR(__xludf.DUMMYFUNCTION("""COMPUTED_VALUE"""),"TRAORE Sidy")</f>
        <v>TRAORE Sidy</v>
      </c>
      <c r="B615" s="1" t="str">
        <f ca="1">IFERROR(__xludf.DUMMYFUNCTION("""COMPUTED_VALUE"""),"TRAORE")</f>
        <v>TRAORE</v>
      </c>
      <c r="C615" s="1" t="str">
        <f ca="1">IFERROR(__xludf.DUMMYFUNCTION("""COMPUTED_VALUE"""),"Sidy")</f>
        <v>Sidy</v>
      </c>
      <c r="D615" s="1" t="str">
        <f ca="1">IFERROR(__xludf.DUMMYFUNCTION("""COMPUTED_VALUE"""),"1606E3")</f>
        <v>1606E3</v>
      </c>
      <c r="E615" s="2">
        <f ca="1">IFERROR(__xludf.DUMMYFUNCTION("""COMPUTED_VALUE"""),42527)</f>
        <v>42527</v>
      </c>
      <c r="F615" s="1" t="str">
        <f ca="1">IFERROR(__xludf.DUMMYFUNCTION("""COMPUTED_VALUE"""),"CM1A")</f>
        <v>CM1A</v>
      </c>
      <c r="G615" s="1" t="str">
        <f ca="1">IFERROR(__xludf.DUMMYFUNCTION("""COMPUTED_VALUE"""),"CM1")</f>
        <v>CM1</v>
      </c>
      <c r="H615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615" s="1"/>
      <c r="J615" s="1"/>
      <c r="K615" s="1"/>
      <c r="L615" s="1"/>
      <c r="M615" s="1"/>
      <c r="N615" s="1" t="str">
        <f ca="1">IFERROR(__xludf.DUMMYFUNCTION("""COMPUTED_VALUE"""),"Garçon")</f>
        <v>Garçon</v>
      </c>
      <c r="O615" s="1"/>
      <c r="P615" s="1" t="str">
        <f ca="1">IFERROR(__xludf.DUMMYFUNCTION("""COMPUTED_VALUE"""),"FRANCE")</f>
        <v>FRANCE</v>
      </c>
      <c r="Q615" s="1"/>
      <c r="R615" s="1"/>
      <c r="S615" s="1"/>
      <c r="T615" s="1" t="str">
        <f ca="1">IFERROR(__xludf.DUMMYFUNCTION("""COMPUTED_VALUE"""),"CAMARA Aissetou")</f>
        <v>CAMARA Aissetou</v>
      </c>
      <c r="U615" s="1" t="str">
        <f ca="1">IFERROR(__xludf.DUMMYFUNCTION("""COMPUTED_VALUE"""),"TRAORE Abdramane")</f>
        <v>TRAORE Abdramane</v>
      </c>
      <c r="V615" s="1" t="str">
        <f ca="1">IFERROR(__xludf.DUMMYFUNCTION("""COMPUTED_VALUE"""),"camaissetou@gmail.com")</f>
        <v>camaissetou@gmail.com</v>
      </c>
      <c r="W615" s="1" t="str">
        <f ca="1">IFERROR(__xludf.DUMMYFUNCTION("""COMPUTED_VALUE"""),"traoreabde@hotmail.fr")</f>
        <v>traoreabde@hotmail.fr</v>
      </c>
      <c r="X615" s="1" t="str">
        <f ca="1">IFERROR(__xludf.DUMMYFUNCTION("""COMPUTED_VALUE"""),"+221 71 038 31 85")</f>
        <v>+221 71 038 31 85</v>
      </c>
      <c r="Y615" s="1" t="str">
        <f ca="1">IFERROR(__xludf.DUMMYFUNCTION("""COMPUTED_VALUE"""),"+33 6 11 63 39 22")</f>
        <v>+33 6 11 63 39 22</v>
      </c>
      <c r="Z615" s="1" t="str">
        <f ca="1">IFERROR(__xludf.DUMMYFUNCTION("""COMPUTED_VALUE"""),"+33 6 61 22 44 99")</f>
        <v>+33 6 61 22 44 99</v>
      </c>
      <c r="AA615" s="1" t="str">
        <f ca="1">IFERROR(__xludf.DUMMYFUNCTION("""COMPUTED_VALUE"""),"+221 71 058 64 76")</f>
        <v>+221 71 058 64 76</v>
      </c>
      <c r="AB615" s="2">
        <f ca="1">IFERROR(__xludf.DUMMYFUNCTION("""COMPUTED_VALUE"""),30500)</f>
        <v>30500</v>
      </c>
      <c r="AC615" s="2">
        <f ca="1">IFERROR(__xludf.DUMMYFUNCTION("""COMPUTED_VALUE"""),29891)</f>
        <v>29891</v>
      </c>
      <c r="AD615" s="1" t="str">
        <f ca="1">IFERROR(__xludf.DUMMYFUNCTION("""COMPUTED_VALUE"""),"MERE")</f>
        <v>MERE</v>
      </c>
      <c r="AE615" s="1" t="str">
        <f ca="1">IFERROR(__xludf.DUMMYFUNCTION("""COMPUTED_VALUE"""),"PERE")</f>
        <v>PERE</v>
      </c>
      <c r="AF615" s="1" t="str">
        <f ca="1">IFERROR(__xludf.DUMMYFUNCTION("""COMPUTED_VALUE"""),"FRANCE")</f>
        <v>FRANCE</v>
      </c>
      <c r="AG615" s="1" t="str">
        <f ca="1">IFERROR(__xludf.DUMMYFUNCTION("""COMPUTED_VALUE"""),"FRANCE")</f>
        <v>FRANCE</v>
      </c>
      <c r="AH615" s="1" t="str">
        <f ca="1">IFERROR(__xludf.DUMMYFUNCTION("""COMPUTED_VALUE"""),"GUINEE")</f>
        <v>GUINEE</v>
      </c>
      <c r="AI615" s="1" t="str">
        <f ca="1">IFERROR(__xludf.DUMMYFUNCTION("""COMPUTED_VALUE"""),"FRANCE")</f>
        <v>FRANCE</v>
      </c>
      <c r="AJ615" s="1" t="str">
        <f ca="1">IFERROR(__xludf.DUMMYFUNCTION("""COMPUTED_VALUE"""),"F1606")</f>
        <v>F1606</v>
      </c>
      <c r="AK615" s="1" t="str">
        <f ca="1">IFERROR(__xludf.DUMMYFUNCTION("""COMPUTED_VALUE"""),"Marié(e)")</f>
        <v>Marié(e)</v>
      </c>
      <c r="AL615" s="1" t="str">
        <f ca="1">IFERROR(__xludf.DUMMYFUNCTION("""COMPUTED_VALUE"""),"Marié(e)")</f>
        <v>Marié(e)</v>
      </c>
      <c r="AM615" s="1" t="str">
        <f ca="1">IFERROR(__xludf.DUMMYFUNCTION("""COMPUTED_VALUE"""),"F1606")</f>
        <v>F1606</v>
      </c>
    </row>
    <row r="616" spans="1:39" ht="13" x14ac:dyDescent="0.15">
      <c r="A616" s="1" t="str">
        <f ca="1">IFERROR(__xludf.DUMMYFUNCTION("""COMPUTED_VALUE"""),"TRIQUENAUX Jules")</f>
        <v>TRIQUENAUX Jules</v>
      </c>
      <c r="B616" s="1" t="str">
        <f ca="1">IFERROR(__xludf.DUMMYFUNCTION("""COMPUTED_VALUE"""),"TRIQUENAUX")</f>
        <v>TRIQUENAUX</v>
      </c>
      <c r="C616" s="1" t="str">
        <f ca="1">IFERROR(__xludf.DUMMYFUNCTION("""COMPUTED_VALUE"""),"Jules")</f>
        <v>Jules</v>
      </c>
      <c r="D616" s="1" t="str">
        <f ca="1">IFERROR(__xludf.DUMMYFUNCTION("""COMPUTED_VALUE"""),"1608E2")</f>
        <v>1608E2</v>
      </c>
      <c r="E616" s="2">
        <f ca="1">IFERROR(__xludf.DUMMYFUNCTION("""COMPUTED_VALUE"""),41851)</f>
        <v>41851</v>
      </c>
      <c r="F616" s="1" t="str">
        <f ca="1">IFERROR(__xludf.DUMMYFUNCTION("""COMPUTED_VALUE"""),"6EME1")</f>
        <v>6EME1</v>
      </c>
      <c r="G616" s="1" t="str">
        <f ca="1">IFERROR(__xludf.DUMMYFUNCTION("""COMPUTED_VALUE"""),"6ème")</f>
        <v>6ème</v>
      </c>
      <c r="H616" s="1" t="str">
        <f ca="1">IFERROR(__xludf.DUMMYFUNCTION("""COMPUTED_VALUE"""),"Lycée Français Jacques Prévert de Saly » Collège » 6ème » Générale")</f>
        <v>Lycée Français Jacques Prévert de Saly » Collège » 6ème » Générale</v>
      </c>
      <c r="I616" s="1" t="str">
        <f ca="1">IFERROR(__xludf.DUMMYFUNCTION("""COMPUTED_VALUE"""),"LVA Anglais")</f>
        <v>LVA Anglais</v>
      </c>
      <c r="J616" s="1" t="str">
        <f ca="1">IFERROR(__xludf.DUMMYFUNCTION("""COMPUTED_VALUE"""),"LVB Espagnol")</f>
        <v>LVB Espagnol</v>
      </c>
      <c r="K616" s="1"/>
      <c r="L616" s="1"/>
      <c r="M616" s="1"/>
      <c r="N616" s="1" t="str">
        <f ca="1">IFERROR(__xludf.DUMMYFUNCTION("""COMPUTED_VALUE"""),"Garçon")</f>
        <v>Garçon</v>
      </c>
      <c r="O616" s="1"/>
      <c r="P616" s="1" t="str">
        <f ca="1">IFERROR(__xludf.DUMMYFUNCTION("""COMPUTED_VALUE"""),"FRANCE")</f>
        <v>FRANCE</v>
      </c>
      <c r="Q616" s="1"/>
      <c r="R616" s="1" t="str">
        <f ca="1">IFERROR(__xludf.DUMMYFUNCTION("""COMPUTED_VALUE"""),"jules.triquenaux@lfjpsaly.org")</f>
        <v>jules.triquenaux@lfjpsaly.org</v>
      </c>
      <c r="S616" s="1" t="str">
        <f ca="1">IFERROR(__xludf.DUMMYFUNCTION("""COMPUTED_VALUE"""),"+221")</f>
        <v>+221</v>
      </c>
      <c r="T616" s="1" t="str">
        <f ca="1">IFERROR(__xludf.DUMMYFUNCTION("""COMPUTED_VALUE"""),"TRIQUENAUX Alexandra")</f>
        <v>TRIQUENAUX Alexandra</v>
      </c>
      <c r="U616" s="1" t="str">
        <f ca="1">IFERROR(__xludf.DUMMYFUNCTION("""COMPUTED_VALUE"""),"TRIQUENAUX Thomas")</f>
        <v>TRIQUENAUX Thomas</v>
      </c>
      <c r="V616" s="1" t="str">
        <f ca="1">IFERROR(__xludf.DUMMYFUNCTION("""COMPUTED_VALUE"""),"thomas.triquenaux@orange.fr")</f>
        <v>thomas.triquenaux@orange.fr</v>
      </c>
      <c r="W616" s="1" t="str">
        <f ca="1">IFERROR(__xludf.DUMMYFUNCTION("""COMPUTED_VALUE"""),"thomas.triquenaux@orange.fr")</f>
        <v>thomas.triquenaux@orange.fr</v>
      </c>
      <c r="X616" s="1" t="str">
        <f ca="1">IFERROR(__xludf.DUMMYFUNCTION("""COMPUTED_VALUE"""),"+221 77 694 17 90")</f>
        <v>+221 77 694 17 90</v>
      </c>
      <c r="Y616" s="1" t="str">
        <f ca="1">IFERROR(__xludf.DUMMYFUNCTION("""COMPUTED_VALUE"""),"+221 78 388 26 35")</f>
        <v>+221 78 388 26 35</v>
      </c>
      <c r="Z616" s="1" t="str">
        <f ca="1">IFERROR(__xludf.DUMMYFUNCTION("""COMPUTED_VALUE"""),"+221")</f>
        <v>+221</v>
      </c>
      <c r="AA616" s="1" t="str">
        <f ca="1">IFERROR(__xludf.DUMMYFUNCTION("""COMPUTED_VALUE"""),"+221")</f>
        <v>+221</v>
      </c>
      <c r="AB616" s="2">
        <f ca="1">IFERROR(__xludf.DUMMYFUNCTION("""COMPUTED_VALUE"""),29799)</f>
        <v>29799</v>
      </c>
      <c r="AC616" s="2">
        <f ca="1">IFERROR(__xludf.DUMMYFUNCTION("""COMPUTED_VALUE"""),28598)</f>
        <v>28598</v>
      </c>
      <c r="AD616" s="1" t="str">
        <f ca="1">IFERROR(__xludf.DUMMYFUNCTION("""COMPUTED_VALUE"""),"MERE")</f>
        <v>MERE</v>
      </c>
      <c r="AE616" s="1" t="str">
        <f ca="1">IFERROR(__xludf.DUMMYFUNCTION("""COMPUTED_VALUE"""),"PERE")</f>
        <v>PERE</v>
      </c>
      <c r="AF616" s="1" t="str">
        <f ca="1">IFERROR(__xludf.DUMMYFUNCTION("""COMPUTED_VALUE"""),"FRANCE")</f>
        <v>FRANCE</v>
      </c>
      <c r="AG616" s="1" t="str">
        <f ca="1">IFERROR(__xludf.DUMMYFUNCTION("""COMPUTED_VALUE"""),"FRANCE")</f>
        <v>FRANCE</v>
      </c>
      <c r="AH616" s="1"/>
      <c r="AI616" s="1"/>
      <c r="AJ616" s="1" t="str">
        <f ca="1">IFERROR(__xludf.DUMMYFUNCTION("""COMPUTED_VALUE"""),"F1608")</f>
        <v>F1608</v>
      </c>
      <c r="AK616" s="1" t="str">
        <f ca="1">IFERROR(__xludf.DUMMYFUNCTION("""COMPUTED_VALUE"""),"Marié(e)")</f>
        <v>Marié(e)</v>
      </c>
      <c r="AL616" s="1" t="str">
        <f ca="1">IFERROR(__xludf.DUMMYFUNCTION("""COMPUTED_VALUE"""),"Marié(e)")</f>
        <v>Marié(e)</v>
      </c>
      <c r="AM616" s="1" t="str">
        <f ca="1">IFERROR(__xludf.DUMMYFUNCTION("""COMPUTED_VALUE"""),"F1608")</f>
        <v>F1608</v>
      </c>
    </row>
    <row r="617" spans="1:39" ht="13" x14ac:dyDescent="0.15">
      <c r="A617" s="1" t="str">
        <f ca="1">IFERROR(__xludf.DUMMYFUNCTION("""COMPUTED_VALUE"""),"TRIQUENAUX Ninon")</f>
        <v>TRIQUENAUX Ninon</v>
      </c>
      <c r="B617" s="1" t="str">
        <f ca="1">IFERROR(__xludf.DUMMYFUNCTION("""COMPUTED_VALUE"""),"TRIQUENAUX")</f>
        <v>TRIQUENAUX</v>
      </c>
      <c r="C617" s="1" t="str">
        <f ca="1">IFERROR(__xludf.DUMMYFUNCTION("""COMPUTED_VALUE"""),"Ninon")</f>
        <v>Ninon</v>
      </c>
      <c r="D617" s="1" t="str">
        <f ca="1">IFERROR(__xludf.DUMMYFUNCTION("""COMPUTED_VALUE"""),"1608E1")</f>
        <v>1608E1</v>
      </c>
      <c r="E617" s="2">
        <f ca="1">IFERROR(__xludf.DUMMYFUNCTION("""COMPUTED_VALUE"""),40478)</f>
        <v>40478</v>
      </c>
      <c r="F617" s="1" t="str">
        <f ca="1">IFERROR(__xludf.DUMMYFUNCTION("""COMPUTED_VALUE"""),"2NDE1 COOP")</f>
        <v>2NDE1 COOP</v>
      </c>
      <c r="G617" s="1" t="str">
        <f ca="1">IFERROR(__xludf.DUMMYFUNCTION("""COMPUTED_VALUE"""),"2nde")</f>
        <v>2nde</v>
      </c>
      <c r="H617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617" s="1" t="str">
        <f ca="1">IFERROR(__xludf.DUMMYFUNCTION("""COMPUTED_VALUE"""),"LVA Anglais")</f>
        <v>LVA Anglais</v>
      </c>
      <c r="J617" s="1" t="str">
        <f ca="1">IFERROR(__xludf.DUMMYFUNCTION("""COMPUTED_VALUE"""),"LVB Espagnol")</f>
        <v>LVB Espagnol</v>
      </c>
      <c r="K617" s="1"/>
      <c r="L617" s="1"/>
      <c r="M617" s="1"/>
      <c r="N617" s="1" t="str">
        <f ca="1">IFERROR(__xludf.DUMMYFUNCTION("""COMPUTED_VALUE"""),"Fille")</f>
        <v>Fille</v>
      </c>
      <c r="O617" s="1"/>
      <c r="P617" s="1" t="str">
        <f ca="1">IFERROR(__xludf.DUMMYFUNCTION("""COMPUTED_VALUE"""),"FRANCE")</f>
        <v>FRANCE</v>
      </c>
      <c r="Q617" s="1"/>
      <c r="R617" s="1" t="str">
        <f ca="1">IFERROR(__xludf.DUMMYFUNCTION("""COMPUTED_VALUE"""),"ninon.triquenaux@lfjpsaly.org")</f>
        <v>ninon.triquenaux@lfjpsaly.org</v>
      </c>
      <c r="S617" s="1" t="str">
        <f ca="1">IFERROR(__xludf.DUMMYFUNCTION("""COMPUTED_VALUE"""),"+221 77 694 17 90")</f>
        <v>+221 77 694 17 90</v>
      </c>
      <c r="T617" s="1" t="str">
        <f ca="1">IFERROR(__xludf.DUMMYFUNCTION("""COMPUTED_VALUE"""),"TRIQUENAUX Alexandra")</f>
        <v>TRIQUENAUX Alexandra</v>
      </c>
      <c r="U617" s="1" t="str">
        <f ca="1">IFERROR(__xludf.DUMMYFUNCTION("""COMPUTED_VALUE"""),"TRIQUENAUX Thomas")</f>
        <v>TRIQUENAUX Thomas</v>
      </c>
      <c r="V617" s="1" t="str">
        <f ca="1">IFERROR(__xludf.DUMMYFUNCTION("""COMPUTED_VALUE"""),"thomas.triquenaux@orange.fr")</f>
        <v>thomas.triquenaux@orange.fr</v>
      </c>
      <c r="W617" s="1" t="str">
        <f ca="1">IFERROR(__xludf.DUMMYFUNCTION("""COMPUTED_VALUE"""),"thomas.triquenaux@orange.fr")</f>
        <v>thomas.triquenaux@orange.fr</v>
      </c>
      <c r="X617" s="1" t="str">
        <f ca="1">IFERROR(__xludf.DUMMYFUNCTION("""COMPUTED_VALUE"""),"+221 77 694 17 90")</f>
        <v>+221 77 694 17 90</v>
      </c>
      <c r="Y617" s="1" t="str">
        <f ca="1">IFERROR(__xludf.DUMMYFUNCTION("""COMPUTED_VALUE"""),"+221 78 388 26 35")</f>
        <v>+221 78 388 26 35</v>
      </c>
      <c r="Z617" s="1" t="str">
        <f ca="1">IFERROR(__xludf.DUMMYFUNCTION("""COMPUTED_VALUE"""),"+221")</f>
        <v>+221</v>
      </c>
      <c r="AA617" s="1" t="str">
        <f ca="1">IFERROR(__xludf.DUMMYFUNCTION("""COMPUTED_VALUE"""),"+221")</f>
        <v>+221</v>
      </c>
      <c r="AB617" s="2">
        <f ca="1">IFERROR(__xludf.DUMMYFUNCTION("""COMPUTED_VALUE"""),29799)</f>
        <v>29799</v>
      </c>
      <c r="AC617" s="2">
        <f ca="1">IFERROR(__xludf.DUMMYFUNCTION("""COMPUTED_VALUE"""),28598)</f>
        <v>28598</v>
      </c>
      <c r="AD617" s="1" t="str">
        <f ca="1">IFERROR(__xludf.DUMMYFUNCTION("""COMPUTED_VALUE"""),"MERE")</f>
        <v>MERE</v>
      </c>
      <c r="AE617" s="1" t="str">
        <f ca="1">IFERROR(__xludf.DUMMYFUNCTION("""COMPUTED_VALUE"""),"PERE")</f>
        <v>PERE</v>
      </c>
      <c r="AF617" s="1" t="str">
        <f ca="1">IFERROR(__xludf.DUMMYFUNCTION("""COMPUTED_VALUE"""),"FRANCE")</f>
        <v>FRANCE</v>
      </c>
      <c r="AG617" s="1" t="str">
        <f ca="1">IFERROR(__xludf.DUMMYFUNCTION("""COMPUTED_VALUE"""),"FRANCE")</f>
        <v>FRANCE</v>
      </c>
      <c r="AH617" s="1"/>
      <c r="AI617" s="1"/>
      <c r="AJ617" s="1" t="str">
        <f ca="1">IFERROR(__xludf.DUMMYFUNCTION("""COMPUTED_VALUE"""),"F1608")</f>
        <v>F1608</v>
      </c>
      <c r="AK617" s="1" t="str">
        <f ca="1">IFERROR(__xludf.DUMMYFUNCTION("""COMPUTED_VALUE"""),"Marié(e)")</f>
        <v>Marié(e)</v>
      </c>
      <c r="AL617" s="1" t="str">
        <f ca="1">IFERROR(__xludf.DUMMYFUNCTION("""COMPUTED_VALUE"""),"Marié(e)")</f>
        <v>Marié(e)</v>
      </c>
      <c r="AM617" s="1" t="str">
        <f ca="1">IFERROR(__xludf.DUMMYFUNCTION("""COMPUTED_VALUE"""),"F1608")</f>
        <v>F1608</v>
      </c>
    </row>
    <row r="618" spans="1:39" ht="13" x14ac:dyDescent="0.15">
      <c r="A618" s="1" t="str">
        <f ca="1">IFERROR(__xludf.DUMMYFUNCTION("""COMPUTED_VALUE"""),"TSHIBANDA Raymond")</f>
        <v>TSHIBANDA Raymond</v>
      </c>
      <c r="B618" s="1" t="str">
        <f ca="1">IFERROR(__xludf.DUMMYFUNCTION("""COMPUTED_VALUE"""),"TSHIBANDA")</f>
        <v>TSHIBANDA</v>
      </c>
      <c r="C618" s="1" t="str">
        <f ca="1">IFERROR(__xludf.DUMMYFUNCTION("""COMPUTED_VALUE"""),"Raymond")</f>
        <v>Raymond</v>
      </c>
      <c r="D618" s="1" t="str">
        <f ca="1">IFERROR(__xludf.DUMMYFUNCTION("""COMPUTED_VALUE"""),"1609E1")</f>
        <v>1609E1</v>
      </c>
      <c r="E618" s="2">
        <f ca="1">IFERROR(__xludf.DUMMYFUNCTION("""COMPUTED_VALUE"""),40029)</f>
        <v>40029</v>
      </c>
      <c r="F618" s="1" t="str">
        <f ca="1">IFERROR(__xludf.DUMMYFUNCTION("""COMPUTED_VALUE"""),"1ERE1")</f>
        <v>1ERE1</v>
      </c>
      <c r="G618" s="1" t="str">
        <f ca="1">IFERROR(__xludf.DUMMYFUNCTION("""COMPUTED_VALUE"""),"1ère")</f>
        <v>1ère</v>
      </c>
      <c r="H618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618" s="1" t="str">
        <f ca="1">IFERROR(__xludf.DUMMYFUNCTION("""COMPUTED_VALUE"""),"LVA Anglais")</f>
        <v>LVA Anglais</v>
      </c>
      <c r="J618" s="1" t="str">
        <f ca="1">IFERROR(__xludf.DUMMYFUNCTION("""COMPUTED_VALUE"""),"LVB Espagnol")</f>
        <v>LVB Espagnol</v>
      </c>
      <c r="K618" s="1"/>
      <c r="L618" s="1"/>
      <c r="M618" s="1" t="str">
        <f ca="1">IFERROR(__xludf.DUMMYFUNCTION("""COMPUTED_VALUE"""),"SPE LLCE AMC, SPE MATHS, SPE SES")</f>
        <v>SPE LLCE AMC, SPE MATHS, SPE SES</v>
      </c>
      <c r="N618" s="1" t="str">
        <f ca="1">IFERROR(__xludf.DUMMYFUNCTION("""COMPUTED_VALUE"""),"Garçon")</f>
        <v>Garçon</v>
      </c>
      <c r="O618" s="1"/>
      <c r="P618" s="1" t="str">
        <f ca="1">IFERROR(__xludf.DUMMYFUNCTION("""COMPUTED_VALUE"""),"BELGIQUE")</f>
        <v>BELGIQUE</v>
      </c>
      <c r="Q618" s="1"/>
      <c r="R618" s="1" t="str">
        <f ca="1">IFERROR(__xludf.DUMMYFUNCTION("""COMPUTED_VALUE"""),"raymond.tshibanda@lfjpsaly.org")</f>
        <v>raymond.tshibanda@lfjpsaly.org</v>
      </c>
      <c r="S618" s="1" t="str">
        <f ca="1">IFERROR(__xludf.DUMMYFUNCTION("""COMPUTED_VALUE"""),"+221")</f>
        <v>+221</v>
      </c>
      <c r="T618" s="1" t="str">
        <f ca="1">IFERROR(__xludf.DUMMYFUNCTION("""COMPUTED_VALUE"""),"SAMBAY Marie")</f>
        <v>SAMBAY Marie</v>
      </c>
      <c r="U618" s="1" t="str">
        <f ca="1">IFERROR(__xludf.DUMMYFUNCTION("""COMPUTED_VALUE"""),"MARIE Golfa Sambay")</f>
        <v>MARIE Golfa Sambay</v>
      </c>
      <c r="V618" s="1" t="str">
        <f ca="1">IFERROR(__xludf.DUMMYFUNCTION("""COMPUTED_VALUE"""),"marie.sambay@gmail.com")</f>
        <v>marie.sambay@gmail.com</v>
      </c>
      <c r="W618" s="1" t="str">
        <f ca="1">IFERROR(__xludf.DUMMYFUNCTION("""COMPUTED_VALUE"""),"d.tshibanda1@gmail.com")</f>
        <v>d.tshibanda1@gmail.com</v>
      </c>
      <c r="X618" s="1" t="str">
        <f ca="1">IFERROR(__xludf.DUMMYFUNCTION("""COMPUTED_VALUE"""),"+221 78 650 73 01")</f>
        <v>+221 78 650 73 01</v>
      </c>
      <c r="Y618" s="1" t="str">
        <f ca="1">IFERROR(__xludf.DUMMYFUNCTION("""COMPUTED_VALUE"""),"+221 78 650 73 01")</f>
        <v>+221 78 650 73 01</v>
      </c>
      <c r="Z618" s="1" t="str">
        <f ca="1">IFERROR(__xludf.DUMMYFUNCTION("""COMPUTED_VALUE"""),"+221")</f>
        <v>+221</v>
      </c>
      <c r="AA618" s="1" t="str">
        <f ca="1">IFERROR(__xludf.DUMMYFUNCTION("""COMPUTED_VALUE"""),"+221")</f>
        <v>+221</v>
      </c>
      <c r="AB618" s="2">
        <f ca="1">IFERROR(__xludf.DUMMYFUNCTION("""COMPUTED_VALUE"""),28973)</f>
        <v>28973</v>
      </c>
      <c r="AC618" s="2">
        <f ca="1">IFERROR(__xludf.DUMMYFUNCTION("""COMPUTED_VALUE"""),28973)</f>
        <v>28973</v>
      </c>
      <c r="AD618" s="1" t="str">
        <f ca="1">IFERROR(__xludf.DUMMYFUNCTION("""COMPUTED_VALUE"""),"MERE")</f>
        <v>MERE</v>
      </c>
      <c r="AE618" s="1" t="str">
        <f ca="1">IFERROR(__xludf.DUMMYFUNCTION("""COMPUTED_VALUE"""),"PERE")</f>
        <v>PERE</v>
      </c>
      <c r="AF618" s="1" t="str">
        <f ca="1">IFERROR(__xludf.DUMMYFUNCTION("""COMPUTED_VALUE"""),"BELGIQUE")</f>
        <v>BELGIQUE</v>
      </c>
      <c r="AG618" s="1" t="str">
        <f ca="1">IFERROR(__xludf.DUMMYFUNCTION("""COMPUTED_VALUE"""),"BELGIQUE")</f>
        <v>BELGIQUE</v>
      </c>
      <c r="AH618" s="1"/>
      <c r="AI618" s="1"/>
      <c r="AJ618" s="1" t="str">
        <f ca="1">IFERROR(__xludf.DUMMYFUNCTION("""COMPUTED_VALUE"""),"F1609")</f>
        <v>F1609</v>
      </c>
      <c r="AK618" s="1" t="str">
        <f ca="1">IFERROR(__xludf.DUMMYFUNCTION("""COMPUTED_VALUE"""),"Marié(e)")</f>
        <v>Marié(e)</v>
      </c>
      <c r="AL618" s="1" t="str">
        <f ca="1">IFERROR(__xludf.DUMMYFUNCTION("""COMPUTED_VALUE"""),"Marié(e)")</f>
        <v>Marié(e)</v>
      </c>
      <c r="AM618" s="1" t="str">
        <f ca="1">IFERROR(__xludf.DUMMYFUNCTION("""COMPUTED_VALUE"""),"F1609")</f>
        <v>F1609</v>
      </c>
    </row>
    <row r="619" spans="1:39" ht="13" x14ac:dyDescent="0.15">
      <c r="A619" s="1" t="str">
        <f ca="1">IFERROR(__xludf.DUMMYFUNCTION("""COMPUTED_VALUE"""),"TUNA Melisa")</f>
        <v>TUNA Melisa</v>
      </c>
      <c r="B619" s="1" t="str">
        <f ca="1">IFERROR(__xludf.DUMMYFUNCTION("""COMPUTED_VALUE"""),"TUNA")</f>
        <v>TUNA</v>
      </c>
      <c r="C619" s="1" t="str">
        <f ca="1">IFERROR(__xludf.DUMMYFUNCTION("""COMPUTED_VALUE"""),"Melisa")</f>
        <v>Melisa</v>
      </c>
      <c r="D619" s="1" t="str">
        <f ca="1">IFERROR(__xludf.DUMMYFUNCTION("""COMPUTED_VALUE"""),"1610E1")</f>
        <v>1610E1</v>
      </c>
      <c r="E619" s="2">
        <f ca="1">IFERROR(__xludf.DUMMYFUNCTION("""COMPUTED_VALUE"""),40771)</f>
        <v>40771</v>
      </c>
      <c r="F619" s="1" t="str">
        <f ca="1">IFERROR(__xludf.DUMMYFUNCTION("""COMPUTED_VALUE"""),"3EME2")</f>
        <v>3EME2</v>
      </c>
      <c r="G619" s="1" t="str">
        <f ca="1">IFERROR(__xludf.DUMMYFUNCTION("""COMPUTED_VALUE"""),"3ème")</f>
        <v>3ème</v>
      </c>
      <c r="H619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619" s="1" t="str">
        <f ca="1">IFERROR(__xludf.DUMMYFUNCTION("""COMPUTED_VALUE"""),"LVA Anglais")</f>
        <v>LVA Anglais</v>
      </c>
      <c r="J619" s="1" t="str">
        <f ca="1">IFERROR(__xludf.DUMMYFUNCTION("""COMPUTED_VALUE"""),"LVB Espagnol")</f>
        <v>LVB Espagnol</v>
      </c>
      <c r="K619" s="1"/>
      <c r="L619" s="1"/>
      <c r="M619" s="1"/>
      <c r="N619" s="1" t="str">
        <f ca="1">IFERROR(__xludf.DUMMYFUNCTION("""COMPUTED_VALUE"""),"Fille")</f>
        <v>Fille</v>
      </c>
      <c r="O619" s="1"/>
      <c r="P619" s="1" t="str">
        <f ca="1">IFERROR(__xludf.DUMMYFUNCTION("""COMPUTED_VALUE"""),"FRANCE")</f>
        <v>FRANCE</v>
      </c>
      <c r="Q619" s="1" t="str">
        <f ca="1">IFERROR(__xludf.DUMMYFUNCTION("""COMPUTED_VALUE"""),"TURQUIE")</f>
        <v>TURQUIE</v>
      </c>
      <c r="R619" s="1" t="str">
        <f ca="1">IFERROR(__xludf.DUMMYFUNCTION("""COMPUTED_VALUE"""),"melisa.tuna@lfjpsaly.org")</f>
        <v>melisa.tuna@lfjpsaly.org</v>
      </c>
      <c r="S619" s="1" t="str">
        <f ca="1">IFERROR(__xludf.DUMMYFUNCTION("""COMPUTED_VALUE"""),"+221 78 177 70 69")</f>
        <v>+221 78 177 70 69</v>
      </c>
      <c r="T619" s="1" t="str">
        <f ca="1">IFERROR(__xludf.DUMMYFUNCTION("""COMPUTED_VALUE"""),"TUNA Caroline")</f>
        <v>TUNA Caroline</v>
      </c>
      <c r="U619" s="1" t="str">
        <f ca="1">IFERROR(__xludf.DUMMYFUNCTION("""COMPUTED_VALUE"""),"TUNA Ahmet")</f>
        <v>TUNA Ahmet</v>
      </c>
      <c r="V619" s="1" t="str">
        <f ca="1">IFERROR(__xludf.DUMMYFUNCTION("""COMPUTED_VALUE"""),"paulcaroline94@yahoo.fr")</f>
        <v>paulcaroline94@yahoo.fr</v>
      </c>
      <c r="W619" s="1" t="str">
        <f ca="1">IFERROR(__xludf.DUMMYFUNCTION("""COMPUTED_VALUE"""),"tuna_7474@yahoo.com")</f>
        <v>tuna_7474@yahoo.com</v>
      </c>
      <c r="X619" s="1" t="str">
        <f ca="1">IFERROR(__xludf.DUMMYFUNCTION("""COMPUTED_VALUE"""),"+221 78 177 70 69")</f>
        <v>+221 78 177 70 69</v>
      </c>
      <c r="Y619" s="1" t="str">
        <f ca="1">IFERROR(__xludf.DUMMYFUNCTION("""COMPUTED_VALUE"""),"+221 78 177 70 56")</f>
        <v>+221 78 177 70 56</v>
      </c>
      <c r="Z619" s="1"/>
      <c r="AA619" s="1"/>
      <c r="AB619" s="2">
        <f ca="1">IFERROR(__xludf.DUMMYFUNCTION("""COMPUTED_VALUE"""),26137)</f>
        <v>26137</v>
      </c>
      <c r="AC619" s="2">
        <f ca="1">IFERROR(__xludf.DUMMYFUNCTION("""COMPUTED_VALUE"""),27109)</f>
        <v>27109</v>
      </c>
      <c r="AD619" s="1" t="str">
        <f ca="1">IFERROR(__xludf.DUMMYFUNCTION("""COMPUTED_VALUE"""),"MERE")</f>
        <v>MERE</v>
      </c>
      <c r="AE619" s="1" t="str">
        <f ca="1">IFERROR(__xludf.DUMMYFUNCTION("""COMPUTED_VALUE"""),"PERE")</f>
        <v>PERE</v>
      </c>
      <c r="AF619" s="1" t="str">
        <f ca="1">IFERROR(__xludf.DUMMYFUNCTION("""COMPUTED_VALUE"""),"FRANCE")</f>
        <v>FRANCE</v>
      </c>
      <c r="AG619" s="1" t="str">
        <f ca="1">IFERROR(__xludf.DUMMYFUNCTION("""COMPUTED_VALUE"""),"TURQUIE")</f>
        <v>TURQUIE</v>
      </c>
      <c r="AH619" s="1"/>
      <c r="AI619" s="1"/>
      <c r="AJ619" s="1" t="str">
        <f ca="1">IFERROR(__xludf.DUMMYFUNCTION("""COMPUTED_VALUE"""),"F1610")</f>
        <v>F1610</v>
      </c>
      <c r="AK619" s="1" t="str">
        <f ca="1">IFERROR(__xludf.DUMMYFUNCTION("""COMPUTED_VALUE"""),"Divorcée")</f>
        <v>Divorcée</v>
      </c>
      <c r="AL619" s="1" t="str">
        <f ca="1">IFERROR(__xludf.DUMMYFUNCTION("""COMPUTED_VALUE"""),"Divorcée")</f>
        <v>Divorcée</v>
      </c>
      <c r="AM619" s="1" t="str">
        <f ca="1">IFERROR(__xludf.DUMMYFUNCTION("""COMPUTED_VALUE"""),"F1610")</f>
        <v>F1610</v>
      </c>
    </row>
    <row r="620" spans="1:39" ht="13" x14ac:dyDescent="0.15">
      <c r="A620" s="1" t="str">
        <f ca="1">IFERROR(__xludf.DUMMYFUNCTION("""COMPUTED_VALUE"""),"TUNA Remi")</f>
        <v>TUNA Remi</v>
      </c>
      <c r="B620" s="1" t="str">
        <f ca="1">IFERROR(__xludf.DUMMYFUNCTION("""COMPUTED_VALUE"""),"TUNA")</f>
        <v>TUNA</v>
      </c>
      <c r="C620" s="1" t="str">
        <f ca="1">IFERROR(__xludf.DUMMYFUNCTION("""COMPUTED_VALUE"""),"Remi")</f>
        <v>Remi</v>
      </c>
      <c r="D620" s="1" t="str">
        <f ca="1">IFERROR(__xludf.DUMMYFUNCTION("""COMPUTED_VALUE"""),"1610E2")</f>
        <v>1610E2</v>
      </c>
      <c r="E620" s="2">
        <f ca="1">IFERROR(__xludf.DUMMYFUNCTION("""COMPUTED_VALUE"""),40196)</f>
        <v>40196</v>
      </c>
      <c r="F620" s="1" t="str">
        <f ca="1">IFERROR(__xludf.DUMMYFUNCTION("""COMPUTED_VALUE"""),"2NDE1 COOP")</f>
        <v>2NDE1 COOP</v>
      </c>
      <c r="G620" s="1" t="str">
        <f ca="1">IFERROR(__xludf.DUMMYFUNCTION("""COMPUTED_VALUE"""),"2nde")</f>
        <v>2nde</v>
      </c>
      <c r="H620" s="1" t="str">
        <f ca="1">IFERROR(__xludf.DUMMYFUNCTION("""COMPUTED_VALUE"""),"Lycée Français Jacques Prévert de Saly » Lycée » 2nde » Générale")</f>
        <v>Lycée Français Jacques Prévert de Saly » Lycée » 2nde » Générale</v>
      </c>
      <c r="I620" s="1" t="str">
        <f ca="1">IFERROR(__xludf.DUMMYFUNCTION("""COMPUTED_VALUE"""),"LVA Anglais")</f>
        <v>LVA Anglais</v>
      </c>
      <c r="J620" s="1" t="str">
        <f ca="1">IFERROR(__xludf.DUMMYFUNCTION("""COMPUTED_VALUE"""),"LVB Espagnol")</f>
        <v>LVB Espagnol</v>
      </c>
      <c r="K620" s="1"/>
      <c r="L620" s="1"/>
      <c r="M620" s="1"/>
      <c r="N620" s="1" t="str">
        <f ca="1">IFERROR(__xludf.DUMMYFUNCTION("""COMPUTED_VALUE"""),"Garçon")</f>
        <v>Garçon</v>
      </c>
      <c r="O620" s="1"/>
      <c r="P620" s="1" t="str">
        <f ca="1">IFERROR(__xludf.DUMMYFUNCTION("""COMPUTED_VALUE"""),"FRANCE")</f>
        <v>FRANCE</v>
      </c>
      <c r="Q620" s="1" t="str">
        <f ca="1">IFERROR(__xludf.DUMMYFUNCTION("""COMPUTED_VALUE"""),"TURQUIE")</f>
        <v>TURQUIE</v>
      </c>
      <c r="R620" s="1" t="str">
        <f ca="1">IFERROR(__xludf.DUMMYFUNCTION("""COMPUTED_VALUE"""),"remi.tuna@lfjpsaly.org")</f>
        <v>remi.tuna@lfjpsaly.org</v>
      </c>
      <c r="S620" s="1" t="str">
        <f ca="1">IFERROR(__xludf.DUMMYFUNCTION("""COMPUTED_VALUE"""),"+221 78 177 70 69")</f>
        <v>+221 78 177 70 69</v>
      </c>
      <c r="T620" s="1" t="str">
        <f ca="1">IFERROR(__xludf.DUMMYFUNCTION("""COMPUTED_VALUE"""),"TUNA Caroline")</f>
        <v>TUNA Caroline</v>
      </c>
      <c r="U620" s="1" t="str">
        <f ca="1">IFERROR(__xludf.DUMMYFUNCTION("""COMPUTED_VALUE"""),"TUNA Ahmet")</f>
        <v>TUNA Ahmet</v>
      </c>
      <c r="V620" s="1" t="str">
        <f ca="1">IFERROR(__xludf.DUMMYFUNCTION("""COMPUTED_VALUE"""),"paulcaroline94@yahoo.fr")</f>
        <v>paulcaroline94@yahoo.fr</v>
      </c>
      <c r="W620" s="1" t="str">
        <f ca="1">IFERROR(__xludf.DUMMYFUNCTION("""COMPUTED_VALUE"""),"tuna_7474@yahoo.com")</f>
        <v>tuna_7474@yahoo.com</v>
      </c>
      <c r="X620" s="1" t="str">
        <f ca="1">IFERROR(__xludf.DUMMYFUNCTION("""COMPUTED_VALUE"""),"+221 78 177 70 69")</f>
        <v>+221 78 177 70 69</v>
      </c>
      <c r="Y620" s="1" t="str">
        <f ca="1">IFERROR(__xludf.DUMMYFUNCTION("""COMPUTED_VALUE"""),"+221 78 177 70 56")</f>
        <v>+221 78 177 70 56</v>
      </c>
      <c r="Z620" s="1"/>
      <c r="AA620" s="1"/>
      <c r="AB620" s="2">
        <f ca="1">IFERROR(__xludf.DUMMYFUNCTION("""COMPUTED_VALUE"""),26137)</f>
        <v>26137</v>
      </c>
      <c r="AC620" s="2">
        <f ca="1">IFERROR(__xludf.DUMMYFUNCTION("""COMPUTED_VALUE"""),27109)</f>
        <v>27109</v>
      </c>
      <c r="AD620" s="1" t="str">
        <f ca="1">IFERROR(__xludf.DUMMYFUNCTION("""COMPUTED_VALUE"""),"MERE")</f>
        <v>MERE</v>
      </c>
      <c r="AE620" s="1" t="str">
        <f ca="1">IFERROR(__xludf.DUMMYFUNCTION("""COMPUTED_VALUE"""),"PERE")</f>
        <v>PERE</v>
      </c>
      <c r="AF620" s="1" t="str">
        <f ca="1">IFERROR(__xludf.DUMMYFUNCTION("""COMPUTED_VALUE"""),"FRANCE")</f>
        <v>FRANCE</v>
      </c>
      <c r="AG620" s="1" t="str">
        <f ca="1">IFERROR(__xludf.DUMMYFUNCTION("""COMPUTED_VALUE"""),"TURQUIE")</f>
        <v>TURQUIE</v>
      </c>
      <c r="AH620" s="1"/>
      <c r="AI620" s="1"/>
      <c r="AJ620" s="1" t="str">
        <f ca="1">IFERROR(__xludf.DUMMYFUNCTION("""COMPUTED_VALUE"""),"F1610")</f>
        <v>F1610</v>
      </c>
      <c r="AK620" s="1" t="str">
        <f ca="1">IFERROR(__xludf.DUMMYFUNCTION("""COMPUTED_VALUE"""),"Divorcée")</f>
        <v>Divorcée</v>
      </c>
      <c r="AL620" s="1" t="str">
        <f ca="1">IFERROR(__xludf.DUMMYFUNCTION("""COMPUTED_VALUE"""),"Divorcée")</f>
        <v>Divorcée</v>
      </c>
      <c r="AM620" s="1" t="str">
        <f ca="1">IFERROR(__xludf.DUMMYFUNCTION("""COMPUTED_VALUE"""),"F1610")</f>
        <v>F1610</v>
      </c>
    </row>
    <row r="621" spans="1:39" ht="13" x14ac:dyDescent="0.15">
      <c r="A621" s="1" t="str">
        <f ca="1">IFERROR(__xludf.DUMMYFUNCTION("""COMPUTED_VALUE"""),"VALTON Fallou-Kemane")</f>
        <v>VALTON Fallou-Kemane</v>
      </c>
      <c r="B621" s="1" t="str">
        <f ca="1">IFERROR(__xludf.DUMMYFUNCTION("""COMPUTED_VALUE"""),"VALTON")</f>
        <v>VALTON</v>
      </c>
      <c r="C621" s="1" t="str">
        <f ca="1">IFERROR(__xludf.DUMMYFUNCTION("""COMPUTED_VALUE"""),"Fallou-Kemane")</f>
        <v>Fallou-Kemane</v>
      </c>
      <c r="D621" s="1" t="str">
        <f ca="1">IFERROR(__xludf.DUMMYFUNCTION("""COMPUTED_VALUE"""),"11673S2271")</f>
        <v>11673S2271</v>
      </c>
      <c r="E621" s="2">
        <f ca="1">IFERROR(__xludf.DUMMYFUNCTION("""COMPUTED_VALUE"""),41383)</f>
        <v>41383</v>
      </c>
      <c r="F621" s="1" t="str">
        <f ca="1">IFERROR(__xludf.DUMMYFUNCTION("""COMPUTED_VALUE"""),"5EME2")</f>
        <v>5EME2</v>
      </c>
      <c r="G621" s="1" t="str">
        <f ca="1">IFERROR(__xludf.DUMMYFUNCTION("""COMPUTED_VALUE"""),"5ème")</f>
        <v>5ème</v>
      </c>
      <c r="H621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621" s="1" t="str">
        <f ca="1">IFERROR(__xludf.DUMMYFUNCTION("""COMPUTED_VALUE"""),"LVA Anglais")</f>
        <v>LVA Anglais</v>
      </c>
      <c r="J621" s="1" t="str">
        <f ca="1">IFERROR(__xludf.DUMMYFUNCTION("""COMPUTED_VALUE"""),"LVB Espagnol")</f>
        <v>LVB Espagnol</v>
      </c>
      <c r="K621" s="1"/>
      <c r="L621" s="1"/>
      <c r="M621" s="1"/>
      <c r="N621" s="1" t="str">
        <f ca="1">IFERROR(__xludf.DUMMYFUNCTION("""COMPUTED_VALUE"""),"Garçon")</f>
        <v>Garçon</v>
      </c>
      <c r="O621" s="1"/>
      <c r="P621" s="1" t="str">
        <f ca="1">IFERROR(__xludf.DUMMYFUNCTION("""COMPUTED_VALUE"""),"FRANCE")</f>
        <v>FRANCE</v>
      </c>
      <c r="Q621" s="1" t="str">
        <f ca="1">IFERROR(__xludf.DUMMYFUNCTION("""COMPUTED_VALUE"""),"SENEGAL")</f>
        <v>SENEGAL</v>
      </c>
      <c r="R621" s="1" t="str">
        <f ca="1">IFERROR(__xludf.DUMMYFUNCTION("""COMPUTED_VALUE"""),"fallou-kemane.valton@lfjpsaly.org")</f>
        <v>fallou-kemane.valton@lfjpsaly.org</v>
      </c>
      <c r="S621" s="1" t="str">
        <f ca="1">IFERROR(__xludf.DUMMYFUNCTION("""COMPUTED_VALUE"""),"+221 77 800 50 21")</f>
        <v>+221 77 800 50 21</v>
      </c>
      <c r="T621" s="1" t="str">
        <f ca="1">IFERROR(__xludf.DUMMYFUNCTION("""COMPUTED_VALUE"""),"VALTON Cyril")</f>
        <v>VALTON Cyril</v>
      </c>
      <c r="U621" s="1"/>
      <c r="V621" s="1" t="str">
        <f ca="1">IFERROR(__xludf.DUMMYFUNCTION("""COMPUTED_VALUE"""),"espritdafrik2013@gmail.com")</f>
        <v>espritdafrik2013@gmail.com</v>
      </c>
      <c r="W621" s="1"/>
      <c r="X621" s="1" t="str">
        <f ca="1">IFERROR(__xludf.DUMMYFUNCTION("""COMPUTED_VALUE"""),"+221 77 800 50 21")</f>
        <v>+221 77 800 50 21</v>
      </c>
      <c r="Y621" s="1"/>
      <c r="Z621" s="1" t="str">
        <f ca="1">IFERROR(__xludf.DUMMYFUNCTION("""COMPUTED_VALUE"""),"+221")</f>
        <v>+221</v>
      </c>
      <c r="AA621" s="1"/>
      <c r="AB621" s="2">
        <f ca="1">IFERROR(__xludf.DUMMYFUNCTION("""COMPUTED_VALUE"""),26814)</f>
        <v>26814</v>
      </c>
      <c r="AC621" s="1"/>
      <c r="AD621" s="1" t="str">
        <f ca="1">IFERROR(__xludf.DUMMYFUNCTION("""COMPUTED_VALUE"""),"PERE")</f>
        <v>PERE</v>
      </c>
      <c r="AE621" s="1"/>
      <c r="AF621" s="1" t="str">
        <f ca="1">IFERROR(__xludf.DUMMYFUNCTION("""COMPUTED_VALUE"""),"FRANCE")</f>
        <v>FRANCE</v>
      </c>
      <c r="AG621" s="1"/>
      <c r="AH621" s="1" t="str">
        <f ca="1">IFERROR(__xludf.DUMMYFUNCTION("""COMPUTED_VALUE"""),"SENEGAL")</f>
        <v>SENEGAL</v>
      </c>
      <c r="AI621" s="1"/>
      <c r="AJ621" s="1" t="str">
        <f ca="1">IFERROR(__xludf.DUMMYFUNCTION("""COMPUTED_VALUE"""),"U11673")</f>
        <v>U11673</v>
      </c>
      <c r="AK621" s="1" t="str">
        <f ca="1">IFERROR(__xludf.DUMMYFUNCTION("""COMPUTED_VALUE"""),"Célibataire")</f>
        <v>Célibataire</v>
      </c>
      <c r="AL621" s="1"/>
      <c r="AM621" s="1" t="str">
        <f ca="1">IFERROR(__xludf.DUMMYFUNCTION("""COMPUTED_VALUE"""),"U11673")</f>
        <v>U11673</v>
      </c>
    </row>
    <row r="622" spans="1:39" ht="13" x14ac:dyDescent="0.15">
      <c r="A622" s="1" t="str">
        <f ca="1">IFERROR(__xludf.DUMMYFUNCTION("""COMPUTED_VALUE"""),"VERSIGLIONI Noé")</f>
        <v>VERSIGLIONI Noé</v>
      </c>
      <c r="B622" s="1" t="str">
        <f ca="1">IFERROR(__xludf.DUMMYFUNCTION("""COMPUTED_VALUE"""),"VERSIGLIONI")</f>
        <v>VERSIGLIONI</v>
      </c>
      <c r="C622" s="1" t="str">
        <f ca="1">IFERROR(__xludf.DUMMYFUNCTION("""COMPUTED_VALUE"""),"Noé")</f>
        <v>Noé</v>
      </c>
      <c r="D622" s="1" t="str">
        <f ca="1">IFERROR(__xludf.DUMMYFUNCTION("""COMPUTED_VALUE"""),"1571E2")</f>
        <v>1571E2</v>
      </c>
      <c r="E622" s="2">
        <f ca="1">IFERROR(__xludf.DUMMYFUNCTION("""COMPUTED_VALUE"""),44557)</f>
        <v>44557</v>
      </c>
      <c r="F622" s="1" t="str">
        <f ca="1">IFERROR(__xludf.DUMMYFUNCTION("""COMPUTED_VALUE"""),"Mat 3")</f>
        <v>Mat 3</v>
      </c>
      <c r="G622" s="1" t="str">
        <f ca="1">IFERROR(__xludf.DUMMYFUNCTION("""COMPUTED_VALUE"""),"MS")</f>
        <v>MS</v>
      </c>
      <c r="H622" s="1" t="str">
        <f ca="1">IFERROR(__xludf.DUMMYFUNCTION("""COMPUTED_VALUE"""),"Lycée Français Jacques Prévert de Saly » Maternelle » MS » Générale")</f>
        <v>Lycée Français Jacques Prévert de Saly » Maternelle » MS » Générale</v>
      </c>
      <c r="I622" s="1"/>
      <c r="J622" s="1"/>
      <c r="K622" s="1"/>
      <c r="L622" s="1"/>
      <c r="M622" s="1"/>
      <c r="N622" s="1" t="str">
        <f ca="1">IFERROR(__xludf.DUMMYFUNCTION("""COMPUTED_VALUE"""),"Garçon")</f>
        <v>Garçon</v>
      </c>
      <c r="O622" s="1"/>
      <c r="P622" s="1" t="str">
        <f ca="1">IFERROR(__xludf.DUMMYFUNCTION("""COMPUTED_VALUE"""),"FRANCE")</f>
        <v>FRANCE</v>
      </c>
      <c r="Q622" s="1"/>
      <c r="R622" s="1"/>
      <c r="S622" s="1"/>
      <c r="T622" s="1" t="str">
        <f ca="1">IFERROR(__xludf.DUMMYFUNCTION("""COMPUTED_VALUE"""),"VERSIGLIONI Pascal")</f>
        <v>VERSIGLIONI Pascal</v>
      </c>
      <c r="U622" s="1" t="str">
        <f ca="1">IFERROR(__xludf.DUMMYFUNCTION("""COMPUTED_VALUE"""),"NDIAYE Jeanne")</f>
        <v>NDIAYE Jeanne</v>
      </c>
      <c r="V622" s="1" t="str">
        <f ca="1">IFERROR(__xludf.DUMMYFUNCTION("""COMPUTED_VALUE"""),"versipascal@googlemail.com")</f>
        <v>versipascal@googlemail.com</v>
      </c>
      <c r="W622" s="1" t="str">
        <f ca="1">IFERROR(__xludf.DUMMYFUNCTION("""COMPUTED_VALUE"""),"jeannesophiendiaye@gmail.com")</f>
        <v>jeannesophiendiaye@gmail.com</v>
      </c>
      <c r="X622" s="1" t="str">
        <f ca="1">IFERROR(__xludf.DUMMYFUNCTION("""COMPUTED_VALUE"""),"776374102")</f>
        <v>776374102</v>
      </c>
      <c r="Y622" s="1" t="str">
        <f ca="1">IFERROR(__xludf.DUMMYFUNCTION("""COMPUTED_VALUE"""),"776913295")</f>
        <v>776913295</v>
      </c>
      <c r="Z622" s="1"/>
      <c r="AA622" s="1"/>
      <c r="AB622" s="2">
        <f ca="1">IFERROR(__xludf.DUMMYFUNCTION("""COMPUTED_VALUE"""),23650)</f>
        <v>23650</v>
      </c>
      <c r="AC622" s="2">
        <f ca="1">IFERROR(__xludf.DUMMYFUNCTION("""COMPUTED_VALUE"""),32396)</f>
        <v>32396</v>
      </c>
      <c r="AD622" s="1" t="str">
        <f ca="1">IFERROR(__xludf.DUMMYFUNCTION("""COMPUTED_VALUE"""),"PERE")</f>
        <v>PERE</v>
      </c>
      <c r="AE622" s="1" t="str">
        <f ca="1">IFERROR(__xludf.DUMMYFUNCTION("""COMPUTED_VALUE"""),"MERE")</f>
        <v>MERE</v>
      </c>
      <c r="AF622" s="1" t="str">
        <f ca="1">IFERROR(__xludf.DUMMYFUNCTION("""COMPUTED_VALUE"""),"FRANCE")</f>
        <v>FRANCE</v>
      </c>
      <c r="AG622" s="1" t="str">
        <f ca="1">IFERROR(__xludf.DUMMYFUNCTION("""COMPUTED_VALUE"""),"SENEGAL")</f>
        <v>SENEGAL</v>
      </c>
      <c r="AH622" s="1"/>
      <c r="AI622" s="1"/>
      <c r="AJ622" s="1" t="str">
        <f ca="1">IFERROR(__xludf.DUMMYFUNCTION("""COMPUTED_VALUE"""),"F1571")</f>
        <v>F1571</v>
      </c>
      <c r="AK622" s="1" t="str">
        <f ca="1">IFERROR(__xludf.DUMMYFUNCTION("""COMPUTED_VALUE"""),"Célibataire")</f>
        <v>Célibataire</v>
      </c>
      <c r="AL622" s="1" t="str">
        <f ca="1">IFERROR(__xludf.DUMMYFUNCTION("""COMPUTED_VALUE"""),"Célibataire")</f>
        <v>Célibataire</v>
      </c>
      <c r="AM622" s="1" t="str">
        <f ca="1">IFERROR(__xludf.DUMMYFUNCTION("""COMPUTED_VALUE"""),"F1571")</f>
        <v>F1571</v>
      </c>
    </row>
    <row r="623" spans="1:39" ht="13" x14ac:dyDescent="0.15">
      <c r="A623" s="1" t="str">
        <f ca="1">IFERROR(__xludf.DUMMYFUNCTION("""COMPUTED_VALUE"""),"VILLAIN Candice Noa")</f>
        <v>VILLAIN Candice Noa</v>
      </c>
      <c r="B623" s="1" t="str">
        <f ca="1">IFERROR(__xludf.DUMMYFUNCTION("""COMPUTED_VALUE"""),"VILLAIN")</f>
        <v>VILLAIN</v>
      </c>
      <c r="C623" s="1" t="str">
        <f ca="1">IFERROR(__xludf.DUMMYFUNCTION("""COMPUTED_VALUE"""),"Candice Noa")</f>
        <v>Candice Noa</v>
      </c>
      <c r="D623" s="1" t="str">
        <f ca="1">IFERROR(__xludf.DUMMYFUNCTION("""COMPUTED_VALUE"""),"1613E1")</f>
        <v>1613E1</v>
      </c>
      <c r="E623" s="2">
        <f ca="1">IFERROR(__xludf.DUMMYFUNCTION("""COMPUTED_VALUE"""),40742)</f>
        <v>40742</v>
      </c>
      <c r="F623" s="1" t="str">
        <f ca="1">IFERROR(__xludf.DUMMYFUNCTION("""COMPUTED_VALUE"""),"3EME2")</f>
        <v>3EME2</v>
      </c>
      <c r="G623" s="1" t="str">
        <f ca="1">IFERROR(__xludf.DUMMYFUNCTION("""COMPUTED_VALUE"""),"3ème")</f>
        <v>3ème</v>
      </c>
      <c r="H623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623" s="1" t="str">
        <f ca="1">IFERROR(__xludf.DUMMYFUNCTION("""COMPUTED_VALUE"""),"LVA Anglais")</f>
        <v>LVA Anglais</v>
      </c>
      <c r="J623" s="1" t="str">
        <f ca="1">IFERROR(__xludf.DUMMYFUNCTION("""COMPUTED_VALUE"""),"LVB Espagnol")</f>
        <v>LVB Espagnol</v>
      </c>
      <c r="K623" s="1"/>
      <c r="L623" s="1"/>
      <c r="M623" s="1"/>
      <c r="N623" s="1" t="str">
        <f ca="1">IFERROR(__xludf.DUMMYFUNCTION("""COMPUTED_VALUE"""),"Fille")</f>
        <v>Fille</v>
      </c>
      <c r="O623" s="1"/>
      <c r="P623" s="1" t="str">
        <f ca="1">IFERROR(__xludf.DUMMYFUNCTION("""COMPUTED_VALUE"""),"FRANCE")</f>
        <v>FRANCE</v>
      </c>
      <c r="Q623" s="1"/>
      <c r="R623" s="1" t="str">
        <f ca="1">IFERROR(__xludf.DUMMYFUNCTION("""COMPUTED_VALUE"""),"candice.villain@lfjpsaly.org")</f>
        <v>candice.villain@lfjpsaly.org</v>
      </c>
      <c r="S623" s="1" t="str">
        <f ca="1">IFERROR(__xludf.DUMMYFUNCTION("""COMPUTED_VALUE"""),"+221 77 752 34 57")</f>
        <v>+221 77 752 34 57</v>
      </c>
      <c r="T623" s="1" t="str">
        <f ca="1">IFERROR(__xludf.DUMMYFUNCTION("""COMPUTED_VALUE"""),"CROCHET Aurélie Monique  Céline")</f>
        <v>CROCHET Aurélie Monique  Céline</v>
      </c>
      <c r="U623" s="1" t="str">
        <f ca="1">IFERROR(__xludf.DUMMYFUNCTION("""COMPUTED_VALUE"""),"VILLAIN Michaël Alain Pierre")</f>
        <v>VILLAIN Michaël Alain Pierre</v>
      </c>
      <c r="V623" s="1" t="str">
        <f ca="1">IFERROR(__xludf.DUMMYFUNCTION("""COMPUTED_VALUE"""),"aurmicvillain@wanadoo.fr")</f>
        <v>aurmicvillain@wanadoo.fr</v>
      </c>
      <c r="W623" s="1" t="str">
        <f ca="1">IFERROR(__xludf.DUMMYFUNCTION("""COMPUTED_VALUE"""),"aurmicvillain@wanadoo.fr")</f>
        <v>aurmicvillain@wanadoo.fr</v>
      </c>
      <c r="X623" s="1" t="str">
        <f ca="1">IFERROR(__xludf.DUMMYFUNCTION("""COMPUTED_VALUE"""),"+221 77 752 34 57")</f>
        <v>+221 77 752 34 57</v>
      </c>
      <c r="Y623" s="1" t="str">
        <f ca="1">IFERROR(__xludf.DUMMYFUNCTION("""COMPUTED_VALUE"""),"+221 78 202 58 95")</f>
        <v>+221 78 202 58 95</v>
      </c>
      <c r="Z623" s="1"/>
      <c r="AA623" s="1"/>
      <c r="AB623" s="2">
        <f ca="1">IFERROR(__xludf.DUMMYFUNCTION("""COMPUTED_VALUE"""),28423)</f>
        <v>28423</v>
      </c>
      <c r="AC623" s="2">
        <f ca="1">IFERROR(__xludf.DUMMYFUNCTION("""COMPUTED_VALUE"""),27697)</f>
        <v>27697</v>
      </c>
      <c r="AD623" s="1" t="str">
        <f ca="1">IFERROR(__xludf.DUMMYFUNCTION("""COMPUTED_VALUE"""),"MERE")</f>
        <v>MERE</v>
      </c>
      <c r="AE623" s="1" t="str">
        <f ca="1">IFERROR(__xludf.DUMMYFUNCTION("""COMPUTED_VALUE"""),"PERE")</f>
        <v>PERE</v>
      </c>
      <c r="AF623" s="1" t="str">
        <f ca="1">IFERROR(__xludf.DUMMYFUNCTION("""COMPUTED_VALUE"""),"FRANCE")</f>
        <v>FRANCE</v>
      </c>
      <c r="AG623" s="1" t="str">
        <f ca="1">IFERROR(__xludf.DUMMYFUNCTION("""COMPUTED_VALUE"""),"FRANCE")</f>
        <v>FRANCE</v>
      </c>
      <c r="AH623" s="1"/>
      <c r="AI623" s="1"/>
      <c r="AJ623" s="1" t="str">
        <f ca="1">IFERROR(__xludf.DUMMYFUNCTION("""COMPUTED_VALUE"""),"F1613")</f>
        <v>F1613</v>
      </c>
      <c r="AK623" s="1" t="str">
        <f ca="1">IFERROR(__xludf.DUMMYFUNCTION("""COMPUTED_VALUE"""),"CONCUBINAGE")</f>
        <v>CONCUBINAGE</v>
      </c>
      <c r="AL623" s="1" t="str">
        <f ca="1">IFERROR(__xludf.DUMMYFUNCTION("""COMPUTED_VALUE"""),"CONCUBINAGE")</f>
        <v>CONCUBINAGE</v>
      </c>
      <c r="AM623" s="1" t="str">
        <f ca="1">IFERROR(__xludf.DUMMYFUNCTION("""COMPUTED_VALUE"""),"F1613")</f>
        <v>F1613</v>
      </c>
    </row>
    <row r="624" spans="1:39" ht="13" x14ac:dyDescent="0.15">
      <c r="A624" s="1" t="str">
        <f ca="1">IFERROR(__xludf.DUMMYFUNCTION("""COMPUTED_VALUE"""),"WICKBOLDT Serigne")</f>
        <v>WICKBOLDT Serigne</v>
      </c>
      <c r="B624" s="1" t="str">
        <f ca="1">IFERROR(__xludf.DUMMYFUNCTION("""COMPUTED_VALUE"""),"WICKBOLDT")</f>
        <v>WICKBOLDT</v>
      </c>
      <c r="C624" s="1" t="str">
        <f ca="1">IFERROR(__xludf.DUMMYFUNCTION("""COMPUTED_VALUE"""),"Serigne")</f>
        <v>Serigne</v>
      </c>
      <c r="D624" s="1" t="str">
        <f ca="1">IFERROR(__xludf.DUMMYFUNCTION("""COMPUTED_VALUE"""),"1618E1")</f>
        <v>1618E1</v>
      </c>
      <c r="E624" s="2">
        <f ca="1">IFERROR(__xludf.DUMMYFUNCTION("""COMPUTED_VALUE"""),41037)</f>
        <v>41037</v>
      </c>
      <c r="F624" s="1" t="str">
        <f ca="1">IFERROR(__xludf.DUMMYFUNCTION("""COMPUTED_VALUE"""),"5EME2")</f>
        <v>5EME2</v>
      </c>
      <c r="G624" s="1" t="str">
        <f ca="1">IFERROR(__xludf.DUMMYFUNCTION("""COMPUTED_VALUE"""),"5ème")</f>
        <v>5ème</v>
      </c>
      <c r="H624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624" s="1" t="str">
        <f ca="1">IFERROR(__xludf.DUMMYFUNCTION("""COMPUTED_VALUE"""),"LVA Anglais")</f>
        <v>LVA Anglais</v>
      </c>
      <c r="J624" s="1" t="str">
        <f ca="1">IFERROR(__xludf.DUMMYFUNCTION("""COMPUTED_VALUE"""),"LVB Espagnol")</f>
        <v>LVB Espagnol</v>
      </c>
      <c r="K624" s="1"/>
      <c r="L624" s="1"/>
      <c r="M624" s="1"/>
      <c r="N624" s="1" t="str">
        <f ca="1">IFERROR(__xludf.DUMMYFUNCTION("""COMPUTED_VALUE"""),"Garçon")</f>
        <v>Garçon</v>
      </c>
      <c r="O624" s="1"/>
      <c r="P624" s="1" t="str">
        <f ca="1">IFERROR(__xludf.DUMMYFUNCTION("""COMPUTED_VALUE"""),"ETATS-UNIS")</f>
        <v>ETATS-UNIS</v>
      </c>
      <c r="Q624" s="1"/>
      <c r="R624" s="1" t="str">
        <f ca="1">IFERROR(__xludf.DUMMYFUNCTION("""COMPUTED_VALUE"""),"serigne.wickboldt@lfjpsaly.org")</f>
        <v>serigne.wickboldt@lfjpsaly.org</v>
      </c>
      <c r="S624" s="1" t="str">
        <f ca="1">IFERROR(__xludf.DUMMYFUNCTION("""COMPUTED_VALUE"""),"+221 78 424 46 33")</f>
        <v>+221 78 424 46 33</v>
      </c>
      <c r="T624" s="1" t="str">
        <f ca="1">IFERROR(__xludf.DUMMYFUNCTION("""COMPUTED_VALUE"""),"WICKBOLDT Alvah Tyson")</f>
        <v>WICKBOLDT Alvah Tyson</v>
      </c>
      <c r="U624" s="1" t="str">
        <f ca="1">IFERROR(__xludf.DUMMYFUNCTION("""COMPUTED_VALUE"""),"KANE Ndioba")</f>
        <v>KANE Ndioba</v>
      </c>
      <c r="V624" s="1" t="str">
        <f ca="1">IFERROR(__xludf.DUMMYFUNCTION("""COMPUTED_VALUE"""),"ralphtyson1954@gmail.com")</f>
        <v>ralphtyson1954@gmail.com</v>
      </c>
      <c r="W624" s="1" t="str">
        <f ca="1">IFERROR(__xludf.DUMMYFUNCTION("""COMPUTED_VALUE"""),"al.wickboldt@gmail.com")</f>
        <v>al.wickboldt@gmail.com</v>
      </c>
      <c r="X624" s="1" t="str">
        <f ca="1">IFERROR(__xludf.DUMMYFUNCTION("""COMPUTED_VALUE"""),"+221 78 424 46 33")</f>
        <v>+221 78 424 46 33</v>
      </c>
      <c r="Y624" s="1" t="str">
        <f ca="1">IFERROR(__xludf.DUMMYFUNCTION("""COMPUTED_VALUE"""),"+221 77 614 68 05")</f>
        <v>+221 77 614 68 05</v>
      </c>
      <c r="Z624" s="1" t="str">
        <f ca="1">IFERROR(__xludf.DUMMYFUNCTION("""COMPUTED_VALUE"""),"+221")</f>
        <v>+221</v>
      </c>
      <c r="AA624" s="1" t="str">
        <f ca="1">IFERROR(__xludf.DUMMYFUNCTION("""COMPUTED_VALUE"""),"+221")</f>
        <v>+221</v>
      </c>
      <c r="AB624" s="2">
        <f ca="1">IFERROR(__xludf.DUMMYFUNCTION("""COMPUTED_VALUE"""),19726)</f>
        <v>19726</v>
      </c>
      <c r="AC624" s="2">
        <f ca="1">IFERROR(__xludf.DUMMYFUNCTION("""COMPUTED_VALUE"""),30104)</f>
        <v>30104</v>
      </c>
      <c r="AD624" s="1" t="str">
        <f ca="1">IFERROR(__xludf.DUMMYFUNCTION("""COMPUTED_VALUE"""),"PERE")</f>
        <v>PERE</v>
      </c>
      <c r="AE624" s="1" t="str">
        <f ca="1">IFERROR(__xludf.DUMMYFUNCTION("""COMPUTED_VALUE"""),"MERE")</f>
        <v>MERE</v>
      </c>
      <c r="AF624" s="1" t="str">
        <f ca="1">IFERROR(__xludf.DUMMYFUNCTION("""COMPUTED_VALUE"""),"ETATS-UNIS")</f>
        <v>ETATS-UNIS</v>
      </c>
      <c r="AG624" s="1" t="str">
        <f ca="1">IFERROR(__xludf.DUMMYFUNCTION("""COMPUTED_VALUE"""),"SENEGAL")</f>
        <v>SENEGAL</v>
      </c>
      <c r="AH624" s="1"/>
      <c r="AI624" s="1"/>
      <c r="AJ624" s="1" t="str">
        <f ca="1">IFERROR(__xludf.DUMMYFUNCTION("""COMPUTED_VALUE"""),"F1618")</f>
        <v>F1618</v>
      </c>
      <c r="AK624" s="1" t="str">
        <f ca="1">IFERROR(__xludf.DUMMYFUNCTION("""COMPUTED_VALUE"""),"Marié(e)")</f>
        <v>Marié(e)</v>
      </c>
      <c r="AL624" s="1" t="str">
        <f ca="1">IFERROR(__xludf.DUMMYFUNCTION("""COMPUTED_VALUE"""),"Marié(e)")</f>
        <v>Marié(e)</v>
      </c>
      <c r="AM624" s="1" t="str">
        <f ca="1">IFERROR(__xludf.DUMMYFUNCTION("""COMPUTED_VALUE"""),"F1618")</f>
        <v>F1618</v>
      </c>
    </row>
    <row r="625" spans="1:39" ht="13" x14ac:dyDescent="0.15">
      <c r="A625" s="1" t="str">
        <f ca="1">IFERROR(__xludf.DUMMYFUNCTION("""COMPUTED_VALUE"""),"WONE Aissatou Rahmatoulahi")</f>
        <v>WONE Aissatou Rahmatoulahi</v>
      </c>
      <c r="B625" s="1" t="str">
        <f ca="1">IFERROR(__xludf.DUMMYFUNCTION("""COMPUTED_VALUE"""),"WONE")</f>
        <v>WONE</v>
      </c>
      <c r="C625" s="1" t="str">
        <f ca="1">IFERROR(__xludf.DUMMYFUNCTION("""COMPUTED_VALUE"""),"Aissatou Rahmatoulahi")</f>
        <v>Aissatou Rahmatoulahi</v>
      </c>
      <c r="D625" s="1" t="str">
        <f ca="1">IFERROR(__xludf.DUMMYFUNCTION("""COMPUTED_VALUE"""),"1620E1")</f>
        <v>1620E1</v>
      </c>
      <c r="E625" s="2">
        <f ca="1">IFERROR(__xludf.DUMMYFUNCTION("""COMPUTED_VALUE"""),40668)</f>
        <v>40668</v>
      </c>
      <c r="F625" s="1" t="str">
        <f ca="1">IFERROR(__xludf.DUMMYFUNCTION("""COMPUTED_VALUE"""),"3EME2")</f>
        <v>3EME2</v>
      </c>
      <c r="G625" s="1" t="str">
        <f ca="1">IFERROR(__xludf.DUMMYFUNCTION("""COMPUTED_VALUE"""),"3ème")</f>
        <v>3ème</v>
      </c>
      <c r="H625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625" s="1" t="str">
        <f ca="1">IFERROR(__xludf.DUMMYFUNCTION("""COMPUTED_VALUE"""),"LVA Anglais")</f>
        <v>LVA Anglais</v>
      </c>
      <c r="J625" s="1" t="str">
        <f ca="1">IFERROR(__xludf.DUMMYFUNCTION("""COMPUTED_VALUE"""),"LVB Espagnol")</f>
        <v>LVB Espagnol</v>
      </c>
      <c r="K625" s="1"/>
      <c r="L625" s="1"/>
      <c r="M625" s="1"/>
      <c r="N625" s="1" t="str">
        <f ca="1">IFERROR(__xludf.DUMMYFUNCTION("""COMPUTED_VALUE"""),"Fille")</f>
        <v>Fille</v>
      </c>
      <c r="O625" s="1"/>
      <c r="P625" s="1" t="str">
        <f ca="1">IFERROR(__xludf.DUMMYFUNCTION("""COMPUTED_VALUE"""),"SENEGAL")</f>
        <v>SENEGAL</v>
      </c>
      <c r="Q625" s="1"/>
      <c r="R625" s="1" t="str">
        <f ca="1">IFERROR(__xludf.DUMMYFUNCTION("""COMPUTED_VALUE"""),"aissatou.wone@lfjpsaly.org")</f>
        <v>aissatou.wone@lfjpsaly.org</v>
      </c>
      <c r="S625" s="1"/>
      <c r="T625" s="1" t="str">
        <f ca="1">IFERROR(__xludf.DUMMYFUNCTION("""COMPUTED_VALUE"""),"WONE Abdoulaye")</f>
        <v>WONE Abdoulaye</v>
      </c>
      <c r="U625" s="1" t="str">
        <f ca="1">IFERROR(__xludf.DUMMYFUNCTION("""COMPUTED_VALUE"""),"WONE KANE Hawaly Amadou")</f>
        <v>WONE KANE Hawaly Amadou</v>
      </c>
      <c r="V625" s="1" t="str">
        <f ca="1">IFERROR(__xludf.DUMMYFUNCTION("""COMPUTED_VALUE"""),"layewone@hotmail.com")</f>
        <v>layewone@hotmail.com</v>
      </c>
      <c r="W625" s="1" t="str">
        <f ca="1">IFERROR(__xludf.DUMMYFUNCTION("""COMPUTED_VALUE"""),"hawalaye82@gmail.com")</f>
        <v>hawalaye82@gmail.com</v>
      </c>
      <c r="X625" s="1" t="str">
        <f ca="1">IFERROR(__xludf.DUMMYFUNCTION("""COMPUTED_VALUE"""),"+221 77 640 27 05")</f>
        <v>+221 77 640 27 05</v>
      </c>
      <c r="Y625" s="1" t="str">
        <f ca="1">IFERROR(__xludf.DUMMYFUNCTION("""COMPUTED_VALUE"""),"+221 77 792 37 01")</f>
        <v>+221 77 792 37 01</v>
      </c>
      <c r="Z625" s="1"/>
      <c r="AA625" s="1"/>
      <c r="AB625" s="2">
        <f ca="1">IFERROR(__xludf.DUMMYFUNCTION("""COMPUTED_VALUE"""),27261)</f>
        <v>27261</v>
      </c>
      <c r="AC625" s="2">
        <f ca="1">IFERROR(__xludf.DUMMYFUNCTION("""COMPUTED_VALUE"""),30257)</f>
        <v>30257</v>
      </c>
      <c r="AD625" s="1" t="str">
        <f ca="1">IFERROR(__xludf.DUMMYFUNCTION("""COMPUTED_VALUE"""),"PERE")</f>
        <v>PERE</v>
      </c>
      <c r="AE625" s="1" t="str">
        <f ca="1">IFERROR(__xludf.DUMMYFUNCTION("""COMPUTED_VALUE"""),"MERE")</f>
        <v>MERE</v>
      </c>
      <c r="AF625" s="1" t="str">
        <f ca="1">IFERROR(__xludf.DUMMYFUNCTION("""COMPUTED_VALUE"""),"SENEGAL")</f>
        <v>SENEGAL</v>
      </c>
      <c r="AG625" s="1" t="str">
        <f ca="1">IFERROR(__xludf.DUMMYFUNCTION("""COMPUTED_VALUE"""),"SENEGAL")</f>
        <v>SENEGAL</v>
      </c>
      <c r="AH625" s="1"/>
      <c r="AI625" s="1"/>
      <c r="AJ625" s="1" t="str">
        <f ca="1">IFERROR(__xludf.DUMMYFUNCTION("""COMPUTED_VALUE"""),"F1620")</f>
        <v>F1620</v>
      </c>
      <c r="AK625" s="1" t="str">
        <f ca="1">IFERROR(__xludf.DUMMYFUNCTION("""COMPUTED_VALUE"""),"Marié(e)")</f>
        <v>Marié(e)</v>
      </c>
      <c r="AL625" s="1" t="str">
        <f ca="1">IFERROR(__xludf.DUMMYFUNCTION("""COMPUTED_VALUE"""),"Marié(e)")</f>
        <v>Marié(e)</v>
      </c>
      <c r="AM625" s="1" t="str">
        <f ca="1">IFERROR(__xludf.DUMMYFUNCTION("""COMPUTED_VALUE"""),"F1620")</f>
        <v>F1620</v>
      </c>
    </row>
    <row r="626" spans="1:39" ht="13" x14ac:dyDescent="0.15">
      <c r="A626" s="1" t="str">
        <f ca="1">IFERROR(__xludf.DUMMYFUNCTION("""COMPUTED_VALUE"""),"WONE Fatimata")</f>
        <v>WONE Fatimata</v>
      </c>
      <c r="B626" s="1" t="str">
        <f ca="1">IFERROR(__xludf.DUMMYFUNCTION("""COMPUTED_VALUE"""),"WONE")</f>
        <v>WONE</v>
      </c>
      <c r="C626" s="1" t="str">
        <f ca="1">IFERROR(__xludf.DUMMYFUNCTION("""COMPUTED_VALUE"""),"Fatimata")</f>
        <v>Fatimata</v>
      </c>
      <c r="D626" s="1" t="str">
        <f ca="1">IFERROR(__xludf.DUMMYFUNCTION("""COMPUTED_VALUE"""),"1620E2")</f>
        <v>1620E2</v>
      </c>
      <c r="E626" s="2">
        <f ca="1">IFERROR(__xludf.DUMMYFUNCTION("""COMPUTED_VALUE"""),39701)</f>
        <v>39701</v>
      </c>
      <c r="F626" s="1" t="str">
        <f ca="1">IFERROR(__xludf.DUMMYFUNCTION("""COMPUTED_VALUE"""),"TERMINALE2")</f>
        <v>TERMINALE2</v>
      </c>
      <c r="G626" s="1" t="str">
        <f ca="1">IFERROR(__xludf.DUMMYFUNCTION("""COMPUTED_VALUE"""),"Terminale")</f>
        <v>Terminale</v>
      </c>
      <c r="H626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626" s="1" t="str">
        <f ca="1">IFERROR(__xludf.DUMMYFUNCTION("""COMPUTED_VALUE"""),"LVA Anglais")</f>
        <v>LVA Anglais</v>
      </c>
      <c r="J626" s="1" t="str">
        <f ca="1">IFERROR(__xludf.DUMMYFUNCTION("""COMPUTED_VALUE"""),"LVB Espagnol")</f>
        <v>LVB Espagnol</v>
      </c>
      <c r="K626" s="1"/>
      <c r="L626" s="1"/>
      <c r="M626" s="1" t="str">
        <f ca="1">IFERROR(__xludf.DUMMYFUNCTION("""COMPUTED_VALUE"""),"SPE HGGSP, SPE LLCE AMC")</f>
        <v>SPE HGGSP, SPE LLCE AMC</v>
      </c>
      <c r="N626" s="1" t="str">
        <f ca="1">IFERROR(__xludf.DUMMYFUNCTION("""COMPUTED_VALUE"""),"Fille")</f>
        <v>Fille</v>
      </c>
      <c r="O626" s="1"/>
      <c r="P626" s="1" t="str">
        <f ca="1">IFERROR(__xludf.DUMMYFUNCTION("""COMPUTED_VALUE"""),"SENEGAL")</f>
        <v>SENEGAL</v>
      </c>
      <c r="Q626" s="1"/>
      <c r="R626" s="1" t="str">
        <f ca="1">IFERROR(__xludf.DUMMYFUNCTION("""COMPUTED_VALUE"""),"fatimata.wone@lfjpsaly.org")</f>
        <v>fatimata.wone@lfjpsaly.org</v>
      </c>
      <c r="S626" s="1"/>
      <c r="T626" s="1" t="str">
        <f ca="1">IFERROR(__xludf.DUMMYFUNCTION("""COMPUTED_VALUE"""),"WONE Abdoulaye")</f>
        <v>WONE Abdoulaye</v>
      </c>
      <c r="U626" s="1" t="str">
        <f ca="1">IFERROR(__xludf.DUMMYFUNCTION("""COMPUTED_VALUE"""),"WONE KANE Hawaly Amadou")</f>
        <v>WONE KANE Hawaly Amadou</v>
      </c>
      <c r="V626" s="1" t="str">
        <f ca="1">IFERROR(__xludf.DUMMYFUNCTION("""COMPUTED_VALUE"""),"layewone@hotmail.com")</f>
        <v>layewone@hotmail.com</v>
      </c>
      <c r="W626" s="1" t="str">
        <f ca="1">IFERROR(__xludf.DUMMYFUNCTION("""COMPUTED_VALUE"""),"hawalaye82@gmail.com")</f>
        <v>hawalaye82@gmail.com</v>
      </c>
      <c r="X626" s="1" t="str">
        <f ca="1">IFERROR(__xludf.DUMMYFUNCTION("""COMPUTED_VALUE"""),"+221 77 640 27 05")</f>
        <v>+221 77 640 27 05</v>
      </c>
      <c r="Y626" s="1" t="str">
        <f ca="1">IFERROR(__xludf.DUMMYFUNCTION("""COMPUTED_VALUE"""),"+221 77 792 37 01")</f>
        <v>+221 77 792 37 01</v>
      </c>
      <c r="Z626" s="1"/>
      <c r="AA626" s="1"/>
      <c r="AB626" s="2">
        <f ca="1">IFERROR(__xludf.DUMMYFUNCTION("""COMPUTED_VALUE"""),27261)</f>
        <v>27261</v>
      </c>
      <c r="AC626" s="2">
        <f ca="1">IFERROR(__xludf.DUMMYFUNCTION("""COMPUTED_VALUE"""),30257)</f>
        <v>30257</v>
      </c>
      <c r="AD626" s="1" t="str">
        <f ca="1">IFERROR(__xludf.DUMMYFUNCTION("""COMPUTED_VALUE"""),"PERE")</f>
        <v>PERE</v>
      </c>
      <c r="AE626" s="1" t="str">
        <f ca="1">IFERROR(__xludf.DUMMYFUNCTION("""COMPUTED_VALUE"""),"MERE")</f>
        <v>MERE</v>
      </c>
      <c r="AF626" s="1" t="str">
        <f ca="1">IFERROR(__xludf.DUMMYFUNCTION("""COMPUTED_VALUE"""),"SENEGAL")</f>
        <v>SENEGAL</v>
      </c>
      <c r="AG626" s="1" t="str">
        <f ca="1">IFERROR(__xludf.DUMMYFUNCTION("""COMPUTED_VALUE"""),"SENEGAL")</f>
        <v>SENEGAL</v>
      </c>
      <c r="AH626" s="1"/>
      <c r="AI626" s="1"/>
      <c r="AJ626" s="1" t="str">
        <f ca="1">IFERROR(__xludf.DUMMYFUNCTION("""COMPUTED_VALUE"""),"F1620")</f>
        <v>F1620</v>
      </c>
      <c r="AK626" s="1" t="str">
        <f ca="1">IFERROR(__xludf.DUMMYFUNCTION("""COMPUTED_VALUE"""),"Marié(e)")</f>
        <v>Marié(e)</v>
      </c>
      <c r="AL626" s="1" t="str">
        <f ca="1">IFERROR(__xludf.DUMMYFUNCTION("""COMPUTED_VALUE"""),"Marié(e)")</f>
        <v>Marié(e)</v>
      </c>
      <c r="AM626" s="1" t="str">
        <f ca="1">IFERROR(__xludf.DUMMYFUNCTION("""COMPUTED_VALUE"""),"F1620")</f>
        <v>F1620</v>
      </c>
    </row>
    <row r="627" spans="1:39" ht="13" x14ac:dyDescent="0.15">
      <c r="A627" s="1" t="str">
        <f ca="1">IFERROR(__xludf.DUMMYFUNCTION("""COMPUTED_VALUE"""),"WONE Oumar")</f>
        <v>WONE Oumar</v>
      </c>
      <c r="B627" s="1" t="str">
        <f ca="1">IFERROR(__xludf.DUMMYFUNCTION("""COMPUTED_VALUE"""),"WONE")</f>
        <v>WONE</v>
      </c>
      <c r="C627" s="1" t="str">
        <f ca="1">IFERROR(__xludf.DUMMYFUNCTION("""COMPUTED_VALUE"""),"Oumar")</f>
        <v>Oumar</v>
      </c>
      <c r="D627" s="1" t="str">
        <f ca="1">IFERROR(__xludf.DUMMYFUNCTION("""COMPUTED_VALUE"""),"1620E3")</f>
        <v>1620E3</v>
      </c>
      <c r="E627" s="2">
        <f ca="1">IFERROR(__xludf.DUMMYFUNCTION("""COMPUTED_VALUE"""),40080)</f>
        <v>40080</v>
      </c>
      <c r="F627" s="1" t="str">
        <f ca="1">IFERROR(__xludf.DUMMYFUNCTION("""COMPUTED_VALUE"""),"1ERE2")</f>
        <v>1ERE2</v>
      </c>
      <c r="G627" s="1" t="str">
        <f ca="1">IFERROR(__xludf.DUMMYFUNCTION("""COMPUTED_VALUE"""),"1ère")</f>
        <v>1ère</v>
      </c>
      <c r="H627" s="1" t="str">
        <f ca="1">IFERROR(__xludf.DUMMYFUNCTION("""COMPUTED_VALUE"""),"Lycée Français Jacques Prévert de Saly » Lycée » 1ère » Générale")</f>
        <v>Lycée Français Jacques Prévert de Saly » Lycée » 1ère » Générale</v>
      </c>
      <c r="I627" s="1" t="str">
        <f ca="1">IFERROR(__xludf.DUMMYFUNCTION("""COMPUTED_VALUE"""),"LVA Anglais")</f>
        <v>LVA Anglais</v>
      </c>
      <c r="J627" s="1" t="str">
        <f ca="1">IFERROR(__xludf.DUMMYFUNCTION("""COMPUTED_VALUE"""),"LVB Espagnol")</f>
        <v>LVB Espagnol</v>
      </c>
      <c r="K627" s="1"/>
      <c r="L627" s="1"/>
      <c r="M627" s="1" t="str">
        <f ca="1">IFERROR(__xludf.DUMMYFUNCTION("""COMPUTED_VALUE"""),"SPE MATHS, SPE SPC, SPE SVT")</f>
        <v>SPE MATHS, SPE SPC, SPE SVT</v>
      </c>
      <c r="N627" s="1" t="str">
        <f ca="1">IFERROR(__xludf.DUMMYFUNCTION("""COMPUTED_VALUE"""),"Garçon")</f>
        <v>Garçon</v>
      </c>
      <c r="O627" s="1"/>
      <c r="P627" s="1" t="str">
        <f ca="1">IFERROR(__xludf.DUMMYFUNCTION("""COMPUTED_VALUE"""),"SENEGAL")</f>
        <v>SENEGAL</v>
      </c>
      <c r="Q627" s="1"/>
      <c r="R627" s="1" t="str">
        <f ca="1">IFERROR(__xludf.DUMMYFUNCTION("""COMPUTED_VALUE"""),"oumar.wone@lfjpsaly.org")</f>
        <v>oumar.wone@lfjpsaly.org</v>
      </c>
      <c r="S627" s="1"/>
      <c r="T627" s="1" t="str">
        <f ca="1">IFERROR(__xludf.DUMMYFUNCTION("""COMPUTED_VALUE"""),"WONE Abdoulaye")</f>
        <v>WONE Abdoulaye</v>
      </c>
      <c r="U627" s="1" t="str">
        <f ca="1">IFERROR(__xludf.DUMMYFUNCTION("""COMPUTED_VALUE"""),"WONE KANE Hawaly Amadou")</f>
        <v>WONE KANE Hawaly Amadou</v>
      </c>
      <c r="V627" s="1" t="str">
        <f ca="1">IFERROR(__xludf.DUMMYFUNCTION("""COMPUTED_VALUE"""),"layewone@hotmail.com")</f>
        <v>layewone@hotmail.com</v>
      </c>
      <c r="W627" s="1" t="str">
        <f ca="1">IFERROR(__xludf.DUMMYFUNCTION("""COMPUTED_VALUE"""),"hawalaye82@gmail.com")</f>
        <v>hawalaye82@gmail.com</v>
      </c>
      <c r="X627" s="1" t="str">
        <f ca="1">IFERROR(__xludf.DUMMYFUNCTION("""COMPUTED_VALUE"""),"+221 77 640 27 05")</f>
        <v>+221 77 640 27 05</v>
      </c>
      <c r="Y627" s="1" t="str">
        <f ca="1">IFERROR(__xludf.DUMMYFUNCTION("""COMPUTED_VALUE"""),"+221 77 792 37 01")</f>
        <v>+221 77 792 37 01</v>
      </c>
      <c r="Z627" s="1"/>
      <c r="AA627" s="1"/>
      <c r="AB627" s="2">
        <f ca="1">IFERROR(__xludf.DUMMYFUNCTION("""COMPUTED_VALUE"""),27261)</f>
        <v>27261</v>
      </c>
      <c r="AC627" s="2">
        <f ca="1">IFERROR(__xludf.DUMMYFUNCTION("""COMPUTED_VALUE"""),30257)</f>
        <v>30257</v>
      </c>
      <c r="AD627" s="1" t="str">
        <f ca="1">IFERROR(__xludf.DUMMYFUNCTION("""COMPUTED_VALUE"""),"PERE")</f>
        <v>PERE</v>
      </c>
      <c r="AE627" s="1" t="str">
        <f ca="1">IFERROR(__xludf.DUMMYFUNCTION("""COMPUTED_VALUE"""),"MERE")</f>
        <v>MERE</v>
      </c>
      <c r="AF627" s="1" t="str">
        <f ca="1">IFERROR(__xludf.DUMMYFUNCTION("""COMPUTED_VALUE"""),"SENEGAL")</f>
        <v>SENEGAL</v>
      </c>
      <c r="AG627" s="1" t="str">
        <f ca="1">IFERROR(__xludf.DUMMYFUNCTION("""COMPUTED_VALUE"""),"SENEGAL")</f>
        <v>SENEGAL</v>
      </c>
      <c r="AH627" s="1"/>
      <c r="AI627" s="1"/>
      <c r="AJ627" s="1" t="str">
        <f ca="1">IFERROR(__xludf.DUMMYFUNCTION("""COMPUTED_VALUE"""),"F1620")</f>
        <v>F1620</v>
      </c>
      <c r="AK627" s="1" t="str">
        <f ca="1">IFERROR(__xludf.DUMMYFUNCTION("""COMPUTED_VALUE"""),"Marié(e)")</f>
        <v>Marié(e)</v>
      </c>
      <c r="AL627" s="1" t="str">
        <f ca="1">IFERROR(__xludf.DUMMYFUNCTION("""COMPUTED_VALUE"""),"Marié(e)")</f>
        <v>Marié(e)</v>
      </c>
      <c r="AM627" s="1" t="str">
        <f ca="1">IFERROR(__xludf.DUMMYFUNCTION("""COMPUTED_VALUE"""),"F1620")</f>
        <v>F1620</v>
      </c>
    </row>
    <row r="628" spans="1:39" ht="13" x14ac:dyDescent="0.15">
      <c r="A628" s="1" t="str">
        <f ca="1">IFERROR(__xludf.DUMMYFUNCTION("""COMPUTED_VALUE"""),"YAO Ayanah")</f>
        <v>YAO Ayanah</v>
      </c>
      <c r="B628" s="1" t="str">
        <f ca="1">IFERROR(__xludf.DUMMYFUNCTION("""COMPUTED_VALUE"""),"YAO")</f>
        <v>YAO</v>
      </c>
      <c r="C628" s="1" t="str">
        <f ca="1">IFERROR(__xludf.DUMMYFUNCTION("""COMPUTED_VALUE"""),"Ayanah")</f>
        <v>Ayanah</v>
      </c>
      <c r="D628" s="1" t="str">
        <f ca="1">IFERROR(__xludf.DUMMYFUNCTION("""COMPUTED_VALUE"""),"1650E2")</f>
        <v>1650E2</v>
      </c>
      <c r="E628" s="2">
        <f ca="1">IFERROR(__xludf.DUMMYFUNCTION("""COMPUTED_VALUE"""),41189)</f>
        <v>41189</v>
      </c>
      <c r="F628" s="1" t="str">
        <f ca="1">IFERROR(__xludf.DUMMYFUNCTION("""COMPUTED_VALUE"""),"4EME2")</f>
        <v>4EME2</v>
      </c>
      <c r="G628" s="1" t="str">
        <f ca="1">IFERROR(__xludf.DUMMYFUNCTION("""COMPUTED_VALUE"""),"4ème")</f>
        <v>4ème</v>
      </c>
      <c r="H628" s="1" t="str">
        <f ca="1">IFERROR(__xludf.DUMMYFUNCTION("""COMPUTED_VALUE"""),"Lycée Français Jacques Prévert de Saly » Collège » 4ème » Générale")</f>
        <v>Lycée Français Jacques Prévert de Saly » Collège » 4ème » Générale</v>
      </c>
      <c r="I628" s="1" t="str">
        <f ca="1">IFERROR(__xludf.DUMMYFUNCTION("""COMPUTED_VALUE"""),"LVA Anglais")</f>
        <v>LVA Anglais</v>
      </c>
      <c r="J628" s="1" t="str">
        <f ca="1">IFERROR(__xludf.DUMMYFUNCTION("""COMPUTED_VALUE"""),"LVB Espagnol")</f>
        <v>LVB Espagnol</v>
      </c>
      <c r="K628" s="1"/>
      <c r="L628" s="1"/>
      <c r="M628" s="1"/>
      <c r="N628" s="1" t="str">
        <f ca="1">IFERROR(__xludf.DUMMYFUNCTION("""COMPUTED_VALUE"""),"Fille")</f>
        <v>Fille</v>
      </c>
      <c r="O628" s="1"/>
      <c r="P628" s="1" t="str">
        <f ca="1">IFERROR(__xludf.DUMMYFUNCTION("""COMPUTED_VALUE"""),"FRANCE")</f>
        <v>FRANCE</v>
      </c>
      <c r="Q628" s="1"/>
      <c r="R628" s="1" t="str">
        <f ca="1">IFERROR(__xludf.DUMMYFUNCTION("""COMPUTED_VALUE"""),"ayanah.yao@lfjpsaly.org")</f>
        <v>ayanah.yao@lfjpsaly.org</v>
      </c>
      <c r="S628" s="1" t="str">
        <f ca="1">IFERROR(__xludf.DUMMYFUNCTION("""COMPUTED_VALUE"""),"+221 78 011 88 21")</f>
        <v>+221 78 011 88 21</v>
      </c>
      <c r="T628" s="1" t="str">
        <f ca="1">IFERROR(__xludf.DUMMYFUNCTION("""COMPUTED_VALUE"""),"TOURE Barbara Keita")</f>
        <v>TOURE Barbara Keita</v>
      </c>
      <c r="U628" s="1" t="str">
        <f ca="1">IFERROR(__xludf.DUMMYFUNCTION("""COMPUTED_VALUE"""),"YAO Eric")</f>
        <v>YAO Eric</v>
      </c>
      <c r="V628" s="1" t="str">
        <f ca="1">IFERROR(__xludf.DUMMYFUNCTION("""COMPUTED_VALUE"""),"globalranksas@gmail.com")</f>
        <v>globalranksas@gmail.com</v>
      </c>
      <c r="W628" s="1" t="str">
        <f ca="1">IFERROR(__xludf.DUMMYFUNCTION("""COMPUTED_VALUE"""),"erickyao225@gmail.com")</f>
        <v>erickyao225@gmail.com</v>
      </c>
      <c r="X628" s="1" t="str">
        <f ca="1">IFERROR(__xludf.DUMMYFUNCTION("""COMPUTED_VALUE"""),"+221 78 011 88 21")</f>
        <v>+221 78 011 88 21</v>
      </c>
      <c r="Y628" s="1" t="str">
        <f ca="1">IFERROR(__xludf.DUMMYFUNCTION("""COMPUTED_VALUE"""),"+33 6 60 41 95 65")</f>
        <v>+33 6 60 41 95 65</v>
      </c>
      <c r="Z628" s="1" t="str">
        <f ca="1">IFERROR(__xludf.DUMMYFUNCTION("""COMPUTED_VALUE"""),"+33 6 70 54 50 22")</f>
        <v>+33 6 70 54 50 22</v>
      </c>
      <c r="AA628" s="1" t="str">
        <f ca="1">IFERROR(__xludf.DUMMYFUNCTION("""COMPUTED_VALUE"""),"+221")</f>
        <v>+221</v>
      </c>
      <c r="AB628" s="2">
        <f ca="1">IFERROR(__xludf.DUMMYFUNCTION("""COMPUTED_VALUE"""),34194)</f>
        <v>34194</v>
      </c>
      <c r="AC628" s="2">
        <f ca="1">IFERROR(__xludf.DUMMYFUNCTION("""COMPUTED_VALUE"""),31649)</f>
        <v>31649</v>
      </c>
      <c r="AD628" s="1" t="str">
        <f ca="1">IFERROR(__xludf.DUMMYFUNCTION("""COMPUTED_VALUE"""),"MERE")</f>
        <v>MERE</v>
      </c>
      <c r="AE628" s="1" t="str">
        <f ca="1">IFERROR(__xludf.DUMMYFUNCTION("""COMPUTED_VALUE"""),"PERE")</f>
        <v>PERE</v>
      </c>
      <c r="AF628" s="1" t="str">
        <f ca="1">IFERROR(__xludf.DUMMYFUNCTION("""COMPUTED_VALUE"""),"FRANCE")</f>
        <v>FRANCE</v>
      </c>
      <c r="AG628" s="1" t="str">
        <f ca="1">IFERROR(__xludf.DUMMYFUNCTION("""COMPUTED_VALUE"""),"FRANCE")</f>
        <v>FRANCE</v>
      </c>
      <c r="AH628" s="1" t="str">
        <f ca="1">IFERROR(__xludf.DUMMYFUNCTION("""COMPUTED_VALUE"""),"SENEGAL")</f>
        <v>SENEGAL</v>
      </c>
      <c r="AI628" s="1"/>
      <c r="AJ628" s="1" t="str">
        <f ca="1">IFERROR(__xludf.DUMMYFUNCTION("""COMPUTED_VALUE"""),"F1650")</f>
        <v>F1650</v>
      </c>
      <c r="AK628" s="1" t="str">
        <f ca="1">IFERROR(__xludf.DUMMYFUNCTION("""COMPUTED_VALUE"""),"Célibataire")</f>
        <v>Célibataire</v>
      </c>
      <c r="AL628" s="1" t="str">
        <f ca="1">IFERROR(__xludf.DUMMYFUNCTION("""COMPUTED_VALUE"""),"Séparé(e)")</f>
        <v>Séparé(e)</v>
      </c>
      <c r="AM628" s="1" t="str">
        <f ca="1">IFERROR(__xludf.DUMMYFUNCTION("""COMPUTED_VALUE"""),"F1650")</f>
        <v>F1650</v>
      </c>
    </row>
    <row r="629" spans="1:39" ht="13" x14ac:dyDescent="0.15">
      <c r="A629" s="1" t="str">
        <f ca="1">IFERROR(__xludf.DUMMYFUNCTION("""COMPUTED_VALUE"""),"YAZDINEJAD Milla")</f>
        <v>YAZDINEJAD Milla</v>
      </c>
      <c r="B629" s="1" t="str">
        <f ca="1">IFERROR(__xludf.DUMMYFUNCTION("""COMPUTED_VALUE"""),"YAZDINEJAD")</f>
        <v>YAZDINEJAD</v>
      </c>
      <c r="C629" s="1" t="str">
        <f ca="1">IFERROR(__xludf.DUMMYFUNCTION("""COMPUTED_VALUE"""),"Milla")</f>
        <v>Milla</v>
      </c>
      <c r="D629" s="1" t="str">
        <f ca="1">IFERROR(__xludf.DUMMYFUNCTION("""COMPUTED_VALUE"""),"1699E1")</f>
        <v>1699E1</v>
      </c>
      <c r="E629" s="2">
        <f ca="1">IFERROR(__xludf.DUMMYFUNCTION("""COMPUTED_VALUE"""),42338)</f>
        <v>42338</v>
      </c>
      <c r="F629" s="1" t="str">
        <f ca="1">IFERROR(__xludf.DUMMYFUNCTION("""COMPUTED_VALUE"""),"CM2A")</f>
        <v>CM2A</v>
      </c>
      <c r="G629" s="1" t="str">
        <f ca="1">IFERROR(__xludf.DUMMYFUNCTION("""COMPUTED_VALUE"""),"CM2")</f>
        <v>CM2</v>
      </c>
      <c r="H629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629" s="1"/>
      <c r="J629" s="1"/>
      <c r="K629" s="1"/>
      <c r="L629" s="1"/>
      <c r="M629" s="1"/>
      <c r="N629" s="1" t="str">
        <f ca="1">IFERROR(__xludf.DUMMYFUNCTION("""COMPUTED_VALUE"""),"Fille")</f>
        <v>Fille</v>
      </c>
      <c r="O629" s="1"/>
      <c r="P629" s="1" t="str">
        <f ca="1">IFERROR(__xludf.DUMMYFUNCTION("""COMPUTED_VALUE"""),"FRANCE")</f>
        <v>FRANCE</v>
      </c>
      <c r="Q629" s="1"/>
      <c r="R629" s="1"/>
      <c r="S629" s="1"/>
      <c r="T629" s="1" t="str">
        <f ca="1">IFERROR(__xludf.DUMMYFUNCTION("""COMPUTED_VALUE"""),"YAZDINEJAD Kambiz")</f>
        <v>YAZDINEJAD Kambiz</v>
      </c>
      <c r="U629" s="1" t="str">
        <f ca="1">IFERROR(__xludf.DUMMYFUNCTION("""COMPUTED_VALUE"""),"YAZDINEJAD Edmée")</f>
        <v>YAZDINEJAD Edmée</v>
      </c>
      <c r="V629" s="1" t="str">
        <f ca="1">IFERROR(__xludf.DUMMYFUNCTION("""COMPUTED_VALUE"""),"jyazdinejad@live.fr")</f>
        <v>jyazdinejad@live.fr</v>
      </c>
      <c r="W629" s="1" t="str">
        <f ca="1">IFERROR(__xludf.DUMMYFUNCTION("""COMPUTED_VALUE"""),"edmee.venault@hotmail.fr")</f>
        <v>edmee.venault@hotmail.fr</v>
      </c>
      <c r="X629" s="1" t="str">
        <f ca="1">IFERROR(__xludf.DUMMYFUNCTION("""COMPUTED_VALUE"""),"+33 6 16 40 59 16")</f>
        <v>+33 6 16 40 59 16</v>
      </c>
      <c r="Y629" s="1" t="str">
        <f ca="1">IFERROR(__xludf.DUMMYFUNCTION("""COMPUTED_VALUE"""),"+33 6 61 03 83 21")</f>
        <v>+33 6 61 03 83 21</v>
      </c>
      <c r="Z629" s="1" t="str">
        <f ca="1">IFERROR(__xludf.DUMMYFUNCTION("""COMPUTED_VALUE"""),"+221 78 811 27 55")</f>
        <v>+221 78 811 27 55</v>
      </c>
      <c r="AA629" s="1" t="str">
        <f ca="1">IFERROR(__xludf.DUMMYFUNCTION("""COMPUTED_VALUE"""),"+221 78 995 91 12")</f>
        <v>+221 78 995 91 12</v>
      </c>
      <c r="AB629" s="2">
        <f ca="1">IFERROR(__xludf.DUMMYFUNCTION("""COMPUTED_VALUE"""),31367)</f>
        <v>31367</v>
      </c>
      <c r="AC629" s="2">
        <f ca="1">IFERROR(__xludf.DUMMYFUNCTION("""COMPUTED_VALUE"""),32817)</f>
        <v>32817</v>
      </c>
      <c r="AD629" s="1" t="str">
        <f ca="1">IFERROR(__xludf.DUMMYFUNCTION("""COMPUTED_VALUE"""),"PERE")</f>
        <v>PERE</v>
      </c>
      <c r="AE629" s="1" t="str">
        <f ca="1">IFERROR(__xludf.DUMMYFUNCTION("""COMPUTED_VALUE"""),"MERE")</f>
        <v>MERE</v>
      </c>
      <c r="AF629" s="1" t="str">
        <f ca="1">IFERROR(__xludf.DUMMYFUNCTION("""COMPUTED_VALUE"""),"FRANCE")</f>
        <v>FRANCE</v>
      </c>
      <c r="AG629" s="1" t="str">
        <f ca="1">IFERROR(__xludf.DUMMYFUNCTION("""COMPUTED_VALUE"""),"FRANCE")</f>
        <v>FRANCE</v>
      </c>
      <c r="AH629" s="1"/>
      <c r="AI629" s="1"/>
      <c r="AJ629" s="1" t="str">
        <f ca="1">IFERROR(__xludf.DUMMYFUNCTION("""COMPUTED_VALUE"""),"F1699")</f>
        <v>F1699</v>
      </c>
      <c r="AK629" s="1" t="str">
        <f ca="1">IFERROR(__xludf.DUMMYFUNCTION("""COMPUTED_VALUE"""),"Marié(e)")</f>
        <v>Marié(e)</v>
      </c>
      <c r="AL629" s="1" t="str">
        <f ca="1">IFERROR(__xludf.DUMMYFUNCTION("""COMPUTED_VALUE"""),"Marié(e)")</f>
        <v>Marié(e)</v>
      </c>
      <c r="AM629" s="1" t="str">
        <f ca="1">IFERROR(__xludf.DUMMYFUNCTION("""COMPUTED_VALUE"""),"F1699")</f>
        <v>F1699</v>
      </c>
    </row>
    <row r="630" spans="1:39" ht="13" x14ac:dyDescent="0.15">
      <c r="A630" s="1" t="str">
        <f ca="1">IFERROR(__xludf.DUMMYFUNCTION("""COMPUTED_VALUE"""),"YAZDINEJAD Nahel")</f>
        <v>YAZDINEJAD Nahel</v>
      </c>
      <c r="B630" s="1" t="str">
        <f ca="1">IFERROR(__xludf.DUMMYFUNCTION("""COMPUTED_VALUE"""),"YAZDINEJAD")</f>
        <v>YAZDINEJAD</v>
      </c>
      <c r="C630" s="1" t="str">
        <f ca="1">IFERROR(__xludf.DUMMYFUNCTION("""COMPUTED_VALUE"""),"Nahel")</f>
        <v>Nahel</v>
      </c>
      <c r="D630" s="1" t="str">
        <f ca="1">IFERROR(__xludf.DUMMYFUNCTION("""COMPUTED_VALUE"""),"1699E2")</f>
        <v>1699E2</v>
      </c>
      <c r="E630" s="2">
        <f ca="1">IFERROR(__xludf.DUMMYFUNCTION("""COMPUTED_VALUE"""),42700)</f>
        <v>42700</v>
      </c>
      <c r="F630" s="1" t="str">
        <f ca="1">IFERROR(__xludf.DUMMYFUNCTION("""COMPUTED_VALUE"""),"CM1B")</f>
        <v>CM1B</v>
      </c>
      <c r="G630" s="1" t="str">
        <f ca="1">IFERROR(__xludf.DUMMYFUNCTION("""COMPUTED_VALUE"""),"CM1")</f>
        <v>CM1</v>
      </c>
      <c r="H630" s="1" t="str">
        <f ca="1">IFERROR(__xludf.DUMMYFUNCTION("""COMPUTED_VALUE"""),"Lycée Français Jacques Prévert de Saly » Elémentaire » CM1 » Générale")</f>
        <v>Lycée Français Jacques Prévert de Saly » Elémentaire » CM1 » Générale</v>
      </c>
      <c r="I630" s="1"/>
      <c r="J630" s="1"/>
      <c r="K630" s="1"/>
      <c r="L630" s="1"/>
      <c r="M630" s="1"/>
      <c r="N630" s="1" t="str">
        <f ca="1">IFERROR(__xludf.DUMMYFUNCTION("""COMPUTED_VALUE"""),"Garçon")</f>
        <v>Garçon</v>
      </c>
      <c r="O630" s="1"/>
      <c r="P630" s="1" t="str">
        <f ca="1">IFERROR(__xludf.DUMMYFUNCTION("""COMPUTED_VALUE"""),"FRANCE")</f>
        <v>FRANCE</v>
      </c>
      <c r="Q630" s="1"/>
      <c r="R630" s="1"/>
      <c r="S630" s="1"/>
      <c r="T630" s="1" t="str">
        <f ca="1">IFERROR(__xludf.DUMMYFUNCTION("""COMPUTED_VALUE"""),"YAZDINEJAD Kambiz")</f>
        <v>YAZDINEJAD Kambiz</v>
      </c>
      <c r="U630" s="1" t="str">
        <f ca="1">IFERROR(__xludf.DUMMYFUNCTION("""COMPUTED_VALUE"""),"YAZDINEJAD Edmée")</f>
        <v>YAZDINEJAD Edmée</v>
      </c>
      <c r="V630" s="1" t="str">
        <f ca="1">IFERROR(__xludf.DUMMYFUNCTION("""COMPUTED_VALUE"""),"jyazdinejad@live.fr")</f>
        <v>jyazdinejad@live.fr</v>
      </c>
      <c r="W630" s="1" t="str">
        <f ca="1">IFERROR(__xludf.DUMMYFUNCTION("""COMPUTED_VALUE"""),"edmee.venault@hotmail.fr")</f>
        <v>edmee.venault@hotmail.fr</v>
      </c>
      <c r="X630" s="1" t="str">
        <f ca="1">IFERROR(__xludf.DUMMYFUNCTION("""COMPUTED_VALUE"""),"+33 6 16 40 59 16")</f>
        <v>+33 6 16 40 59 16</v>
      </c>
      <c r="Y630" s="1" t="str">
        <f ca="1">IFERROR(__xludf.DUMMYFUNCTION("""COMPUTED_VALUE"""),"+33 6 61 03 83 21")</f>
        <v>+33 6 61 03 83 21</v>
      </c>
      <c r="Z630" s="1" t="str">
        <f ca="1">IFERROR(__xludf.DUMMYFUNCTION("""COMPUTED_VALUE"""),"+221 78 811 27 55")</f>
        <v>+221 78 811 27 55</v>
      </c>
      <c r="AA630" s="1" t="str">
        <f ca="1">IFERROR(__xludf.DUMMYFUNCTION("""COMPUTED_VALUE"""),"+221 78 995 91 12")</f>
        <v>+221 78 995 91 12</v>
      </c>
      <c r="AB630" s="2">
        <f ca="1">IFERROR(__xludf.DUMMYFUNCTION("""COMPUTED_VALUE"""),31367)</f>
        <v>31367</v>
      </c>
      <c r="AC630" s="2">
        <f ca="1">IFERROR(__xludf.DUMMYFUNCTION("""COMPUTED_VALUE"""),32817)</f>
        <v>32817</v>
      </c>
      <c r="AD630" s="1" t="str">
        <f ca="1">IFERROR(__xludf.DUMMYFUNCTION("""COMPUTED_VALUE"""),"PERE")</f>
        <v>PERE</v>
      </c>
      <c r="AE630" s="1" t="str">
        <f ca="1">IFERROR(__xludf.DUMMYFUNCTION("""COMPUTED_VALUE"""),"MERE")</f>
        <v>MERE</v>
      </c>
      <c r="AF630" s="1" t="str">
        <f ca="1">IFERROR(__xludf.DUMMYFUNCTION("""COMPUTED_VALUE"""),"FRANCE")</f>
        <v>FRANCE</v>
      </c>
      <c r="AG630" s="1" t="str">
        <f ca="1">IFERROR(__xludf.DUMMYFUNCTION("""COMPUTED_VALUE"""),"FRANCE")</f>
        <v>FRANCE</v>
      </c>
      <c r="AH630" s="1"/>
      <c r="AI630" s="1"/>
      <c r="AJ630" s="1" t="str">
        <f ca="1">IFERROR(__xludf.DUMMYFUNCTION("""COMPUTED_VALUE"""),"F1699")</f>
        <v>F1699</v>
      </c>
      <c r="AK630" s="1" t="str">
        <f ca="1">IFERROR(__xludf.DUMMYFUNCTION("""COMPUTED_VALUE"""),"Marié(e)")</f>
        <v>Marié(e)</v>
      </c>
      <c r="AL630" s="1" t="str">
        <f ca="1">IFERROR(__xludf.DUMMYFUNCTION("""COMPUTED_VALUE"""),"Marié(e)")</f>
        <v>Marié(e)</v>
      </c>
      <c r="AM630" s="1" t="str">
        <f ca="1">IFERROR(__xludf.DUMMYFUNCTION("""COMPUTED_VALUE"""),"F1699")</f>
        <v>F1699</v>
      </c>
    </row>
    <row r="631" spans="1:39" ht="13" x14ac:dyDescent="0.15">
      <c r="A631" s="1" t="str">
        <f ca="1">IFERROR(__xludf.DUMMYFUNCTION("""COMPUTED_VALUE"""),"YEROCHEWSKI Yelen Sophie Marie")</f>
        <v>YEROCHEWSKI Yelen Sophie Marie</v>
      </c>
      <c r="B631" s="1" t="str">
        <f ca="1">IFERROR(__xludf.DUMMYFUNCTION("""COMPUTED_VALUE"""),"YEROCHEWSKI")</f>
        <v>YEROCHEWSKI</v>
      </c>
      <c r="C631" s="1" t="str">
        <f ca="1">IFERROR(__xludf.DUMMYFUNCTION("""COMPUTED_VALUE"""),"Yelen Sophie Marie")</f>
        <v>Yelen Sophie Marie</v>
      </c>
      <c r="D631" s="1" t="str">
        <f ca="1">IFERROR(__xludf.DUMMYFUNCTION("""COMPUTED_VALUE"""),"1622E1")</f>
        <v>1622E1</v>
      </c>
      <c r="E631" s="2">
        <f ca="1">IFERROR(__xludf.DUMMYFUNCTION("""COMPUTED_VALUE"""),40400)</f>
        <v>40400</v>
      </c>
      <c r="F631" s="1" t="str">
        <f ca="1">IFERROR(__xludf.DUMMYFUNCTION("""COMPUTED_VALUE"""),"3EME1")</f>
        <v>3EME1</v>
      </c>
      <c r="G631" s="1" t="str">
        <f ca="1">IFERROR(__xludf.DUMMYFUNCTION("""COMPUTED_VALUE"""),"3ème")</f>
        <v>3ème</v>
      </c>
      <c r="H631" s="1" t="str">
        <f ca="1">IFERROR(__xludf.DUMMYFUNCTION("""COMPUTED_VALUE"""),"Lycée Français Jacques Prévert de Saly » Collège » 3ème » Générale")</f>
        <v>Lycée Français Jacques Prévert de Saly » Collège » 3ème » Générale</v>
      </c>
      <c r="I631" s="1" t="str">
        <f ca="1">IFERROR(__xludf.DUMMYFUNCTION("""COMPUTED_VALUE"""),"LVA Anglais")</f>
        <v>LVA Anglais</v>
      </c>
      <c r="J631" s="1" t="str">
        <f ca="1">IFERROR(__xludf.DUMMYFUNCTION("""COMPUTED_VALUE"""),"LVB Espagnol")</f>
        <v>LVB Espagnol</v>
      </c>
      <c r="K631" s="1"/>
      <c r="L631" s="1"/>
      <c r="M631" s="1"/>
      <c r="N631" s="1" t="str">
        <f ca="1">IFERROR(__xludf.DUMMYFUNCTION("""COMPUTED_VALUE"""),"Fille")</f>
        <v>Fille</v>
      </c>
      <c r="O631" s="1"/>
      <c r="P631" s="1" t="str">
        <f ca="1">IFERROR(__xludf.DUMMYFUNCTION("""COMPUTED_VALUE"""),"FRANCE")</f>
        <v>FRANCE</v>
      </c>
      <c r="Q631" s="1" t="str">
        <f ca="1">IFERROR(__xludf.DUMMYFUNCTION("""COMPUTED_VALUE"""),"SENEGAL")</f>
        <v>SENEGAL</v>
      </c>
      <c r="R631" s="1" t="str">
        <f ca="1">IFERROR(__xludf.DUMMYFUNCTION("""COMPUTED_VALUE"""),"yelen.yerochewski@lfjpsaly.org")</f>
        <v>yelen.yerochewski@lfjpsaly.org</v>
      </c>
      <c r="S631" s="1"/>
      <c r="T631" s="1" t="str">
        <f ca="1">IFERROR(__xludf.DUMMYFUNCTION("""COMPUTED_VALUE"""),"NDIOGOYE Sophie")</f>
        <v>NDIOGOYE Sophie</v>
      </c>
      <c r="U631" s="1" t="str">
        <f ca="1">IFERROR(__xludf.DUMMYFUNCTION("""COMPUTED_VALUE"""),"YEROCHEWSKI Gilles Max")</f>
        <v>YEROCHEWSKI Gilles Max</v>
      </c>
      <c r="V631" s="1" t="str">
        <f ca="1">IFERROR(__xludf.DUMMYFUNCTION("""COMPUTED_VALUE"""),"sophiendiogoye@yahoo.fr")</f>
        <v>sophiendiogoye@yahoo.fr</v>
      </c>
      <c r="W631" s="1" t="str">
        <f ca="1">IFERROR(__xludf.DUMMYFUNCTION("""COMPUTED_VALUE"""),"gilles.yero@gmail.com")</f>
        <v>gilles.yero@gmail.com</v>
      </c>
      <c r="X631" s="1" t="str">
        <f ca="1">IFERROR(__xludf.DUMMYFUNCTION("""COMPUTED_VALUE"""),"+221 77 531 79 43")</f>
        <v>+221 77 531 79 43</v>
      </c>
      <c r="Y631" s="1" t="str">
        <f ca="1">IFERROR(__xludf.DUMMYFUNCTION("""COMPUTED_VALUE"""),"+33 6 33 32 39 27")</f>
        <v>+33 6 33 32 39 27</v>
      </c>
      <c r="Z631" s="1" t="str">
        <f ca="1">IFERROR(__xludf.DUMMYFUNCTION("""COMPUTED_VALUE"""),"+221")</f>
        <v>+221</v>
      </c>
      <c r="AA631" s="1" t="str">
        <f ca="1">IFERROR(__xludf.DUMMYFUNCTION("""COMPUTED_VALUE"""),"+221")</f>
        <v>+221</v>
      </c>
      <c r="AB631" s="2">
        <f ca="1">IFERROR(__xludf.DUMMYFUNCTION("""COMPUTED_VALUE"""),27704)</f>
        <v>27704</v>
      </c>
      <c r="AC631" s="2">
        <f ca="1">IFERROR(__xludf.DUMMYFUNCTION("""COMPUTED_VALUE"""),17976)</f>
        <v>17976</v>
      </c>
      <c r="AD631" s="1" t="str">
        <f ca="1">IFERROR(__xludf.DUMMYFUNCTION("""COMPUTED_VALUE"""),"MERE")</f>
        <v>MERE</v>
      </c>
      <c r="AE631" s="1" t="str">
        <f ca="1">IFERROR(__xludf.DUMMYFUNCTION("""COMPUTED_VALUE"""),"PERE")</f>
        <v>PERE</v>
      </c>
      <c r="AF631" s="1" t="str">
        <f ca="1">IFERROR(__xludf.DUMMYFUNCTION("""COMPUTED_VALUE"""),"SENEGAL")</f>
        <v>SENEGAL</v>
      </c>
      <c r="AG631" s="1" t="str">
        <f ca="1">IFERROR(__xludf.DUMMYFUNCTION("""COMPUTED_VALUE"""),"FRANCE")</f>
        <v>FRANCE</v>
      </c>
      <c r="AH631" s="1"/>
      <c r="AI631" s="1"/>
      <c r="AJ631" s="1" t="str">
        <f ca="1">IFERROR(__xludf.DUMMYFUNCTION("""COMPUTED_VALUE"""),"F1622")</f>
        <v>F1622</v>
      </c>
      <c r="AK631" s="1" t="str">
        <f ca="1">IFERROR(__xludf.DUMMYFUNCTION("""COMPUTED_VALUE"""),"Séparé(e)")</f>
        <v>Séparé(e)</v>
      </c>
      <c r="AL631" s="1" t="str">
        <f ca="1">IFERROR(__xludf.DUMMYFUNCTION("""COMPUTED_VALUE"""),"Séparé(e)")</f>
        <v>Séparé(e)</v>
      </c>
      <c r="AM631" s="1" t="str">
        <f ca="1">IFERROR(__xludf.DUMMYFUNCTION("""COMPUTED_VALUE"""),"F1622")</f>
        <v>F1622</v>
      </c>
    </row>
    <row r="632" spans="1:39" ht="13" x14ac:dyDescent="0.15">
      <c r="A632" s="1" t="str">
        <f ca="1">IFERROR(__xludf.DUMMYFUNCTION("""COMPUTED_VALUE"""),"ZAHOTE Ines")</f>
        <v>ZAHOTE Ines</v>
      </c>
      <c r="B632" s="1" t="str">
        <f ca="1">IFERROR(__xludf.DUMMYFUNCTION("""COMPUTED_VALUE"""),"ZAHOTE")</f>
        <v>ZAHOTE</v>
      </c>
      <c r="C632" s="1" t="str">
        <f ca="1">IFERROR(__xludf.DUMMYFUNCTION("""COMPUTED_VALUE"""),"Ines")</f>
        <v>Ines</v>
      </c>
      <c r="D632" s="1" t="str">
        <f ca="1">IFERROR(__xludf.DUMMYFUNCTION("""COMPUTED_VALUE"""),"1623E1")</f>
        <v>1623E1</v>
      </c>
      <c r="E632" s="2">
        <f ca="1">IFERROR(__xludf.DUMMYFUNCTION("""COMPUTED_VALUE"""),42384)</f>
        <v>42384</v>
      </c>
      <c r="F632" s="1" t="str">
        <f ca="1">IFERROR(__xludf.DUMMYFUNCTION("""COMPUTED_VALUE"""),"CM2A")</f>
        <v>CM2A</v>
      </c>
      <c r="G632" s="1" t="str">
        <f ca="1">IFERROR(__xludf.DUMMYFUNCTION("""COMPUTED_VALUE"""),"CM2")</f>
        <v>CM2</v>
      </c>
      <c r="H632" s="1" t="str">
        <f ca="1">IFERROR(__xludf.DUMMYFUNCTION("""COMPUTED_VALUE"""),"Lycée Français Jacques Prévert de Saly » Elémentaire » CM2 » Générale")</f>
        <v>Lycée Français Jacques Prévert de Saly » Elémentaire » CM2 » Générale</v>
      </c>
      <c r="I632" s="1"/>
      <c r="J632" s="1"/>
      <c r="K632" s="1"/>
      <c r="L632" s="1"/>
      <c r="M632" s="1"/>
      <c r="N632" s="1" t="str">
        <f ca="1">IFERROR(__xludf.DUMMYFUNCTION("""COMPUTED_VALUE"""),"Fille")</f>
        <v>Fille</v>
      </c>
      <c r="O632" s="1"/>
      <c r="P632" s="1" t="str">
        <f ca="1">IFERROR(__xludf.DUMMYFUNCTION("""COMPUTED_VALUE"""),"MAROC")</f>
        <v>MAROC</v>
      </c>
      <c r="Q632" s="1"/>
      <c r="R632" s="1"/>
      <c r="S632" s="1" t="str">
        <f ca="1">IFERROR(__xludf.DUMMYFUNCTION("""COMPUTED_VALUE"""),"+221 78 994 34 81")</f>
        <v>+221 78 994 34 81</v>
      </c>
      <c r="T632" s="1" t="str">
        <f ca="1">IFERROR(__xludf.DUMMYFUNCTION("""COMPUTED_VALUE"""),"ZAHOTE Younes")</f>
        <v>ZAHOTE Younes</v>
      </c>
      <c r="U632" s="1" t="str">
        <f ca="1">IFERROR(__xludf.DUMMYFUNCTION("""COMPUTED_VALUE"""),"AFYF Nezha")</f>
        <v>AFYF Nezha</v>
      </c>
      <c r="V632" s="1" t="str">
        <f ca="1">IFERROR(__xludf.DUMMYFUNCTION("""COMPUTED_VALUE"""),"younes.zahote1@gmail.com")</f>
        <v>younes.zahote1@gmail.com</v>
      </c>
      <c r="W632" s="1" t="str">
        <f ca="1">IFERROR(__xludf.DUMMYFUNCTION("""COMPUTED_VALUE"""),"afyf.nezha@gmail.com")</f>
        <v>afyf.nezha@gmail.com</v>
      </c>
      <c r="X632" s="1" t="str">
        <f ca="1">IFERROR(__xludf.DUMMYFUNCTION("""COMPUTED_VALUE"""),"+221 77 099 24 81")</f>
        <v>+221 77 099 24 81</v>
      </c>
      <c r="Y632" s="1" t="str">
        <f ca="1">IFERROR(__xludf.DUMMYFUNCTION("""COMPUTED_VALUE"""),"+33 6 69 22 27 96")</f>
        <v>+33 6 69 22 27 96</v>
      </c>
      <c r="Z632" s="1"/>
      <c r="AA632" s="1"/>
      <c r="AB632" s="2">
        <f ca="1">IFERROR(__xludf.DUMMYFUNCTION("""COMPUTED_VALUE"""),32590)</f>
        <v>32590</v>
      </c>
      <c r="AC632" s="2">
        <f ca="1">IFERROR(__xludf.DUMMYFUNCTION("""COMPUTED_VALUE"""),32327)</f>
        <v>32327</v>
      </c>
      <c r="AD632" s="1" t="str">
        <f ca="1">IFERROR(__xludf.DUMMYFUNCTION("""COMPUTED_VALUE"""),"PERE")</f>
        <v>PERE</v>
      </c>
      <c r="AE632" s="1" t="str">
        <f ca="1">IFERROR(__xludf.DUMMYFUNCTION("""COMPUTED_VALUE"""),"MERE")</f>
        <v>MERE</v>
      </c>
      <c r="AF632" s="1" t="str">
        <f ca="1">IFERROR(__xludf.DUMMYFUNCTION("""COMPUTED_VALUE"""),"MAROC")</f>
        <v>MAROC</v>
      </c>
      <c r="AG632" s="1" t="str">
        <f ca="1">IFERROR(__xludf.DUMMYFUNCTION("""COMPUTED_VALUE"""),"MAROC")</f>
        <v>MAROC</v>
      </c>
      <c r="AH632" s="1"/>
      <c r="AI632" s="1"/>
      <c r="AJ632" s="1" t="str">
        <f ca="1">IFERROR(__xludf.DUMMYFUNCTION("""COMPUTED_VALUE"""),"F1623")</f>
        <v>F1623</v>
      </c>
      <c r="AK632" s="1" t="str">
        <f ca="1">IFERROR(__xludf.DUMMYFUNCTION("""COMPUTED_VALUE"""),"Marié(e)")</f>
        <v>Marié(e)</v>
      </c>
      <c r="AL632" s="1" t="str">
        <f ca="1">IFERROR(__xludf.DUMMYFUNCTION("""COMPUTED_VALUE"""),"Marié(e)")</f>
        <v>Marié(e)</v>
      </c>
      <c r="AM632" s="1" t="str">
        <f ca="1">IFERROR(__xludf.DUMMYFUNCTION("""COMPUTED_VALUE"""),"F1623")</f>
        <v>F1623</v>
      </c>
    </row>
    <row r="633" spans="1:39" ht="13" x14ac:dyDescent="0.15">
      <c r="A633" s="1" t="str">
        <f ca="1">IFERROR(__xludf.DUMMYFUNCTION("""COMPUTED_VALUE"""),"ZAHOTE Mohamed-Taha")</f>
        <v>ZAHOTE Mohamed-Taha</v>
      </c>
      <c r="B633" s="1" t="str">
        <f ca="1">IFERROR(__xludf.DUMMYFUNCTION("""COMPUTED_VALUE"""),"ZAHOTE")</f>
        <v>ZAHOTE</v>
      </c>
      <c r="C633" s="1" t="str">
        <f ca="1">IFERROR(__xludf.DUMMYFUNCTION("""COMPUTED_VALUE"""),"Mohamed-Taha")</f>
        <v>Mohamed-Taha</v>
      </c>
      <c r="D633" s="1" t="str">
        <f ca="1">IFERROR(__xludf.DUMMYFUNCTION("""COMPUTED_VALUE"""),"1623E2")</f>
        <v>1623E2</v>
      </c>
      <c r="E633" s="2">
        <f ca="1">IFERROR(__xludf.DUMMYFUNCTION("""COMPUTED_VALUE"""),41682)</f>
        <v>41682</v>
      </c>
      <c r="F633" s="1" t="str">
        <f ca="1">IFERROR(__xludf.DUMMYFUNCTION("""COMPUTED_VALUE"""),"5EME1")</f>
        <v>5EME1</v>
      </c>
      <c r="G633" s="1" t="str">
        <f ca="1">IFERROR(__xludf.DUMMYFUNCTION("""COMPUTED_VALUE"""),"5ème")</f>
        <v>5ème</v>
      </c>
      <c r="H633" s="1" t="str">
        <f ca="1">IFERROR(__xludf.DUMMYFUNCTION("""COMPUTED_VALUE"""),"Lycée Français Jacques Prévert de Saly » Collège » 5ème » Générale")</f>
        <v>Lycée Français Jacques Prévert de Saly » Collège » 5ème » Générale</v>
      </c>
      <c r="I633" s="1" t="str">
        <f ca="1">IFERROR(__xludf.DUMMYFUNCTION("""COMPUTED_VALUE"""),"LVA Anglais")</f>
        <v>LVA Anglais</v>
      </c>
      <c r="J633" s="1" t="str">
        <f ca="1">IFERROR(__xludf.DUMMYFUNCTION("""COMPUTED_VALUE"""),"LVB Espagnol")</f>
        <v>LVB Espagnol</v>
      </c>
      <c r="K633" s="1"/>
      <c r="L633" s="1"/>
      <c r="M633" s="1"/>
      <c r="N633" s="1" t="str">
        <f ca="1">IFERROR(__xludf.DUMMYFUNCTION("""COMPUTED_VALUE"""),"Garçon")</f>
        <v>Garçon</v>
      </c>
      <c r="O633" s="1"/>
      <c r="P633" s="1" t="str">
        <f ca="1">IFERROR(__xludf.DUMMYFUNCTION("""COMPUTED_VALUE"""),"MAROC")</f>
        <v>MAROC</v>
      </c>
      <c r="Q633" s="1"/>
      <c r="R633" s="1" t="str">
        <f ca="1">IFERROR(__xludf.DUMMYFUNCTION("""COMPUTED_VALUE"""),"mohamed-taha.zahote@lfjpsaly.org")</f>
        <v>mohamed-taha.zahote@lfjpsaly.org</v>
      </c>
      <c r="S633" s="1"/>
      <c r="T633" s="1" t="str">
        <f ca="1">IFERROR(__xludf.DUMMYFUNCTION("""COMPUTED_VALUE"""),"ZAHOTE Younes")</f>
        <v>ZAHOTE Younes</v>
      </c>
      <c r="U633" s="1" t="str">
        <f ca="1">IFERROR(__xludf.DUMMYFUNCTION("""COMPUTED_VALUE"""),"AFYF Nezha")</f>
        <v>AFYF Nezha</v>
      </c>
      <c r="V633" s="1" t="str">
        <f ca="1">IFERROR(__xludf.DUMMYFUNCTION("""COMPUTED_VALUE"""),"younes.zahote1@gmail.com")</f>
        <v>younes.zahote1@gmail.com</v>
      </c>
      <c r="W633" s="1" t="str">
        <f ca="1">IFERROR(__xludf.DUMMYFUNCTION("""COMPUTED_VALUE"""),"afyf.nezha@gmail.com")</f>
        <v>afyf.nezha@gmail.com</v>
      </c>
      <c r="X633" s="1" t="str">
        <f ca="1">IFERROR(__xludf.DUMMYFUNCTION("""COMPUTED_VALUE"""),"+221 77 099 24 81")</f>
        <v>+221 77 099 24 81</v>
      </c>
      <c r="Y633" s="1" t="str">
        <f ca="1">IFERROR(__xludf.DUMMYFUNCTION("""COMPUTED_VALUE"""),"+33 6 69 22 27 96")</f>
        <v>+33 6 69 22 27 96</v>
      </c>
      <c r="Z633" s="1"/>
      <c r="AA633" s="1"/>
      <c r="AB633" s="2">
        <f ca="1">IFERROR(__xludf.DUMMYFUNCTION("""COMPUTED_VALUE"""),32590)</f>
        <v>32590</v>
      </c>
      <c r="AC633" s="2">
        <f ca="1">IFERROR(__xludf.DUMMYFUNCTION("""COMPUTED_VALUE"""),32327)</f>
        <v>32327</v>
      </c>
      <c r="AD633" s="1" t="str">
        <f ca="1">IFERROR(__xludf.DUMMYFUNCTION("""COMPUTED_VALUE"""),"PERE")</f>
        <v>PERE</v>
      </c>
      <c r="AE633" s="1" t="str">
        <f ca="1">IFERROR(__xludf.DUMMYFUNCTION("""COMPUTED_VALUE"""),"MERE")</f>
        <v>MERE</v>
      </c>
      <c r="AF633" s="1" t="str">
        <f ca="1">IFERROR(__xludf.DUMMYFUNCTION("""COMPUTED_VALUE"""),"MAROC")</f>
        <v>MAROC</v>
      </c>
      <c r="AG633" s="1" t="str">
        <f ca="1">IFERROR(__xludf.DUMMYFUNCTION("""COMPUTED_VALUE"""),"MAROC")</f>
        <v>MAROC</v>
      </c>
      <c r="AH633" s="1"/>
      <c r="AI633" s="1"/>
      <c r="AJ633" s="1" t="str">
        <f ca="1">IFERROR(__xludf.DUMMYFUNCTION("""COMPUTED_VALUE"""),"F1623")</f>
        <v>F1623</v>
      </c>
      <c r="AK633" s="1" t="str">
        <f ca="1">IFERROR(__xludf.DUMMYFUNCTION("""COMPUTED_VALUE"""),"Marié(e)")</f>
        <v>Marié(e)</v>
      </c>
      <c r="AL633" s="1" t="str">
        <f ca="1">IFERROR(__xludf.DUMMYFUNCTION("""COMPUTED_VALUE"""),"Marié(e)")</f>
        <v>Marié(e)</v>
      </c>
      <c r="AM633" s="1" t="str">
        <f ca="1">IFERROR(__xludf.DUMMYFUNCTION("""COMPUTED_VALUE"""),"F1623")</f>
        <v>F1623</v>
      </c>
    </row>
    <row r="634" spans="1:39" ht="13" x14ac:dyDescent="0.15">
      <c r="A634" s="1" t="str">
        <f ca="1">IFERROR(__xludf.DUMMYFUNCTION("""COMPUTED_VALUE"""),"ZARB Frédy")</f>
        <v>ZARB Frédy</v>
      </c>
      <c r="B634" s="1" t="str">
        <f ca="1">IFERROR(__xludf.DUMMYFUNCTION("""COMPUTED_VALUE"""),"ZARB")</f>
        <v>ZARB</v>
      </c>
      <c r="C634" s="1" t="str">
        <f ca="1">IFERROR(__xludf.DUMMYFUNCTION("""COMPUTED_VALUE"""),"Frédy")</f>
        <v>Frédy</v>
      </c>
      <c r="D634" s="1" t="str">
        <f ca="1">IFERROR(__xludf.DUMMYFUNCTION("""COMPUTED_VALUE"""),"1624E1")</f>
        <v>1624E1</v>
      </c>
      <c r="E634" s="2">
        <f ca="1">IFERROR(__xludf.DUMMYFUNCTION("""COMPUTED_VALUE"""),39792)</f>
        <v>39792</v>
      </c>
      <c r="F634" s="1" t="str">
        <f ca="1">IFERROR(__xludf.DUMMYFUNCTION("""COMPUTED_VALUE"""),"TERMINALE1")</f>
        <v>TERMINALE1</v>
      </c>
      <c r="G634" s="1" t="str">
        <f ca="1">IFERROR(__xludf.DUMMYFUNCTION("""COMPUTED_VALUE"""),"Terminale")</f>
        <v>Terminale</v>
      </c>
      <c r="H634" s="1" t="str">
        <f ca="1">IFERROR(__xludf.DUMMYFUNCTION("""COMPUTED_VALUE"""),"Lycée Français Jacques Prévert de Saly » Lycée » Terminale » Générale")</f>
        <v>Lycée Français Jacques Prévert de Saly » Lycée » Terminale » Générale</v>
      </c>
      <c r="I634" s="1" t="str">
        <f ca="1">IFERROR(__xludf.DUMMYFUNCTION("""COMPUTED_VALUE"""),"LVA Anglais")</f>
        <v>LVA Anglais</v>
      </c>
      <c r="J634" s="1" t="str">
        <f ca="1">IFERROR(__xludf.DUMMYFUNCTION("""COMPUTED_VALUE"""),"LVB Espagnol")</f>
        <v>LVB Espagnol</v>
      </c>
      <c r="K634" s="1" t="str">
        <f ca="1">IFERROR(__xludf.DUMMYFUNCTION("""COMPUTED_VALUE"""),"MATHS EXPERTES")</f>
        <v>MATHS EXPERTES</v>
      </c>
      <c r="L634" s="1"/>
      <c r="M634" s="1" t="str">
        <f ca="1">IFERROR(__xludf.DUMMYFUNCTION("""COMPUTED_VALUE"""),"SPE MATHS, SPE SPC")</f>
        <v>SPE MATHS, SPE SPC</v>
      </c>
      <c r="N634" s="1" t="str">
        <f ca="1">IFERROR(__xludf.DUMMYFUNCTION("""COMPUTED_VALUE"""),"Garçon")</f>
        <v>Garçon</v>
      </c>
      <c r="O634" s="1"/>
      <c r="P634" s="1" t="str">
        <f ca="1">IFERROR(__xludf.DUMMYFUNCTION("""COMPUTED_VALUE"""),"FRANCE")</f>
        <v>FRANCE</v>
      </c>
      <c r="Q634" s="1"/>
      <c r="R634" s="1" t="str">
        <f ca="1">IFERROR(__xludf.DUMMYFUNCTION("""COMPUTED_VALUE"""),"fredy.zarb@lfjpsaly.org")</f>
        <v>fredy.zarb@lfjpsaly.org</v>
      </c>
      <c r="S634" s="1"/>
      <c r="T634" s="1" t="str">
        <f ca="1">IFERROR(__xludf.DUMMYFUNCTION("""COMPUTED_VALUE"""),"SALL Ndack")</f>
        <v>SALL Ndack</v>
      </c>
      <c r="U634" s="1"/>
      <c r="V634" s="1" t="str">
        <f ca="1">IFERROR(__xludf.DUMMYFUNCTION("""COMPUTED_VALUE"""),"ndacksall@hotmail.com")</f>
        <v>ndacksall@hotmail.com</v>
      </c>
      <c r="W634" s="1"/>
      <c r="X634" s="1" t="str">
        <f ca="1">IFERROR(__xludf.DUMMYFUNCTION("""COMPUTED_VALUE"""),"+221 77 195 65 05")</f>
        <v>+221 77 195 65 05</v>
      </c>
      <c r="Y634" s="1"/>
      <c r="Z634" s="1"/>
      <c r="AA634" s="1"/>
      <c r="AB634" s="2">
        <f ca="1">IFERROR(__xludf.DUMMYFUNCTION("""COMPUTED_VALUE"""),34139)</f>
        <v>34139</v>
      </c>
      <c r="AC634" s="1"/>
      <c r="AD634" s="1" t="str">
        <f ca="1">IFERROR(__xludf.DUMMYFUNCTION("""COMPUTED_VALUE"""),"SŒUR")</f>
        <v>SŒUR</v>
      </c>
      <c r="AE634" s="1"/>
      <c r="AF634" s="1" t="str">
        <f ca="1">IFERROR(__xludf.DUMMYFUNCTION("""COMPUTED_VALUE"""),"SENEGAL")</f>
        <v>SENEGAL</v>
      </c>
      <c r="AG634" s="1"/>
      <c r="AH634" s="1"/>
      <c r="AI634" s="1"/>
      <c r="AJ634" s="1" t="str">
        <f ca="1">IFERROR(__xludf.DUMMYFUNCTION("""COMPUTED_VALUE"""),"F1624")</f>
        <v>F1624</v>
      </c>
      <c r="AK634" s="1" t="str">
        <f ca="1">IFERROR(__xludf.DUMMYFUNCTION("""COMPUTED_VALUE"""),"Célibataire")</f>
        <v>Célibataire</v>
      </c>
      <c r="AL634" s="1"/>
      <c r="AM634" s="1" t="str">
        <f ca="1">IFERROR(__xludf.DUMMYFUNCTION("""COMPUTED_VALUE"""),"F1624")</f>
        <v>F1624</v>
      </c>
    </row>
    <row r="635" spans="1:39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spans="1:39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7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 x14ac:dyDescent="0.15"/>
  <cols>
    <col min="1" max="1" width="26.1640625" customWidth="1"/>
    <col min="2" max="2" width="13.6640625" customWidth="1"/>
    <col min="3" max="3" width="18.1640625" customWidth="1"/>
    <col min="4" max="4" width="64.6640625" customWidth="1"/>
    <col min="5" max="6" width="17.6640625" hidden="1" customWidth="1"/>
    <col min="7" max="7" width="18" hidden="1" customWidth="1"/>
    <col min="8" max="9" width="14.1640625" hidden="1" customWidth="1"/>
    <col min="10" max="10" width="15.6640625" hidden="1" customWidth="1"/>
    <col min="11" max="12" width="22.5" hidden="1" customWidth="1"/>
    <col min="13" max="14" width="12.6640625" hidden="1"/>
  </cols>
  <sheetData>
    <row r="1" spans="1:29" ht="22.5" customHeight="1" x14ac:dyDescent="0.15">
      <c r="A1" s="3" t="s">
        <v>0</v>
      </c>
      <c r="B1" s="4" t="s">
        <v>1</v>
      </c>
      <c r="C1" s="5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22.5" customHeight="1" x14ac:dyDescent="0.15">
      <c r="A2" s="8" t="s">
        <v>15</v>
      </c>
      <c r="B2" s="9" t="s">
        <v>16</v>
      </c>
      <c r="C2" s="5" t="s">
        <v>17</v>
      </c>
      <c r="D2" s="8" t="s">
        <v>18</v>
      </c>
      <c r="E2" s="9" t="s">
        <v>19</v>
      </c>
      <c r="F2" s="9" t="s">
        <v>8</v>
      </c>
      <c r="G2" s="5" t="b">
        <v>1</v>
      </c>
      <c r="H2" s="5" t="b">
        <v>0</v>
      </c>
      <c r="I2" s="5" t="b">
        <v>1</v>
      </c>
      <c r="J2" s="5" t="b">
        <v>0</v>
      </c>
      <c r="K2" s="9" t="s">
        <v>20</v>
      </c>
      <c r="L2" s="9" t="s">
        <v>21</v>
      </c>
      <c r="M2" s="10">
        <v>0.45833333333333331</v>
      </c>
      <c r="N2" s="11" t="s">
        <v>22</v>
      </c>
      <c r="O2" s="9">
        <v>19.5</v>
      </c>
    </row>
    <row r="3" spans="1:29" ht="22.5" customHeight="1" x14ac:dyDescent="0.15">
      <c r="A3" s="8" t="s">
        <v>23</v>
      </c>
      <c r="B3" s="9" t="s">
        <v>24</v>
      </c>
      <c r="C3" s="5" t="s">
        <v>25</v>
      </c>
      <c r="D3" s="8" t="s">
        <v>26</v>
      </c>
      <c r="E3" s="9" t="s">
        <v>27</v>
      </c>
      <c r="F3" s="9" t="s">
        <v>8</v>
      </c>
      <c r="G3" s="5" t="b">
        <v>1</v>
      </c>
      <c r="H3" s="5" t="b">
        <v>0</v>
      </c>
      <c r="I3" s="5" t="b">
        <v>1</v>
      </c>
      <c r="J3" s="5" t="b">
        <v>0</v>
      </c>
      <c r="K3" s="9" t="s">
        <v>28</v>
      </c>
      <c r="L3" s="9" t="s">
        <v>29</v>
      </c>
      <c r="M3" s="10">
        <v>0.45833333333333331</v>
      </c>
      <c r="N3" s="11" t="s">
        <v>30</v>
      </c>
      <c r="O3" s="9">
        <v>16</v>
      </c>
    </row>
    <row r="4" spans="1:29" ht="22.5" customHeight="1" x14ac:dyDescent="0.15">
      <c r="A4" s="8" t="s">
        <v>31</v>
      </c>
      <c r="B4" s="9" t="s">
        <v>24</v>
      </c>
      <c r="C4" s="5" t="s">
        <v>25</v>
      </c>
      <c r="D4" s="8" t="s">
        <v>32</v>
      </c>
      <c r="E4" s="9" t="s">
        <v>33</v>
      </c>
      <c r="F4" s="9" t="s">
        <v>34</v>
      </c>
      <c r="G4" s="5" t="b">
        <v>1</v>
      </c>
      <c r="H4" s="5" t="b">
        <v>0</v>
      </c>
      <c r="I4" s="5" t="b">
        <v>0</v>
      </c>
      <c r="J4" s="5" t="b">
        <v>0</v>
      </c>
      <c r="K4" s="9" t="s">
        <v>35</v>
      </c>
      <c r="L4" s="9" t="s">
        <v>36</v>
      </c>
      <c r="M4" s="10">
        <v>0.45833333333333331</v>
      </c>
      <c r="N4" s="11" t="s">
        <v>37</v>
      </c>
      <c r="O4" s="9">
        <v>15</v>
      </c>
    </row>
    <row r="5" spans="1:29" ht="22.5" customHeight="1" x14ac:dyDescent="0.15">
      <c r="A5" s="8" t="s">
        <v>38</v>
      </c>
      <c r="B5" s="9" t="s">
        <v>24</v>
      </c>
      <c r="C5" s="5" t="s">
        <v>17</v>
      </c>
      <c r="D5" s="8" t="s">
        <v>39</v>
      </c>
      <c r="E5" s="9" t="s">
        <v>19</v>
      </c>
      <c r="F5" s="9" t="s">
        <v>33</v>
      </c>
      <c r="G5" s="5" t="b">
        <v>1</v>
      </c>
      <c r="H5" s="5" t="b">
        <v>0</v>
      </c>
      <c r="I5" s="5" t="b">
        <v>0</v>
      </c>
      <c r="J5" s="5" t="b">
        <v>0</v>
      </c>
      <c r="K5" s="9" t="s">
        <v>40</v>
      </c>
      <c r="L5" s="9" t="s">
        <v>36</v>
      </c>
      <c r="M5" s="10">
        <v>0.45833333333333331</v>
      </c>
      <c r="N5" s="11" t="s">
        <v>41</v>
      </c>
      <c r="O5" s="9"/>
    </row>
    <row r="6" spans="1:29" ht="22.5" customHeight="1" x14ac:dyDescent="0.15">
      <c r="A6" s="8" t="s">
        <v>42</v>
      </c>
      <c r="B6" s="9" t="s">
        <v>16</v>
      </c>
      <c r="C6" s="5" t="s">
        <v>17</v>
      </c>
      <c r="D6" s="8" t="s">
        <v>43</v>
      </c>
      <c r="E6" s="9" t="s">
        <v>19</v>
      </c>
      <c r="F6" s="9" t="s">
        <v>33</v>
      </c>
      <c r="G6" s="5" t="b">
        <v>1</v>
      </c>
      <c r="H6" s="5" t="b">
        <v>0</v>
      </c>
      <c r="I6" s="5" t="b">
        <v>0</v>
      </c>
      <c r="J6" s="5" t="b">
        <v>0</v>
      </c>
      <c r="K6" s="9" t="s">
        <v>20</v>
      </c>
      <c r="L6" s="9" t="s">
        <v>35</v>
      </c>
      <c r="M6" s="10">
        <v>0.45833333333333331</v>
      </c>
      <c r="N6" s="11" t="s">
        <v>44</v>
      </c>
      <c r="O6" s="9"/>
    </row>
    <row r="7" spans="1:29" ht="22.5" customHeight="1" x14ac:dyDescent="0.15">
      <c r="A7" s="8" t="s">
        <v>45</v>
      </c>
      <c r="B7" s="9" t="s">
        <v>24</v>
      </c>
      <c r="C7" s="5" t="s">
        <v>17</v>
      </c>
      <c r="D7" s="8" t="s">
        <v>46</v>
      </c>
      <c r="E7" s="9" t="s">
        <v>19</v>
      </c>
      <c r="F7" s="9" t="s">
        <v>47</v>
      </c>
      <c r="G7" s="5" t="b">
        <v>1</v>
      </c>
      <c r="H7" s="5" t="b">
        <v>0</v>
      </c>
      <c r="I7" s="5" t="b">
        <v>0</v>
      </c>
      <c r="J7" s="5" t="b">
        <v>0</v>
      </c>
      <c r="K7" s="9" t="s">
        <v>40</v>
      </c>
      <c r="L7" s="9" t="s">
        <v>48</v>
      </c>
      <c r="M7" s="10">
        <v>0.47916666666666669</v>
      </c>
      <c r="N7" s="11" t="s">
        <v>41</v>
      </c>
      <c r="O7" s="9">
        <v>15</v>
      </c>
    </row>
    <row r="8" spans="1:29" ht="22.5" customHeight="1" x14ac:dyDescent="0.15">
      <c r="A8" s="8" t="s">
        <v>49</v>
      </c>
      <c r="B8" s="9" t="s">
        <v>24</v>
      </c>
      <c r="C8" s="5" t="s">
        <v>25</v>
      </c>
      <c r="D8" s="8" t="s">
        <v>50</v>
      </c>
      <c r="E8" s="9" t="s">
        <v>27</v>
      </c>
      <c r="F8" s="9" t="s">
        <v>8</v>
      </c>
      <c r="G8" s="5" t="b">
        <v>1</v>
      </c>
      <c r="H8" s="5" t="b">
        <v>0</v>
      </c>
      <c r="I8" s="5" t="b">
        <v>1</v>
      </c>
      <c r="J8" s="5" t="b">
        <v>0</v>
      </c>
      <c r="K8" s="9" t="s">
        <v>51</v>
      </c>
      <c r="L8" s="9" t="s">
        <v>52</v>
      </c>
      <c r="M8" s="10">
        <v>0.47916666666666669</v>
      </c>
      <c r="N8" s="11" t="s">
        <v>22</v>
      </c>
      <c r="O8" s="9">
        <v>20</v>
      </c>
    </row>
    <row r="9" spans="1:29" ht="22.5" customHeight="1" x14ac:dyDescent="0.15">
      <c r="A9" s="8" t="s">
        <v>53</v>
      </c>
      <c r="B9" s="9" t="s">
        <v>16</v>
      </c>
      <c r="C9" s="5" t="s">
        <v>17</v>
      </c>
      <c r="D9" s="8" t="s">
        <v>54</v>
      </c>
      <c r="E9" s="9" t="s">
        <v>19</v>
      </c>
      <c r="F9" s="9" t="s">
        <v>34</v>
      </c>
      <c r="G9" s="5" t="b">
        <v>1</v>
      </c>
      <c r="H9" s="5" t="b">
        <v>0</v>
      </c>
      <c r="I9" s="5" t="b">
        <v>0</v>
      </c>
      <c r="J9" s="5" t="b">
        <v>0</v>
      </c>
      <c r="K9" s="9" t="s">
        <v>20</v>
      </c>
      <c r="L9" s="9" t="s">
        <v>55</v>
      </c>
      <c r="M9" s="10">
        <v>0.47916666666666669</v>
      </c>
      <c r="N9" s="11" t="s">
        <v>30</v>
      </c>
      <c r="O9" s="9">
        <v>19.5</v>
      </c>
    </row>
    <row r="10" spans="1:29" ht="22.5" customHeight="1" x14ac:dyDescent="0.15">
      <c r="A10" s="8" t="s">
        <v>56</v>
      </c>
      <c r="B10" s="9" t="s">
        <v>24</v>
      </c>
      <c r="C10" s="5" t="s">
        <v>25</v>
      </c>
      <c r="D10" s="8" t="s">
        <v>57</v>
      </c>
      <c r="E10" s="9" t="s">
        <v>47</v>
      </c>
      <c r="F10" s="9" t="s">
        <v>27</v>
      </c>
      <c r="G10" s="5" t="b">
        <v>1</v>
      </c>
      <c r="H10" s="5" t="b">
        <v>0</v>
      </c>
      <c r="I10" s="5" t="b">
        <v>0</v>
      </c>
      <c r="J10" s="5" t="b">
        <v>0</v>
      </c>
      <c r="K10" s="9" t="s">
        <v>58</v>
      </c>
      <c r="L10" s="9" t="s">
        <v>59</v>
      </c>
      <c r="M10" s="10">
        <v>0.47916666666666669</v>
      </c>
      <c r="N10" s="11" t="s">
        <v>37</v>
      </c>
      <c r="O10" s="9">
        <v>17.5</v>
      </c>
    </row>
    <row r="11" spans="1:29" ht="22.5" customHeight="1" x14ac:dyDescent="0.15">
      <c r="A11" s="8" t="s">
        <v>60</v>
      </c>
      <c r="B11" s="9" t="s">
        <v>24</v>
      </c>
      <c r="C11" s="5" t="s">
        <v>25</v>
      </c>
      <c r="D11" s="8" t="s">
        <v>61</v>
      </c>
      <c r="E11" s="9" t="s">
        <v>47</v>
      </c>
      <c r="F11" s="9" t="s">
        <v>34</v>
      </c>
      <c r="G11" s="5" t="b">
        <v>1</v>
      </c>
      <c r="H11" s="5" t="b">
        <v>0</v>
      </c>
      <c r="I11" s="5" t="b">
        <v>0</v>
      </c>
      <c r="J11" s="5" t="b">
        <v>0</v>
      </c>
      <c r="K11" s="9" t="s">
        <v>62</v>
      </c>
      <c r="L11" s="9" t="s">
        <v>63</v>
      </c>
      <c r="M11" s="10">
        <v>0.47916666666666669</v>
      </c>
      <c r="N11" s="11" t="s">
        <v>44</v>
      </c>
      <c r="O11" s="9">
        <v>13</v>
      </c>
    </row>
    <row r="12" spans="1:29" ht="22.5" customHeight="1" x14ac:dyDescent="0.15">
      <c r="A12" s="8" t="s">
        <v>64</v>
      </c>
      <c r="B12" s="9" t="s">
        <v>24</v>
      </c>
      <c r="C12" s="5" t="s">
        <v>65</v>
      </c>
      <c r="D12" s="8" t="s">
        <v>66</v>
      </c>
      <c r="E12" s="9" t="s">
        <v>47</v>
      </c>
      <c r="F12" s="9" t="s">
        <v>8</v>
      </c>
      <c r="G12" s="5" t="b">
        <v>1</v>
      </c>
      <c r="H12" s="5" t="b">
        <v>0</v>
      </c>
      <c r="I12" s="5" t="b">
        <v>1</v>
      </c>
      <c r="J12" s="5" t="b">
        <v>0</v>
      </c>
      <c r="K12" s="9" t="s">
        <v>48</v>
      </c>
      <c r="L12" s="9" t="s">
        <v>21</v>
      </c>
      <c r="M12" s="10">
        <v>0.5</v>
      </c>
      <c r="N12" s="11" t="s">
        <v>22</v>
      </c>
      <c r="O12" s="9">
        <v>9.5</v>
      </c>
    </row>
    <row r="13" spans="1:29" ht="22.5" customHeight="1" x14ac:dyDescent="0.15">
      <c r="A13" s="8" t="s">
        <v>67</v>
      </c>
      <c r="B13" s="9" t="s">
        <v>24</v>
      </c>
      <c r="C13" s="5" t="s">
        <v>25</v>
      </c>
      <c r="D13" s="8" t="s">
        <v>68</v>
      </c>
      <c r="E13" s="9" t="s">
        <v>33</v>
      </c>
      <c r="F13" s="9" t="s">
        <v>47</v>
      </c>
      <c r="G13" s="5" t="b">
        <v>1</v>
      </c>
      <c r="H13" s="5" t="b">
        <v>0</v>
      </c>
      <c r="I13" s="5" t="b">
        <v>0</v>
      </c>
      <c r="J13" s="5" t="b">
        <v>0</v>
      </c>
      <c r="K13" s="9" t="s">
        <v>36</v>
      </c>
      <c r="L13" s="9" t="s">
        <v>58</v>
      </c>
      <c r="M13" s="10">
        <v>0.5</v>
      </c>
      <c r="N13" s="11" t="s">
        <v>37</v>
      </c>
      <c r="O13" s="9">
        <v>8</v>
      </c>
    </row>
    <row r="14" spans="1:29" ht="22.5" customHeight="1" x14ac:dyDescent="0.15">
      <c r="A14" s="8" t="s">
        <v>69</v>
      </c>
      <c r="B14" s="9" t="s">
        <v>16</v>
      </c>
      <c r="C14" s="5" t="s">
        <v>25</v>
      </c>
      <c r="D14" s="8" t="s">
        <v>70</v>
      </c>
      <c r="E14" s="9" t="s">
        <v>47</v>
      </c>
      <c r="F14" s="12" t="s">
        <v>9</v>
      </c>
      <c r="G14" s="5" t="b">
        <v>1</v>
      </c>
      <c r="H14" s="5" t="b">
        <v>0</v>
      </c>
      <c r="I14" s="5" t="b">
        <v>0</v>
      </c>
      <c r="J14" s="5" t="b">
        <v>1</v>
      </c>
      <c r="K14" s="9" t="s">
        <v>62</v>
      </c>
      <c r="L14" s="9" t="s">
        <v>71</v>
      </c>
      <c r="M14" s="10">
        <v>0.5</v>
      </c>
      <c r="N14" s="11" t="s">
        <v>44</v>
      </c>
      <c r="O14" s="9">
        <v>19</v>
      </c>
    </row>
    <row r="15" spans="1:29" ht="22.5" customHeight="1" x14ac:dyDescent="0.15">
      <c r="A15" s="8" t="s">
        <v>72</v>
      </c>
      <c r="B15" s="9" t="s">
        <v>16</v>
      </c>
      <c r="C15" s="5" t="s">
        <v>73</v>
      </c>
      <c r="D15" s="8" t="s">
        <v>74</v>
      </c>
      <c r="E15" s="9" t="s">
        <v>47</v>
      </c>
      <c r="F15" s="9" t="s">
        <v>8</v>
      </c>
      <c r="G15" s="5" t="b">
        <v>1</v>
      </c>
      <c r="H15" s="5" t="b">
        <v>0</v>
      </c>
      <c r="I15" s="5" t="b">
        <v>1</v>
      </c>
      <c r="J15" s="5" t="b">
        <v>0</v>
      </c>
      <c r="K15" s="9" t="s">
        <v>58</v>
      </c>
      <c r="L15" s="9" t="s">
        <v>29</v>
      </c>
      <c r="M15" s="10">
        <v>0.5</v>
      </c>
      <c r="N15" s="11" t="s">
        <v>41</v>
      </c>
      <c r="O15" s="9">
        <v>12.5</v>
      </c>
    </row>
    <row r="16" spans="1:29" ht="22.5" customHeight="1" x14ac:dyDescent="0.15">
      <c r="A16" s="8" t="s">
        <v>75</v>
      </c>
      <c r="B16" s="9" t="s">
        <v>16</v>
      </c>
      <c r="C16" s="5" t="s">
        <v>73</v>
      </c>
      <c r="D16" s="8" t="s">
        <v>76</v>
      </c>
      <c r="E16" s="9" t="s">
        <v>77</v>
      </c>
      <c r="F16" s="9" t="s">
        <v>47</v>
      </c>
      <c r="G16" s="5" t="b">
        <v>1</v>
      </c>
      <c r="H16" s="5" t="b">
        <v>0</v>
      </c>
      <c r="I16" s="5" t="b">
        <v>0</v>
      </c>
      <c r="J16" s="5" t="b">
        <v>0</v>
      </c>
      <c r="K16" s="9" t="s">
        <v>78</v>
      </c>
      <c r="L16" s="9" t="s">
        <v>62</v>
      </c>
      <c r="M16" s="10">
        <v>0.5</v>
      </c>
      <c r="N16" s="11" t="s">
        <v>30</v>
      </c>
      <c r="O16" s="9"/>
    </row>
    <row r="17" spans="1:15" ht="22.5" customHeight="1" x14ac:dyDescent="0.15">
      <c r="A17" s="8" t="s">
        <v>79</v>
      </c>
      <c r="B17" s="9" t="s">
        <v>16</v>
      </c>
      <c r="C17" s="5" t="s">
        <v>65</v>
      </c>
      <c r="D17" s="8" t="s">
        <v>80</v>
      </c>
      <c r="E17" s="9" t="s">
        <v>81</v>
      </c>
      <c r="F17" s="9" t="s">
        <v>8</v>
      </c>
      <c r="G17" s="5" t="b">
        <v>1</v>
      </c>
      <c r="H17" s="5" t="b">
        <v>0</v>
      </c>
      <c r="I17" s="5" t="b">
        <v>1</v>
      </c>
      <c r="J17" s="5" t="b">
        <v>0</v>
      </c>
      <c r="K17" s="9" t="s">
        <v>82</v>
      </c>
      <c r="L17" s="9" t="s">
        <v>52</v>
      </c>
      <c r="M17" s="10">
        <v>0.52083333333333337</v>
      </c>
      <c r="N17" s="11" t="s">
        <v>37</v>
      </c>
      <c r="O17" s="9">
        <v>19</v>
      </c>
    </row>
    <row r="18" spans="1:15" ht="22.5" customHeight="1" x14ac:dyDescent="0.15">
      <c r="A18" s="8" t="s">
        <v>83</v>
      </c>
      <c r="B18" s="9" t="s">
        <v>24</v>
      </c>
      <c r="C18" s="5" t="s">
        <v>25</v>
      </c>
      <c r="D18" s="8" t="s">
        <v>84</v>
      </c>
      <c r="E18" s="9" t="s">
        <v>81</v>
      </c>
      <c r="F18" s="9" t="s">
        <v>8</v>
      </c>
      <c r="G18" s="5" t="b">
        <v>1</v>
      </c>
      <c r="H18" s="5" t="b">
        <v>0</v>
      </c>
      <c r="I18" s="5" t="b">
        <v>1</v>
      </c>
      <c r="J18" s="5" t="b">
        <v>0</v>
      </c>
      <c r="K18" s="9" t="s">
        <v>82</v>
      </c>
      <c r="L18" s="9" t="s">
        <v>21</v>
      </c>
      <c r="M18" s="10">
        <v>0.52083333333333337</v>
      </c>
      <c r="N18" s="11" t="s">
        <v>30</v>
      </c>
      <c r="O18" s="9">
        <v>20</v>
      </c>
    </row>
    <row r="19" spans="1:15" ht="22.5" customHeight="1" x14ac:dyDescent="0.15">
      <c r="A19" s="8" t="s">
        <v>85</v>
      </c>
      <c r="B19" s="9" t="s">
        <v>16</v>
      </c>
      <c r="C19" s="5" t="s">
        <v>25</v>
      </c>
      <c r="D19" s="8" t="s">
        <v>86</v>
      </c>
      <c r="E19" s="9" t="s">
        <v>77</v>
      </c>
      <c r="F19" s="9" t="s">
        <v>8</v>
      </c>
      <c r="G19" s="5" t="b">
        <v>1</v>
      </c>
      <c r="H19" s="5" t="b">
        <v>0</v>
      </c>
      <c r="I19" s="5" t="b">
        <v>1</v>
      </c>
      <c r="J19" s="5" t="b">
        <v>0</v>
      </c>
      <c r="K19" s="9" t="s">
        <v>78</v>
      </c>
      <c r="L19" s="9" t="s">
        <v>29</v>
      </c>
      <c r="M19" s="10">
        <v>0.52083333333333337</v>
      </c>
      <c r="N19" s="11" t="s">
        <v>41</v>
      </c>
      <c r="O19" s="9">
        <v>20</v>
      </c>
    </row>
    <row r="20" spans="1:15" ht="22.5" customHeight="1" x14ac:dyDescent="0.15">
      <c r="A20" s="8" t="s">
        <v>87</v>
      </c>
      <c r="B20" s="9" t="s">
        <v>24</v>
      </c>
      <c r="C20" s="5" t="s">
        <v>65</v>
      </c>
      <c r="D20" s="8" t="s">
        <v>88</v>
      </c>
      <c r="E20" s="9" t="s">
        <v>89</v>
      </c>
      <c r="F20" s="9" t="s">
        <v>8</v>
      </c>
      <c r="G20" s="5" t="b">
        <v>1</v>
      </c>
      <c r="H20" s="5" t="b">
        <v>0</v>
      </c>
      <c r="I20" s="5" t="b">
        <v>1</v>
      </c>
      <c r="J20" s="5" t="b">
        <v>0</v>
      </c>
      <c r="K20" s="9" t="s">
        <v>55</v>
      </c>
      <c r="L20" s="9" t="s">
        <v>52</v>
      </c>
      <c r="M20" s="10">
        <v>0.52083333333333337</v>
      </c>
      <c r="N20" s="11" t="s">
        <v>44</v>
      </c>
      <c r="O20" s="9">
        <v>17.5</v>
      </c>
    </row>
    <row r="21" spans="1:15" ht="22.5" customHeight="1" x14ac:dyDescent="0.15">
      <c r="A21" s="8" t="s">
        <v>90</v>
      </c>
      <c r="B21" s="9" t="s">
        <v>16</v>
      </c>
      <c r="C21" s="5" t="s">
        <v>17</v>
      </c>
      <c r="D21" s="8" t="s">
        <v>91</v>
      </c>
      <c r="E21" s="9" t="s">
        <v>19</v>
      </c>
      <c r="F21" s="9" t="s">
        <v>33</v>
      </c>
      <c r="G21" s="5" t="b">
        <v>1</v>
      </c>
      <c r="H21" s="5" t="b">
        <v>0</v>
      </c>
      <c r="I21" s="5" t="b">
        <v>0</v>
      </c>
      <c r="J21" s="5" t="b">
        <v>0</v>
      </c>
      <c r="K21" s="9" t="s">
        <v>20</v>
      </c>
      <c r="L21" s="9" t="s">
        <v>35</v>
      </c>
      <c r="M21" s="10">
        <v>0.52083333333333337</v>
      </c>
      <c r="N21" s="11" t="s">
        <v>22</v>
      </c>
      <c r="O21" s="9">
        <v>16.5</v>
      </c>
    </row>
    <row r="22" spans="1:15" ht="22.5" customHeight="1" x14ac:dyDescent="0.15">
      <c r="A22" s="8" t="s">
        <v>92</v>
      </c>
      <c r="B22" s="9" t="s">
        <v>24</v>
      </c>
      <c r="C22" s="5" t="s">
        <v>65</v>
      </c>
      <c r="D22" s="8" t="s">
        <v>93</v>
      </c>
      <c r="E22" s="9" t="s">
        <v>47</v>
      </c>
      <c r="F22" s="9" t="s">
        <v>34</v>
      </c>
      <c r="G22" s="5" t="b">
        <v>1</v>
      </c>
      <c r="H22" s="5" t="b">
        <v>0</v>
      </c>
      <c r="I22" s="5" t="b">
        <v>0</v>
      </c>
      <c r="J22" s="5" t="b">
        <v>0</v>
      </c>
      <c r="K22" s="9" t="s">
        <v>48</v>
      </c>
      <c r="L22" s="9" t="s">
        <v>63</v>
      </c>
      <c r="M22" s="10">
        <v>0.54166666666666663</v>
      </c>
      <c r="N22" s="11" t="s">
        <v>37</v>
      </c>
      <c r="O22" s="9">
        <v>14</v>
      </c>
    </row>
    <row r="23" spans="1:15" ht="22.5" customHeight="1" x14ac:dyDescent="0.15">
      <c r="A23" s="8" t="s">
        <v>94</v>
      </c>
      <c r="B23" s="9" t="s">
        <v>16</v>
      </c>
      <c r="C23" s="5" t="s">
        <v>17</v>
      </c>
      <c r="D23" s="8" t="s">
        <v>95</v>
      </c>
      <c r="E23" s="9" t="s">
        <v>19</v>
      </c>
      <c r="F23" s="9" t="s">
        <v>47</v>
      </c>
      <c r="G23" s="5" t="b">
        <v>1</v>
      </c>
      <c r="H23" s="5" t="b">
        <v>0</v>
      </c>
      <c r="I23" s="5" t="b">
        <v>0</v>
      </c>
      <c r="J23" s="5" t="b">
        <v>0</v>
      </c>
      <c r="K23" s="9" t="s">
        <v>40</v>
      </c>
      <c r="L23" s="9" t="s">
        <v>62</v>
      </c>
      <c r="M23" s="10">
        <v>0.54166666666666663</v>
      </c>
      <c r="N23" s="11" t="s">
        <v>41</v>
      </c>
      <c r="O23" s="9">
        <v>15</v>
      </c>
    </row>
    <row r="24" spans="1:15" ht="22.5" customHeight="1" x14ac:dyDescent="0.15">
      <c r="A24" s="8" t="s">
        <v>96</v>
      </c>
      <c r="B24" s="9" t="s">
        <v>16</v>
      </c>
      <c r="C24" s="5" t="s">
        <v>17</v>
      </c>
      <c r="D24" s="8" t="s">
        <v>97</v>
      </c>
      <c r="E24" s="9" t="s">
        <v>19</v>
      </c>
      <c r="F24" s="9" t="s">
        <v>27</v>
      </c>
      <c r="G24" s="5" t="b">
        <v>1</v>
      </c>
      <c r="H24" s="5" t="b">
        <v>0</v>
      </c>
      <c r="I24" s="5" t="b">
        <v>0</v>
      </c>
      <c r="J24" s="5" t="b">
        <v>0</v>
      </c>
      <c r="K24" s="9" t="s">
        <v>20</v>
      </c>
      <c r="L24" s="9" t="s">
        <v>59</v>
      </c>
      <c r="M24" s="10">
        <v>0.54166666666666663</v>
      </c>
      <c r="N24" s="11" t="s">
        <v>22</v>
      </c>
      <c r="O24" s="9">
        <v>17</v>
      </c>
    </row>
    <row r="25" spans="1:15" ht="22.5" customHeight="1" x14ac:dyDescent="0.15">
      <c r="A25" s="8" t="s">
        <v>98</v>
      </c>
      <c r="B25" s="9" t="s">
        <v>16</v>
      </c>
      <c r="C25" s="5" t="s">
        <v>17</v>
      </c>
      <c r="D25" s="8" t="s">
        <v>99</v>
      </c>
      <c r="E25" s="9" t="s">
        <v>19</v>
      </c>
      <c r="F25" s="12" t="s">
        <v>9</v>
      </c>
      <c r="G25" s="5" t="b">
        <v>1</v>
      </c>
      <c r="H25" s="5" t="b">
        <v>0</v>
      </c>
      <c r="I25" s="5" t="b">
        <v>0</v>
      </c>
      <c r="J25" s="5" t="b">
        <v>1</v>
      </c>
      <c r="K25" s="9" t="s">
        <v>40</v>
      </c>
      <c r="L25" s="9" t="s">
        <v>100</v>
      </c>
      <c r="M25" s="10">
        <v>0.54166666666666663</v>
      </c>
      <c r="N25" s="11" t="s">
        <v>30</v>
      </c>
      <c r="O25" s="9">
        <v>16.5</v>
      </c>
    </row>
    <row r="26" spans="1:15" ht="22.5" customHeight="1" x14ac:dyDescent="0.15">
      <c r="A26" s="8" t="s">
        <v>101</v>
      </c>
      <c r="B26" s="9" t="s">
        <v>24</v>
      </c>
      <c r="C26" s="5" t="s">
        <v>65</v>
      </c>
      <c r="D26" s="8" t="s">
        <v>102</v>
      </c>
      <c r="E26" s="9" t="s">
        <v>77</v>
      </c>
      <c r="F26" s="9" t="s">
        <v>8</v>
      </c>
      <c r="G26" s="5" t="b">
        <v>1</v>
      </c>
      <c r="H26" s="5" t="b">
        <v>0</v>
      </c>
      <c r="I26" s="5" t="b">
        <v>1</v>
      </c>
      <c r="J26" s="5" t="b">
        <v>0</v>
      </c>
      <c r="K26" s="9" t="s">
        <v>78</v>
      </c>
      <c r="L26" s="9" t="s">
        <v>21</v>
      </c>
      <c r="M26" s="10">
        <v>0.54166666666666663</v>
      </c>
      <c r="N26" s="11" t="s">
        <v>44</v>
      </c>
      <c r="O26" s="9">
        <v>20</v>
      </c>
    </row>
    <row r="27" spans="1:15" ht="22.5" customHeight="1" x14ac:dyDescent="0.15">
      <c r="A27" s="8" t="s">
        <v>103</v>
      </c>
      <c r="B27" s="9" t="s">
        <v>16</v>
      </c>
      <c r="C27" s="5" t="s">
        <v>65</v>
      </c>
      <c r="D27" s="8" t="s">
        <v>104</v>
      </c>
      <c r="E27" s="9" t="s">
        <v>27</v>
      </c>
      <c r="F27" s="9" t="s">
        <v>34</v>
      </c>
      <c r="G27" s="5" t="b">
        <v>1</v>
      </c>
      <c r="H27" s="5" t="b">
        <v>0</v>
      </c>
      <c r="I27" s="5" t="b">
        <v>0</v>
      </c>
      <c r="J27" s="5" t="b">
        <v>0</v>
      </c>
      <c r="K27" s="9" t="s">
        <v>28</v>
      </c>
      <c r="L27" s="9" t="s">
        <v>63</v>
      </c>
      <c r="M27" s="10">
        <v>0.5625</v>
      </c>
      <c r="N27" s="11" t="s">
        <v>41</v>
      </c>
      <c r="O27" s="9">
        <v>15</v>
      </c>
    </row>
    <row r="28" spans="1:15" ht="22.5" customHeight="1" x14ac:dyDescent="0.15">
      <c r="A28" s="8" t="s">
        <v>105</v>
      </c>
      <c r="B28" s="9" t="s">
        <v>24</v>
      </c>
      <c r="C28" s="5" t="s">
        <v>17</v>
      </c>
      <c r="D28" s="8" t="s">
        <v>106</v>
      </c>
      <c r="E28" s="9" t="s">
        <v>19</v>
      </c>
      <c r="F28" s="9" t="s">
        <v>34</v>
      </c>
      <c r="G28" s="5" t="b">
        <v>1</v>
      </c>
      <c r="H28" s="5" t="b">
        <v>0</v>
      </c>
      <c r="I28" s="5" t="b">
        <v>0</v>
      </c>
      <c r="J28" s="5" t="b">
        <v>0</v>
      </c>
      <c r="K28" s="9" t="s">
        <v>40</v>
      </c>
      <c r="L28" s="9" t="s">
        <v>55</v>
      </c>
      <c r="M28" s="10">
        <v>0.5625</v>
      </c>
      <c r="N28" s="11" t="s">
        <v>30</v>
      </c>
      <c r="O28" s="9">
        <v>14</v>
      </c>
    </row>
    <row r="29" spans="1:15" ht="22.5" customHeight="1" x14ac:dyDescent="0.15">
      <c r="A29" s="8" t="s">
        <v>107</v>
      </c>
      <c r="B29" s="9" t="s">
        <v>24</v>
      </c>
      <c r="C29" s="5" t="s">
        <v>17</v>
      </c>
      <c r="D29" s="8" t="s">
        <v>108</v>
      </c>
      <c r="E29" s="9" t="s">
        <v>19</v>
      </c>
      <c r="F29" s="9" t="s">
        <v>34</v>
      </c>
      <c r="G29" s="5" t="b">
        <v>1</v>
      </c>
      <c r="H29" s="5" t="b">
        <v>0</v>
      </c>
      <c r="I29" s="5" t="b">
        <v>0</v>
      </c>
      <c r="J29" s="5" t="b">
        <v>0</v>
      </c>
      <c r="K29" s="9" t="s">
        <v>20</v>
      </c>
      <c r="L29" s="9" t="s">
        <v>36</v>
      </c>
      <c r="M29" s="10">
        <v>0.5625</v>
      </c>
      <c r="N29" s="11" t="s">
        <v>22</v>
      </c>
      <c r="O29" s="9">
        <v>10.5</v>
      </c>
    </row>
    <row r="30" spans="1:15" ht="22.5" customHeight="1" x14ac:dyDescent="0.15">
      <c r="A30" s="8" t="s">
        <v>109</v>
      </c>
      <c r="B30" s="9" t="s">
        <v>24</v>
      </c>
      <c r="C30" s="5" t="s">
        <v>17</v>
      </c>
      <c r="D30" s="8" t="s">
        <v>110</v>
      </c>
      <c r="E30" s="9" t="s">
        <v>19</v>
      </c>
      <c r="F30" s="9" t="s">
        <v>34</v>
      </c>
      <c r="G30" s="5" t="b">
        <v>1</v>
      </c>
      <c r="H30" s="5" t="b">
        <v>0</v>
      </c>
      <c r="I30" s="5" t="b">
        <v>0</v>
      </c>
      <c r="J30" s="5" t="b">
        <v>0</v>
      </c>
      <c r="K30" s="9" t="s">
        <v>40</v>
      </c>
      <c r="L30" s="9" t="s">
        <v>63</v>
      </c>
      <c r="M30" s="10">
        <v>0.5625</v>
      </c>
      <c r="N30" s="11" t="s">
        <v>44</v>
      </c>
      <c r="O30" s="9"/>
    </row>
    <row r="31" spans="1:15" ht="22.5" customHeight="1" x14ac:dyDescent="0.15">
      <c r="A31" s="8" t="s">
        <v>111</v>
      </c>
      <c r="B31" s="9" t="s">
        <v>24</v>
      </c>
      <c r="C31" s="5" t="s">
        <v>17</v>
      </c>
      <c r="D31" s="8" t="s">
        <v>112</v>
      </c>
      <c r="E31" s="9" t="s">
        <v>19</v>
      </c>
      <c r="F31" s="9" t="s">
        <v>47</v>
      </c>
      <c r="G31" s="5" t="b">
        <v>1</v>
      </c>
      <c r="H31" s="5" t="b">
        <v>0</v>
      </c>
      <c r="I31" s="5" t="b">
        <v>1</v>
      </c>
      <c r="J31" s="5" t="b">
        <v>0</v>
      </c>
      <c r="K31" s="9" t="s">
        <v>20</v>
      </c>
      <c r="L31" s="9" t="s">
        <v>55</v>
      </c>
      <c r="M31" s="10">
        <v>0.5625</v>
      </c>
      <c r="N31" s="11" t="s">
        <v>37</v>
      </c>
      <c r="O31" s="9"/>
    </row>
    <row r="32" spans="1:15" ht="22.5" customHeight="1" x14ac:dyDescent="0.15">
      <c r="A32" s="8" t="s">
        <v>113</v>
      </c>
      <c r="B32" s="9" t="s">
        <v>24</v>
      </c>
      <c r="C32" s="5" t="s">
        <v>65</v>
      </c>
      <c r="D32" s="8" t="s">
        <v>114</v>
      </c>
      <c r="E32" s="9" t="s">
        <v>19</v>
      </c>
      <c r="F32" s="9" t="s">
        <v>34</v>
      </c>
      <c r="G32" s="5" t="b">
        <v>1</v>
      </c>
      <c r="H32" s="5" t="b">
        <v>1</v>
      </c>
      <c r="I32" s="5" t="b">
        <v>1</v>
      </c>
      <c r="J32" s="5" t="b">
        <v>0</v>
      </c>
      <c r="K32" s="9" t="s">
        <v>40</v>
      </c>
      <c r="L32" s="9" t="s">
        <v>36</v>
      </c>
      <c r="M32" s="10">
        <v>0.58333333333333337</v>
      </c>
      <c r="N32" s="11" t="s">
        <v>41</v>
      </c>
      <c r="O32" s="9">
        <v>16.5</v>
      </c>
    </row>
    <row r="33" spans="1:15" ht="22.5" customHeight="1" x14ac:dyDescent="0.15">
      <c r="A33" s="8" t="s">
        <v>115</v>
      </c>
      <c r="B33" s="9" t="s">
        <v>16</v>
      </c>
      <c r="C33" s="5" t="s">
        <v>65</v>
      </c>
      <c r="D33" s="8" t="s">
        <v>116</v>
      </c>
      <c r="E33" s="9" t="s">
        <v>89</v>
      </c>
      <c r="F33" s="9" t="s">
        <v>117</v>
      </c>
      <c r="G33" s="5" t="b">
        <v>1</v>
      </c>
      <c r="H33" s="5" t="b">
        <v>0</v>
      </c>
      <c r="I33" s="5" t="b">
        <v>0</v>
      </c>
      <c r="J33" s="5" t="b">
        <v>0</v>
      </c>
      <c r="K33" s="9" t="s">
        <v>55</v>
      </c>
      <c r="L33" s="9" t="s">
        <v>118</v>
      </c>
      <c r="M33" s="10">
        <v>0.58333333333333337</v>
      </c>
      <c r="N33" s="11" t="s">
        <v>22</v>
      </c>
      <c r="O33" s="9">
        <v>14</v>
      </c>
    </row>
    <row r="34" spans="1:15" ht="22.5" customHeight="1" x14ac:dyDescent="0.15">
      <c r="A34" s="8" t="s">
        <v>119</v>
      </c>
      <c r="B34" s="9" t="s">
        <v>16</v>
      </c>
      <c r="C34" s="5" t="s">
        <v>17</v>
      </c>
      <c r="D34" s="8" t="s">
        <v>120</v>
      </c>
      <c r="E34" s="9" t="s">
        <v>19</v>
      </c>
      <c r="F34" s="9" t="s">
        <v>27</v>
      </c>
      <c r="G34" s="5" t="b">
        <v>1</v>
      </c>
      <c r="H34" s="5" t="b">
        <v>0</v>
      </c>
      <c r="I34" s="5" t="b">
        <v>0</v>
      </c>
      <c r="J34" s="5" t="b">
        <v>0</v>
      </c>
      <c r="K34" s="9" t="s">
        <v>20</v>
      </c>
      <c r="L34" s="9" t="s">
        <v>51</v>
      </c>
      <c r="M34" s="10">
        <v>0.58333333333333337</v>
      </c>
      <c r="N34" s="11" t="s">
        <v>30</v>
      </c>
      <c r="O34" s="9">
        <v>11.5</v>
      </c>
    </row>
    <row r="35" spans="1:15" ht="22.5" customHeight="1" x14ac:dyDescent="0.15">
      <c r="A35" s="8" t="s">
        <v>121</v>
      </c>
      <c r="B35" s="9" t="s">
        <v>16</v>
      </c>
      <c r="C35" s="5" t="s">
        <v>17</v>
      </c>
      <c r="D35" s="8" t="s">
        <v>122</v>
      </c>
      <c r="E35" s="9" t="s">
        <v>81</v>
      </c>
      <c r="F35" s="9" t="s">
        <v>33</v>
      </c>
      <c r="G35" s="5" t="b">
        <v>1</v>
      </c>
      <c r="H35" s="5" t="b">
        <v>0</v>
      </c>
      <c r="I35" s="5" t="b">
        <v>0</v>
      </c>
      <c r="J35" s="5" t="b">
        <v>0</v>
      </c>
      <c r="K35" s="9" t="s">
        <v>82</v>
      </c>
      <c r="L35" s="9" t="s">
        <v>35</v>
      </c>
      <c r="M35" s="10">
        <v>0.58333333333333337</v>
      </c>
      <c r="N35" s="11" t="s">
        <v>37</v>
      </c>
      <c r="O35" s="9">
        <v>17.5</v>
      </c>
    </row>
    <row r="36" spans="1:15" ht="22.5" customHeight="1" x14ac:dyDescent="0.15">
      <c r="A36" s="8" t="s">
        <v>123</v>
      </c>
      <c r="B36" s="9" t="s">
        <v>24</v>
      </c>
      <c r="C36" s="5" t="s">
        <v>65</v>
      </c>
      <c r="D36" s="8" t="s">
        <v>124</v>
      </c>
      <c r="E36" s="9" t="s">
        <v>27</v>
      </c>
      <c r="F36" s="9" t="s">
        <v>8</v>
      </c>
      <c r="G36" s="5" t="b">
        <v>1</v>
      </c>
      <c r="H36" s="5" t="b">
        <v>0</v>
      </c>
      <c r="I36" s="5" t="b">
        <v>1</v>
      </c>
      <c r="J36" s="5" t="b">
        <v>0</v>
      </c>
      <c r="K36" s="9" t="s">
        <v>59</v>
      </c>
      <c r="L36" s="9" t="s">
        <v>52</v>
      </c>
      <c r="M36" s="10">
        <v>0.58333333333333337</v>
      </c>
      <c r="N36" s="11" t="s">
        <v>44</v>
      </c>
      <c r="O36" s="9">
        <v>17.5</v>
      </c>
    </row>
    <row r="37" spans="1:15" ht="22.5" customHeight="1" x14ac:dyDescent="0.15">
      <c r="A37" s="8" t="s">
        <v>125</v>
      </c>
      <c r="B37" s="9" t="s">
        <v>24</v>
      </c>
      <c r="C37" s="5" t="s">
        <v>65</v>
      </c>
      <c r="D37" s="8" t="s">
        <v>126</v>
      </c>
      <c r="E37" s="9" t="s">
        <v>27</v>
      </c>
      <c r="F37" s="9" t="s">
        <v>34</v>
      </c>
      <c r="G37" s="5" t="b">
        <v>1</v>
      </c>
      <c r="H37" s="5" t="b">
        <v>0</v>
      </c>
      <c r="I37" s="5" t="b">
        <v>0</v>
      </c>
      <c r="J37" s="5" t="b">
        <v>0</v>
      </c>
      <c r="K37" s="9" t="s">
        <v>28</v>
      </c>
      <c r="L37" s="9" t="s">
        <v>63</v>
      </c>
      <c r="M37" s="10">
        <v>0.60416666666666663</v>
      </c>
      <c r="N37" s="11" t="s">
        <v>41</v>
      </c>
      <c r="O37" s="9">
        <v>13</v>
      </c>
    </row>
    <row r="38" spans="1:15" ht="22.5" customHeight="1" x14ac:dyDescent="0.15">
      <c r="A38" s="8" t="s">
        <v>127</v>
      </c>
      <c r="B38" s="9" t="s">
        <v>16</v>
      </c>
      <c r="C38" s="5" t="s">
        <v>25</v>
      </c>
      <c r="D38" s="8" t="s">
        <v>128</v>
      </c>
      <c r="E38" s="9" t="s">
        <v>47</v>
      </c>
      <c r="F38" s="9" t="s">
        <v>27</v>
      </c>
      <c r="G38" s="5" t="b">
        <v>1</v>
      </c>
      <c r="H38" s="5" t="b">
        <v>0</v>
      </c>
      <c r="I38" s="5" t="b">
        <v>0</v>
      </c>
      <c r="J38" s="5" t="b">
        <v>0</v>
      </c>
      <c r="K38" s="9" t="s">
        <v>48</v>
      </c>
      <c r="L38" s="9" t="s">
        <v>51</v>
      </c>
      <c r="M38" s="10">
        <v>0.60416666666666663</v>
      </c>
      <c r="N38" s="11" t="s">
        <v>22</v>
      </c>
      <c r="O38" s="9">
        <v>17</v>
      </c>
    </row>
    <row r="39" spans="1:15" ht="22.5" customHeight="1" x14ac:dyDescent="0.15">
      <c r="A39" s="8" t="s">
        <v>129</v>
      </c>
      <c r="B39" s="9" t="s">
        <v>16</v>
      </c>
      <c r="C39" s="5" t="s">
        <v>65</v>
      </c>
      <c r="D39" s="8" t="s">
        <v>130</v>
      </c>
      <c r="E39" s="9" t="s">
        <v>27</v>
      </c>
      <c r="F39" s="9" t="s">
        <v>8</v>
      </c>
      <c r="G39" s="5" t="b">
        <v>1</v>
      </c>
      <c r="H39" s="5" t="b">
        <v>0</v>
      </c>
      <c r="I39" s="5" t="b">
        <v>1</v>
      </c>
      <c r="J39" s="5" t="b">
        <v>0</v>
      </c>
      <c r="K39" s="9" t="s">
        <v>59</v>
      </c>
      <c r="L39" s="9" t="s">
        <v>21</v>
      </c>
      <c r="M39" s="10">
        <v>0.60416666666666663</v>
      </c>
      <c r="N39" s="11" t="s">
        <v>37</v>
      </c>
      <c r="O39" s="9">
        <v>20</v>
      </c>
    </row>
    <row r="40" spans="1:15" ht="22.5" customHeight="1" x14ac:dyDescent="0.15">
      <c r="A40" s="8" t="s">
        <v>131</v>
      </c>
      <c r="B40" s="9" t="s">
        <v>24</v>
      </c>
      <c r="C40" s="5" t="s">
        <v>25</v>
      </c>
      <c r="D40" s="8" t="s">
        <v>132</v>
      </c>
      <c r="E40" s="9" t="s">
        <v>47</v>
      </c>
      <c r="F40" s="9" t="s">
        <v>8</v>
      </c>
      <c r="G40" s="5" t="b">
        <v>1</v>
      </c>
      <c r="H40" s="5" t="b">
        <v>0</v>
      </c>
      <c r="I40" s="5" t="b">
        <v>1</v>
      </c>
      <c r="J40" s="5" t="b">
        <v>0</v>
      </c>
      <c r="K40" s="9" t="s">
        <v>58</v>
      </c>
      <c r="L40" s="9" t="s">
        <v>52</v>
      </c>
      <c r="M40" s="10">
        <v>0.60416666666666663</v>
      </c>
      <c r="N40" s="11" t="s">
        <v>44</v>
      </c>
      <c r="O40" s="9">
        <v>19.5</v>
      </c>
    </row>
    <row r="41" spans="1:15" ht="22.5" customHeight="1" x14ac:dyDescent="0.15">
      <c r="A41" s="8" t="s">
        <v>133</v>
      </c>
      <c r="B41" s="9" t="s">
        <v>16</v>
      </c>
      <c r="C41" s="5" t="s">
        <v>65</v>
      </c>
      <c r="D41" s="8" t="s">
        <v>134</v>
      </c>
      <c r="E41" s="9" t="s">
        <v>89</v>
      </c>
      <c r="F41" s="12" t="s">
        <v>9</v>
      </c>
      <c r="G41" s="5" t="b">
        <v>1</v>
      </c>
      <c r="H41" s="5" t="b">
        <v>0</v>
      </c>
      <c r="I41" s="5" t="b">
        <v>0</v>
      </c>
      <c r="J41" s="5" t="b">
        <v>1</v>
      </c>
      <c r="K41" s="9" t="s">
        <v>55</v>
      </c>
      <c r="L41" s="9" t="s">
        <v>100</v>
      </c>
      <c r="M41" s="10">
        <v>0.60416666666666663</v>
      </c>
      <c r="N41" s="11" t="s">
        <v>30</v>
      </c>
      <c r="O41" s="9">
        <v>15</v>
      </c>
    </row>
    <row r="42" spans="1:15" ht="22.5" customHeight="1" x14ac:dyDescent="0.15">
      <c r="A42" s="8" t="s">
        <v>135</v>
      </c>
      <c r="B42" s="9" t="s">
        <v>16</v>
      </c>
      <c r="C42" s="5" t="s">
        <v>25</v>
      </c>
      <c r="D42" s="8" t="s">
        <v>136</v>
      </c>
      <c r="E42" s="9" t="s">
        <v>47</v>
      </c>
      <c r="F42" s="9" t="s">
        <v>8</v>
      </c>
      <c r="G42" s="5" t="b">
        <v>1</v>
      </c>
      <c r="H42" s="5" t="b">
        <v>0</v>
      </c>
      <c r="I42" s="5" t="b">
        <v>1</v>
      </c>
      <c r="J42" s="5" t="b">
        <v>0</v>
      </c>
      <c r="K42" s="9" t="s">
        <v>62</v>
      </c>
      <c r="L42" s="9" t="s">
        <v>29</v>
      </c>
      <c r="M42" s="10">
        <v>0.625</v>
      </c>
      <c r="N42" s="11" t="s">
        <v>41</v>
      </c>
      <c r="O42" s="9">
        <v>17.5</v>
      </c>
    </row>
    <row r="43" spans="1:15" ht="22.5" customHeight="1" x14ac:dyDescent="0.15">
      <c r="A43" s="8" t="s">
        <v>137</v>
      </c>
      <c r="B43" s="9" t="s">
        <v>24</v>
      </c>
      <c r="C43" s="5" t="s">
        <v>65</v>
      </c>
      <c r="D43" s="8" t="s">
        <v>138</v>
      </c>
      <c r="E43" s="9" t="s">
        <v>19</v>
      </c>
      <c r="F43" s="9" t="s">
        <v>33</v>
      </c>
      <c r="G43" s="5" t="b">
        <v>1</v>
      </c>
      <c r="H43" s="5" t="b">
        <v>0</v>
      </c>
      <c r="I43" s="5" t="b">
        <v>0</v>
      </c>
      <c r="J43" s="5" t="b">
        <v>0</v>
      </c>
      <c r="K43" s="9" t="s">
        <v>40</v>
      </c>
      <c r="L43" s="9" t="s">
        <v>36</v>
      </c>
      <c r="M43" s="10">
        <v>0.625</v>
      </c>
      <c r="N43" s="11" t="s">
        <v>30</v>
      </c>
      <c r="O43" s="9">
        <v>17.5</v>
      </c>
    </row>
    <row r="44" spans="1:15" ht="22.5" customHeight="1" x14ac:dyDescent="0.15">
      <c r="A44" s="8" t="s">
        <v>139</v>
      </c>
      <c r="B44" s="9" t="s">
        <v>16</v>
      </c>
      <c r="C44" s="5" t="s">
        <v>25</v>
      </c>
      <c r="D44" s="8" t="s">
        <v>140</v>
      </c>
      <c r="E44" s="9" t="s">
        <v>47</v>
      </c>
      <c r="F44" s="9" t="s">
        <v>8</v>
      </c>
      <c r="G44" s="5" t="b">
        <v>1</v>
      </c>
      <c r="H44" s="5" t="b">
        <v>0</v>
      </c>
      <c r="I44" s="5" t="b">
        <v>1</v>
      </c>
      <c r="J44" s="5" t="b">
        <v>0</v>
      </c>
      <c r="K44" s="9" t="s">
        <v>48</v>
      </c>
      <c r="L44" s="9" t="s">
        <v>21</v>
      </c>
      <c r="M44" s="10">
        <v>0.625</v>
      </c>
      <c r="N44" s="11" t="s">
        <v>44</v>
      </c>
      <c r="O44" s="9">
        <v>20</v>
      </c>
    </row>
    <row r="45" spans="1:15" ht="22.5" customHeight="1" x14ac:dyDescent="0.15">
      <c r="A45" s="8" t="s">
        <v>141</v>
      </c>
      <c r="B45" s="9" t="s">
        <v>16</v>
      </c>
      <c r="C45" s="5" t="s">
        <v>65</v>
      </c>
      <c r="D45" s="8" t="s">
        <v>142</v>
      </c>
      <c r="E45" s="9" t="s">
        <v>81</v>
      </c>
      <c r="F45" s="9" t="s">
        <v>27</v>
      </c>
      <c r="G45" s="5" t="b">
        <v>1</v>
      </c>
      <c r="H45" s="5" t="b">
        <v>0</v>
      </c>
      <c r="I45" s="5" t="b">
        <v>0</v>
      </c>
      <c r="J45" s="5" t="b">
        <v>0</v>
      </c>
      <c r="K45" s="9" t="s">
        <v>82</v>
      </c>
      <c r="L45" s="9" t="s">
        <v>28</v>
      </c>
      <c r="M45" s="10">
        <v>0.625</v>
      </c>
      <c r="N45" s="11" t="s">
        <v>37</v>
      </c>
      <c r="O45" s="9"/>
    </row>
    <row r="46" spans="1:15" ht="22.5" customHeight="1" x14ac:dyDescent="0.15">
      <c r="A46" s="8" t="s">
        <v>143</v>
      </c>
      <c r="B46" s="9" t="s">
        <v>16</v>
      </c>
      <c r="C46" s="5" t="s">
        <v>25</v>
      </c>
      <c r="D46" s="8" t="s">
        <v>144</v>
      </c>
      <c r="E46" s="9" t="s">
        <v>47</v>
      </c>
      <c r="F46" s="9" t="s">
        <v>27</v>
      </c>
      <c r="G46" s="5" t="b">
        <v>1</v>
      </c>
      <c r="H46" s="5" t="b">
        <v>0</v>
      </c>
      <c r="I46" s="5" t="b">
        <v>0</v>
      </c>
      <c r="J46" s="5" t="b">
        <v>0</v>
      </c>
      <c r="K46" s="9" t="s">
        <v>58</v>
      </c>
      <c r="L46" s="9" t="s">
        <v>59</v>
      </c>
      <c r="M46" s="10">
        <v>0.625</v>
      </c>
      <c r="N46" s="11" t="s">
        <v>22</v>
      </c>
      <c r="O46" s="9">
        <v>10</v>
      </c>
    </row>
    <row r="47" spans="1:15" ht="22.5" customHeight="1" x14ac:dyDescent="0.15">
      <c r="A47" s="8" t="s">
        <v>145</v>
      </c>
      <c r="B47" s="9" t="s">
        <v>16</v>
      </c>
      <c r="C47" s="5" t="s">
        <v>65</v>
      </c>
      <c r="D47" s="8" t="s">
        <v>146</v>
      </c>
      <c r="E47" s="9" t="s">
        <v>27</v>
      </c>
      <c r="F47" s="9" t="s">
        <v>89</v>
      </c>
      <c r="G47" s="5" t="b">
        <v>1</v>
      </c>
      <c r="H47" s="5" t="b">
        <v>0</v>
      </c>
      <c r="I47" s="5" t="b">
        <v>0</v>
      </c>
      <c r="J47" s="5" t="b">
        <v>0</v>
      </c>
      <c r="K47" s="9" t="s">
        <v>51</v>
      </c>
      <c r="L47" s="9" t="s">
        <v>55</v>
      </c>
      <c r="M47" s="10">
        <v>0.64583333333333337</v>
      </c>
      <c r="N47" s="11" t="s">
        <v>41</v>
      </c>
      <c r="O47" s="9"/>
    </row>
    <row r="48" spans="1:15" ht="22.5" customHeight="1" x14ac:dyDescent="0.15">
      <c r="A48" s="8" t="s">
        <v>147</v>
      </c>
      <c r="B48" s="9" t="s">
        <v>24</v>
      </c>
      <c r="C48" s="5" t="s">
        <v>148</v>
      </c>
      <c r="D48" s="8" t="s">
        <v>149</v>
      </c>
      <c r="E48" s="9" t="s">
        <v>77</v>
      </c>
      <c r="F48" s="9" t="s">
        <v>8</v>
      </c>
      <c r="G48" s="5" t="b">
        <v>1</v>
      </c>
      <c r="H48" s="5" t="b">
        <v>0</v>
      </c>
      <c r="I48" s="5" t="b">
        <v>1</v>
      </c>
      <c r="J48" s="5" t="b">
        <v>0</v>
      </c>
      <c r="K48" s="9" t="s">
        <v>78</v>
      </c>
      <c r="L48" s="9" t="s">
        <v>52</v>
      </c>
      <c r="M48" s="10">
        <v>0.64583333333333337</v>
      </c>
      <c r="N48" s="11" t="s">
        <v>30</v>
      </c>
      <c r="O48" s="9"/>
    </row>
    <row r="49" spans="1:15" ht="22.5" customHeight="1" x14ac:dyDescent="0.15">
      <c r="A49" s="8" t="s">
        <v>150</v>
      </c>
      <c r="B49" s="9" t="s">
        <v>16</v>
      </c>
      <c r="C49" s="5" t="s">
        <v>65</v>
      </c>
      <c r="D49" s="8" t="s">
        <v>151</v>
      </c>
      <c r="E49" s="9" t="s">
        <v>89</v>
      </c>
      <c r="F49" s="9" t="s">
        <v>152</v>
      </c>
      <c r="G49" s="5" t="b">
        <v>1</v>
      </c>
      <c r="H49" s="5" t="b">
        <v>0</v>
      </c>
      <c r="I49" s="5" t="b">
        <v>0</v>
      </c>
      <c r="J49" s="5" t="b">
        <v>0</v>
      </c>
      <c r="K49" s="9" t="s">
        <v>55</v>
      </c>
      <c r="L49" s="9" t="s">
        <v>153</v>
      </c>
      <c r="M49" s="10">
        <v>0.64583333333333337</v>
      </c>
      <c r="N49" s="11" t="s">
        <v>44</v>
      </c>
      <c r="O49" s="9">
        <v>14</v>
      </c>
    </row>
    <row r="50" spans="1:15" ht="22.5" customHeight="1" x14ac:dyDescent="0.15">
      <c r="A50" s="8" t="s">
        <v>154</v>
      </c>
      <c r="B50" s="9" t="s">
        <v>24</v>
      </c>
      <c r="C50" s="5" t="s">
        <v>17</v>
      </c>
      <c r="D50" s="8" t="s">
        <v>155</v>
      </c>
      <c r="E50" s="9" t="s">
        <v>19</v>
      </c>
      <c r="F50" s="9" t="s">
        <v>34</v>
      </c>
      <c r="G50" s="5" t="b">
        <v>1</v>
      </c>
      <c r="H50" s="5" t="b">
        <v>0</v>
      </c>
      <c r="I50" s="5" t="b">
        <v>0</v>
      </c>
      <c r="J50" s="5" t="b">
        <v>0</v>
      </c>
      <c r="K50" s="9" t="s">
        <v>20</v>
      </c>
      <c r="L50" s="9" t="s">
        <v>63</v>
      </c>
      <c r="M50" s="10">
        <v>0.64583333333333337</v>
      </c>
      <c r="N50" s="11" t="s">
        <v>22</v>
      </c>
      <c r="O50" s="9"/>
    </row>
    <row r="51" spans="1:15" ht="22.5" customHeight="1" x14ac:dyDescent="0.15">
      <c r="A51" s="8" t="s">
        <v>156</v>
      </c>
      <c r="B51" s="9" t="s">
        <v>24</v>
      </c>
      <c r="C51" s="5" t="s">
        <v>17</v>
      </c>
      <c r="D51" s="8" t="s">
        <v>157</v>
      </c>
      <c r="E51" s="9" t="s">
        <v>33</v>
      </c>
      <c r="F51" s="9" t="s">
        <v>8</v>
      </c>
      <c r="G51" s="5" t="b">
        <v>1</v>
      </c>
      <c r="H51" s="5" t="b">
        <v>0</v>
      </c>
      <c r="I51" s="5" t="b">
        <v>1</v>
      </c>
      <c r="J51" s="5" t="b">
        <v>0</v>
      </c>
      <c r="K51" s="9" t="s">
        <v>35</v>
      </c>
      <c r="L51" s="9" t="s">
        <v>21</v>
      </c>
      <c r="M51" s="10">
        <v>0.64583333333333337</v>
      </c>
      <c r="N51" s="11" t="s">
        <v>37</v>
      </c>
      <c r="O51" s="9"/>
    </row>
    <row r="52" spans="1:15" ht="22.5" customHeight="1" x14ac:dyDescent="0.15">
      <c r="A52" s="8" t="s">
        <v>158</v>
      </c>
      <c r="B52" s="9" t="s">
        <v>16</v>
      </c>
      <c r="C52" s="5" t="s">
        <v>65</v>
      </c>
      <c r="D52" s="8" t="s">
        <v>159</v>
      </c>
      <c r="E52" s="9" t="s">
        <v>27</v>
      </c>
      <c r="F52" s="9" t="s">
        <v>89</v>
      </c>
      <c r="G52" s="5" t="b">
        <v>1</v>
      </c>
      <c r="H52" s="5" t="b">
        <v>0</v>
      </c>
      <c r="I52" s="5" t="b">
        <v>0</v>
      </c>
      <c r="J52" s="5" t="b">
        <v>0</v>
      </c>
      <c r="K52" s="9" t="s">
        <v>28</v>
      </c>
      <c r="L52" s="9" t="s">
        <v>55</v>
      </c>
      <c r="M52" s="10">
        <v>0.66666666666666663</v>
      </c>
      <c r="N52" s="11" t="s">
        <v>30</v>
      </c>
      <c r="O52" s="9"/>
    </row>
    <row r="53" spans="1:15" ht="22.5" customHeight="1" x14ac:dyDescent="0.15">
      <c r="A53" s="8" t="s">
        <v>160</v>
      </c>
      <c r="B53" s="9" t="s">
        <v>24</v>
      </c>
      <c r="C53" s="5" t="s">
        <v>73</v>
      </c>
      <c r="D53" s="8" t="s">
        <v>161</v>
      </c>
      <c r="E53" s="9" t="s">
        <v>162</v>
      </c>
      <c r="F53" s="9" t="s">
        <v>8</v>
      </c>
      <c r="G53" s="5" t="b">
        <v>1</v>
      </c>
      <c r="H53" s="5" t="b">
        <v>0</v>
      </c>
      <c r="I53" s="5" t="b">
        <v>1</v>
      </c>
      <c r="J53" s="5" t="b">
        <v>0</v>
      </c>
      <c r="K53" s="9" t="s">
        <v>163</v>
      </c>
      <c r="L53" s="9" t="s">
        <v>29</v>
      </c>
      <c r="M53" s="10">
        <v>0.66666666666666663</v>
      </c>
      <c r="N53" s="11" t="s">
        <v>44</v>
      </c>
      <c r="O53" s="9"/>
    </row>
    <row r="54" spans="1:15" ht="22.5" customHeight="1" x14ac:dyDescent="0.15">
      <c r="A54" s="8" t="s">
        <v>164</v>
      </c>
      <c r="B54" s="9" t="s">
        <v>16</v>
      </c>
      <c r="C54" s="5" t="s">
        <v>25</v>
      </c>
      <c r="D54" s="8" t="s">
        <v>165</v>
      </c>
      <c r="E54" s="9" t="s">
        <v>81</v>
      </c>
      <c r="F54" s="9" t="s">
        <v>47</v>
      </c>
      <c r="G54" s="5" t="b">
        <v>1</v>
      </c>
      <c r="H54" s="5" t="b">
        <v>0</v>
      </c>
      <c r="I54" s="5" t="b">
        <v>0</v>
      </c>
      <c r="J54" s="5" t="b">
        <v>0</v>
      </c>
      <c r="K54" s="9" t="s">
        <v>82</v>
      </c>
      <c r="L54" s="9" t="s">
        <v>62</v>
      </c>
      <c r="M54" s="10">
        <v>0.66666666666666663</v>
      </c>
      <c r="N54" s="11" t="s">
        <v>41</v>
      </c>
      <c r="O54" s="9"/>
    </row>
    <row r="55" spans="1:15" ht="22.5" customHeight="1" x14ac:dyDescent="0.15">
      <c r="A55" s="8" t="s">
        <v>166</v>
      </c>
      <c r="B55" s="9" t="s">
        <v>24</v>
      </c>
      <c r="C55" s="5" t="s">
        <v>167</v>
      </c>
      <c r="D55" s="8" t="s">
        <v>168</v>
      </c>
      <c r="E55" s="9" t="s">
        <v>27</v>
      </c>
      <c r="F55" s="9" t="s">
        <v>47</v>
      </c>
      <c r="G55" s="5" t="b">
        <v>1</v>
      </c>
      <c r="H55" s="5" t="b">
        <v>0</v>
      </c>
      <c r="I55" s="5" t="b">
        <v>0</v>
      </c>
      <c r="J55" s="5" t="b">
        <v>0</v>
      </c>
      <c r="K55" s="9" t="s">
        <v>59</v>
      </c>
      <c r="L55" s="9" t="s">
        <v>58</v>
      </c>
      <c r="M55" s="10">
        <v>0.66666666666666663</v>
      </c>
      <c r="N55" s="11" t="s">
        <v>37</v>
      </c>
      <c r="O55" s="9"/>
    </row>
    <row r="56" spans="1:15" ht="22.5" customHeight="1" x14ac:dyDescent="0.15">
      <c r="A56" s="8" t="s">
        <v>169</v>
      </c>
      <c r="B56" s="9" t="s">
        <v>24</v>
      </c>
      <c r="C56" s="5" t="s">
        <v>17</v>
      </c>
      <c r="D56" s="8" t="s">
        <v>170</v>
      </c>
      <c r="E56" s="9" t="s">
        <v>19</v>
      </c>
      <c r="F56" s="9" t="s">
        <v>8</v>
      </c>
      <c r="G56" s="5" t="b">
        <v>1</v>
      </c>
      <c r="H56" s="5" t="b">
        <v>0</v>
      </c>
      <c r="I56" s="5" t="b">
        <v>1</v>
      </c>
      <c r="J56" s="5" t="b">
        <v>0</v>
      </c>
      <c r="K56" s="9" t="s">
        <v>40</v>
      </c>
      <c r="L56" s="9" t="s">
        <v>52</v>
      </c>
      <c r="M56" s="10">
        <v>0.66666666666666663</v>
      </c>
      <c r="N56" s="11" t="s">
        <v>22</v>
      </c>
      <c r="O56" s="9">
        <v>20</v>
      </c>
    </row>
    <row r="57" spans="1:15" ht="22.5" customHeight="1" x14ac:dyDescent="0.15">
      <c r="A57" s="8" t="s">
        <v>171</v>
      </c>
      <c r="B57" s="9" t="s">
        <v>24</v>
      </c>
      <c r="C57" s="5" t="s">
        <v>17</v>
      </c>
      <c r="D57" s="8" t="s">
        <v>172</v>
      </c>
      <c r="E57" s="9" t="s">
        <v>89</v>
      </c>
      <c r="F57" s="9" t="s">
        <v>8</v>
      </c>
      <c r="G57" s="5" t="b">
        <v>1</v>
      </c>
      <c r="H57" s="5" t="b">
        <v>0</v>
      </c>
      <c r="I57" s="5" t="b">
        <v>1</v>
      </c>
      <c r="J57" s="5" t="b">
        <v>0</v>
      </c>
      <c r="K57" s="9" t="s">
        <v>55</v>
      </c>
      <c r="L57" s="9" t="s">
        <v>21</v>
      </c>
      <c r="M57" s="10">
        <v>0.6875</v>
      </c>
      <c r="N57" s="11" t="s">
        <v>30</v>
      </c>
      <c r="O57" s="9"/>
    </row>
    <row r="58" spans="1:15" ht="22.5" customHeight="1" x14ac:dyDescent="0.15">
      <c r="A58" s="8" t="s">
        <v>173</v>
      </c>
      <c r="B58" s="9" t="s">
        <v>16</v>
      </c>
      <c r="C58" s="5" t="s">
        <v>25</v>
      </c>
      <c r="D58" s="8" t="s">
        <v>174</v>
      </c>
      <c r="E58" s="9" t="s">
        <v>47</v>
      </c>
      <c r="F58" s="12" t="s">
        <v>9</v>
      </c>
      <c r="G58" s="5" t="b">
        <v>1</v>
      </c>
      <c r="H58" s="5" t="b">
        <v>0</v>
      </c>
      <c r="I58" s="5" t="b">
        <v>0</v>
      </c>
      <c r="J58" s="5" t="b">
        <v>1</v>
      </c>
      <c r="K58" s="9" t="s">
        <v>62</v>
      </c>
      <c r="L58" s="9" t="s">
        <v>71</v>
      </c>
      <c r="M58" s="10">
        <v>0.6875</v>
      </c>
      <c r="N58" s="11" t="s">
        <v>44</v>
      </c>
      <c r="O58" s="9"/>
    </row>
    <row r="59" spans="1:15" ht="13" x14ac:dyDescent="0.15">
      <c r="A59" s="13"/>
      <c r="C59" s="7"/>
      <c r="D59" s="13"/>
      <c r="E59" s="7"/>
      <c r="F59" s="7"/>
    </row>
    <row r="60" spans="1:15" ht="13" x14ac:dyDescent="0.15">
      <c r="A60" s="13"/>
      <c r="C60" s="7"/>
      <c r="D60" s="13"/>
      <c r="E60" s="7"/>
      <c r="F60" s="7"/>
    </row>
    <row r="61" spans="1:15" ht="13" x14ac:dyDescent="0.15">
      <c r="A61" s="13"/>
      <c r="C61" s="7"/>
      <c r="D61" s="13"/>
      <c r="E61" s="7"/>
      <c r="F61" s="7"/>
    </row>
    <row r="62" spans="1:15" ht="13" x14ac:dyDescent="0.15">
      <c r="A62" s="13"/>
      <c r="C62" s="7"/>
      <c r="D62" s="13"/>
      <c r="E62" s="7"/>
      <c r="F62" s="7"/>
    </row>
    <row r="63" spans="1:15" ht="13" x14ac:dyDescent="0.15">
      <c r="A63" s="13"/>
      <c r="C63" s="7"/>
      <c r="D63" s="13"/>
      <c r="E63" s="7"/>
      <c r="F63" s="7"/>
    </row>
    <row r="64" spans="1:15" ht="13" x14ac:dyDescent="0.15">
      <c r="A64" s="13"/>
      <c r="C64" s="7"/>
      <c r="D64" s="13"/>
      <c r="E64" s="7"/>
      <c r="F64" s="7"/>
    </row>
    <row r="65" spans="1:6" ht="13" x14ac:dyDescent="0.15">
      <c r="A65" s="13"/>
      <c r="C65" s="7"/>
      <c r="D65" s="13"/>
      <c r="E65" s="7"/>
      <c r="F65" s="7"/>
    </row>
    <row r="66" spans="1:6" ht="13" x14ac:dyDescent="0.15">
      <c r="A66" s="13"/>
      <c r="C66" s="7"/>
      <c r="D66" s="13"/>
      <c r="E66" s="7"/>
      <c r="F66" s="7"/>
    </row>
    <row r="67" spans="1:6" ht="13" x14ac:dyDescent="0.15">
      <c r="A67" s="13"/>
      <c r="C67" s="7"/>
      <c r="D67" s="13"/>
      <c r="E67" s="7"/>
      <c r="F67" s="7"/>
    </row>
    <row r="68" spans="1:6" ht="13" x14ac:dyDescent="0.15">
      <c r="A68" s="13"/>
      <c r="C68" s="7"/>
      <c r="D68" s="13"/>
      <c r="E68" s="7"/>
      <c r="F68" s="7"/>
    </row>
    <row r="69" spans="1:6" ht="13" x14ac:dyDescent="0.15">
      <c r="A69" s="13"/>
      <c r="C69" s="7"/>
      <c r="D69" s="13"/>
      <c r="E69" s="7"/>
      <c r="F69" s="7"/>
    </row>
    <row r="70" spans="1:6" ht="13" x14ac:dyDescent="0.15">
      <c r="A70" s="13"/>
      <c r="C70" s="7"/>
      <c r="D70" s="13"/>
      <c r="E70" s="7"/>
      <c r="F70" s="7"/>
    </row>
    <row r="71" spans="1:6" ht="13" x14ac:dyDescent="0.15">
      <c r="A71" s="13"/>
      <c r="C71" s="7"/>
      <c r="D71" s="13"/>
      <c r="E71" s="7"/>
      <c r="F71" s="7"/>
    </row>
    <row r="72" spans="1:6" ht="13" x14ac:dyDescent="0.15">
      <c r="A72" s="13"/>
      <c r="C72" s="7"/>
      <c r="D72" s="13"/>
      <c r="E72" s="7"/>
      <c r="F72" s="7"/>
    </row>
    <row r="73" spans="1:6" ht="13" x14ac:dyDescent="0.15">
      <c r="A73" s="13"/>
      <c r="C73" s="7"/>
      <c r="D73" s="13"/>
      <c r="E73" s="7"/>
      <c r="F73" s="7"/>
    </row>
    <row r="74" spans="1:6" ht="13" x14ac:dyDescent="0.15">
      <c r="A74" s="13"/>
      <c r="C74" s="7"/>
      <c r="D74" s="13"/>
      <c r="E74" s="7"/>
      <c r="F74" s="7"/>
    </row>
    <row r="75" spans="1:6" ht="13" x14ac:dyDescent="0.15">
      <c r="A75" s="13"/>
      <c r="C75" s="7"/>
      <c r="D75" s="13"/>
      <c r="E75" s="7"/>
      <c r="F75" s="7"/>
    </row>
    <row r="76" spans="1:6" ht="13" x14ac:dyDescent="0.15">
      <c r="A76" s="13"/>
      <c r="C76" s="7"/>
      <c r="D76" s="13"/>
      <c r="E76" s="7"/>
      <c r="F76" s="7"/>
    </row>
    <row r="77" spans="1:6" ht="13" x14ac:dyDescent="0.15">
      <c r="A77" s="13"/>
      <c r="C77" s="7"/>
      <c r="D77" s="13"/>
      <c r="E77" s="7"/>
      <c r="F77" s="7"/>
    </row>
    <row r="78" spans="1:6" ht="13" x14ac:dyDescent="0.15">
      <c r="A78" s="13"/>
      <c r="C78" s="7"/>
      <c r="D78" s="13"/>
      <c r="E78" s="7"/>
      <c r="F78" s="7"/>
    </row>
    <row r="79" spans="1:6" ht="13" x14ac:dyDescent="0.15">
      <c r="A79" s="13"/>
      <c r="C79" s="7"/>
      <c r="D79" s="13"/>
      <c r="E79" s="7"/>
      <c r="F79" s="7"/>
    </row>
    <row r="80" spans="1:6" ht="13" x14ac:dyDescent="0.15">
      <c r="A80" s="13"/>
      <c r="C80" s="7"/>
      <c r="D80" s="13"/>
      <c r="E80" s="7"/>
      <c r="F80" s="7"/>
    </row>
    <row r="81" spans="1:6" ht="13" x14ac:dyDescent="0.15">
      <c r="A81" s="13"/>
      <c r="C81" s="7"/>
      <c r="D81" s="13"/>
      <c r="E81" s="7"/>
      <c r="F81" s="7"/>
    </row>
    <row r="82" spans="1:6" ht="13" x14ac:dyDescent="0.15">
      <c r="A82" s="13"/>
      <c r="C82" s="7"/>
      <c r="D82" s="13"/>
      <c r="E82" s="7"/>
      <c r="F82" s="7"/>
    </row>
    <row r="83" spans="1:6" ht="13" x14ac:dyDescent="0.15">
      <c r="A83" s="13"/>
      <c r="C83" s="7"/>
      <c r="D83" s="13"/>
      <c r="E83" s="7"/>
      <c r="F83" s="7"/>
    </row>
    <row r="84" spans="1:6" ht="13" x14ac:dyDescent="0.15">
      <c r="A84" s="13"/>
      <c r="C84" s="7"/>
      <c r="D84" s="13"/>
      <c r="E84" s="7"/>
      <c r="F84" s="7"/>
    </row>
    <row r="85" spans="1:6" ht="13" x14ac:dyDescent="0.15">
      <c r="A85" s="13"/>
      <c r="C85" s="7"/>
      <c r="D85" s="13"/>
      <c r="E85" s="7"/>
      <c r="F85" s="7"/>
    </row>
    <row r="86" spans="1:6" ht="13" x14ac:dyDescent="0.15">
      <c r="A86" s="13"/>
      <c r="C86" s="7"/>
      <c r="D86" s="13"/>
      <c r="E86" s="7"/>
      <c r="F86" s="7"/>
    </row>
    <row r="87" spans="1:6" ht="13" x14ac:dyDescent="0.15">
      <c r="A87" s="13"/>
      <c r="C87" s="7"/>
      <c r="D87" s="13"/>
      <c r="E87" s="7"/>
      <c r="F87" s="7"/>
    </row>
    <row r="88" spans="1:6" ht="13" x14ac:dyDescent="0.15">
      <c r="A88" s="13"/>
      <c r="C88" s="7"/>
      <c r="D88" s="13"/>
      <c r="E88" s="7"/>
      <c r="F88" s="7"/>
    </row>
    <row r="89" spans="1:6" ht="13" x14ac:dyDescent="0.15">
      <c r="A89" s="13"/>
      <c r="C89" s="7"/>
      <c r="D89" s="13"/>
      <c r="E89" s="7"/>
      <c r="F89" s="7"/>
    </row>
    <row r="90" spans="1:6" ht="13" x14ac:dyDescent="0.15">
      <c r="A90" s="13"/>
      <c r="C90" s="7"/>
      <c r="D90" s="13"/>
      <c r="E90" s="7"/>
      <c r="F90" s="7"/>
    </row>
    <row r="91" spans="1:6" ht="13" x14ac:dyDescent="0.15">
      <c r="A91" s="13"/>
      <c r="C91" s="7"/>
      <c r="D91" s="13"/>
      <c r="E91" s="7"/>
      <c r="F91" s="7"/>
    </row>
    <row r="92" spans="1:6" ht="13" x14ac:dyDescent="0.15">
      <c r="A92" s="13"/>
      <c r="C92" s="7"/>
      <c r="D92" s="13"/>
      <c r="E92" s="7"/>
      <c r="F92" s="7"/>
    </row>
    <row r="93" spans="1:6" ht="13" x14ac:dyDescent="0.15">
      <c r="A93" s="13"/>
      <c r="C93" s="7"/>
      <c r="D93" s="13"/>
      <c r="E93" s="7"/>
      <c r="F93" s="7"/>
    </row>
    <row r="94" spans="1:6" ht="13" x14ac:dyDescent="0.15">
      <c r="A94" s="13"/>
      <c r="C94" s="7"/>
      <c r="D94" s="13"/>
      <c r="E94" s="7"/>
      <c r="F94" s="7"/>
    </row>
    <row r="95" spans="1:6" ht="13" x14ac:dyDescent="0.15">
      <c r="A95" s="13"/>
      <c r="C95" s="7"/>
      <c r="D95" s="13"/>
      <c r="E95" s="7"/>
      <c r="F95" s="7"/>
    </row>
    <row r="96" spans="1:6" ht="13" x14ac:dyDescent="0.15">
      <c r="A96" s="13"/>
      <c r="C96" s="7"/>
      <c r="D96" s="13"/>
      <c r="E96" s="7"/>
      <c r="F96" s="7"/>
    </row>
    <row r="97" spans="1:6" ht="13" x14ac:dyDescent="0.15">
      <c r="A97" s="13"/>
      <c r="C97" s="7"/>
      <c r="D97" s="13"/>
      <c r="E97" s="7"/>
      <c r="F97" s="7"/>
    </row>
    <row r="98" spans="1:6" ht="13" x14ac:dyDescent="0.15">
      <c r="A98" s="13"/>
      <c r="C98" s="7"/>
      <c r="D98" s="13"/>
      <c r="E98" s="7"/>
      <c r="F98" s="7"/>
    </row>
    <row r="99" spans="1:6" ht="13" x14ac:dyDescent="0.15">
      <c r="A99" s="13"/>
      <c r="C99" s="7"/>
      <c r="D99" s="13"/>
      <c r="E99" s="7"/>
      <c r="F99" s="7"/>
    </row>
    <row r="100" spans="1:6" ht="13" x14ac:dyDescent="0.15">
      <c r="A100" s="13"/>
      <c r="C100" s="7"/>
      <c r="D100" s="13"/>
      <c r="E100" s="7"/>
      <c r="F100" s="7"/>
    </row>
    <row r="101" spans="1:6" ht="13" x14ac:dyDescent="0.15">
      <c r="A101" s="13"/>
      <c r="C101" s="7"/>
      <c r="D101" s="13"/>
      <c r="E101" s="7"/>
      <c r="F101" s="7"/>
    </row>
    <row r="102" spans="1:6" ht="13" x14ac:dyDescent="0.15">
      <c r="A102" s="13"/>
      <c r="C102" s="7"/>
      <c r="D102" s="13"/>
      <c r="E102" s="7"/>
      <c r="F102" s="7"/>
    </row>
    <row r="103" spans="1:6" ht="13" x14ac:dyDescent="0.15">
      <c r="A103" s="13"/>
      <c r="C103" s="7"/>
      <c r="D103" s="13"/>
      <c r="E103" s="7"/>
      <c r="F103" s="7"/>
    </row>
    <row r="104" spans="1:6" ht="13" x14ac:dyDescent="0.15">
      <c r="A104" s="13"/>
      <c r="C104" s="7"/>
      <c r="D104" s="13"/>
      <c r="E104" s="7"/>
      <c r="F104" s="7"/>
    </row>
    <row r="105" spans="1:6" ht="13" x14ac:dyDescent="0.15">
      <c r="A105" s="13"/>
      <c r="C105" s="7"/>
      <c r="D105" s="13"/>
      <c r="E105" s="7"/>
      <c r="F105" s="7"/>
    </row>
    <row r="106" spans="1:6" ht="13" x14ac:dyDescent="0.15">
      <c r="A106" s="13"/>
      <c r="C106" s="7"/>
      <c r="D106" s="13"/>
      <c r="E106" s="7"/>
      <c r="F106" s="7"/>
    </row>
    <row r="107" spans="1:6" ht="13" x14ac:dyDescent="0.15">
      <c r="A107" s="13"/>
      <c r="C107" s="7"/>
      <c r="D107" s="13"/>
      <c r="E107" s="7"/>
      <c r="F107" s="7"/>
    </row>
    <row r="108" spans="1:6" ht="13" x14ac:dyDescent="0.15">
      <c r="A108" s="13"/>
      <c r="C108" s="7"/>
      <c r="D108" s="13"/>
      <c r="E108" s="7"/>
      <c r="F108" s="7"/>
    </row>
    <row r="109" spans="1:6" ht="13" x14ac:dyDescent="0.15">
      <c r="A109" s="13"/>
      <c r="C109" s="7"/>
      <c r="D109" s="13"/>
      <c r="E109" s="7"/>
      <c r="F109" s="7"/>
    </row>
    <row r="110" spans="1:6" ht="13" x14ac:dyDescent="0.15">
      <c r="A110" s="13"/>
      <c r="C110" s="7"/>
      <c r="D110" s="13"/>
      <c r="E110" s="7"/>
      <c r="F110" s="7"/>
    </row>
    <row r="111" spans="1:6" ht="13" x14ac:dyDescent="0.15">
      <c r="A111" s="13"/>
      <c r="C111" s="7"/>
      <c r="D111" s="13"/>
      <c r="E111" s="7"/>
      <c r="F111" s="7"/>
    </row>
    <row r="112" spans="1:6" ht="13" x14ac:dyDescent="0.15">
      <c r="A112" s="13"/>
      <c r="C112" s="7"/>
      <c r="D112" s="13"/>
      <c r="E112" s="7"/>
      <c r="F112" s="7"/>
    </row>
    <row r="113" spans="1:6" ht="13" x14ac:dyDescent="0.15">
      <c r="A113" s="13"/>
      <c r="C113" s="7"/>
      <c r="D113" s="13"/>
      <c r="E113" s="7"/>
      <c r="F113" s="7"/>
    </row>
    <row r="114" spans="1:6" ht="13" x14ac:dyDescent="0.15">
      <c r="A114" s="13"/>
      <c r="C114" s="7"/>
      <c r="D114" s="13"/>
      <c r="E114" s="7"/>
      <c r="F114" s="7"/>
    </row>
    <row r="115" spans="1:6" ht="13" x14ac:dyDescent="0.15">
      <c r="A115" s="13"/>
      <c r="C115" s="7"/>
      <c r="D115" s="13"/>
      <c r="E115" s="7"/>
      <c r="F115" s="7"/>
    </row>
    <row r="116" spans="1:6" ht="13" x14ac:dyDescent="0.15">
      <c r="A116" s="13"/>
      <c r="C116" s="7"/>
      <c r="D116" s="13"/>
      <c r="E116" s="7"/>
      <c r="F116" s="7"/>
    </row>
    <row r="117" spans="1:6" ht="13" x14ac:dyDescent="0.15">
      <c r="A117" s="13"/>
      <c r="C117" s="7"/>
      <c r="D117" s="13"/>
      <c r="E117" s="7"/>
      <c r="F117" s="7"/>
    </row>
    <row r="118" spans="1:6" ht="13" x14ac:dyDescent="0.15">
      <c r="A118" s="13"/>
      <c r="C118" s="7"/>
      <c r="D118" s="13"/>
      <c r="E118" s="7"/>
      <c r="F118" s="7"/>
    </row>
    <row r="119" spans="1:6" ht="13" x14ac:dyDescent="0.15">
      <c r="A119" s="13"/>
      <c r="C119" s="7"/>
      <c r="D119" s="13"/>
      <c r="E119" s="7"/>
      <c r="F119" s="7"/>
    </row>
    <row r="120" spans="1:6" ht="13" x14ac:dyDescent="0.15">
      <c r="A120" s="13"/>
      <c r="C120" s="7"/>
      <c r="D120" s="13"/>
      <c r="E120" s="7"/>
      <c r="F120" s="7"/>
    </row>
    <row r="121" spans="1:6" ht="13" x14ac:dyDescent="0.15">
      <c r="A121" s="13"/>
      <c r="C121" s="7"/>
      <c r="D121" s="13"/>
      <c r="E121" s="7"/>
      <c r="F121" s="7"/>
    </row>
    <row r="122" spans="1:6" ht="13" x14ac:dyDescent="0.15">
      <c r="A122" s="13"/>
      <c r="C122" s="7"/>
      <c r="D122" s="13"/>
      <c r="E122" s="7"/>
      <c r="F122" s="7"/>
    </row>
    <row r="123" spans="1:6" ht="13" x14ac:dyDescent="0.15">
      <c r="A123" s="13"/>
      <c r="C123" s="7"/>
      <c r="D123" s="13"/>
      <c r="E123" s="7"/>
      <c r="F123" s="7"/>
    </row>
    <row r="124" spans="1:6" ht="13" x14ac:dyDescent="0.15">
      <c r="A124" s="13"/>
      <c r="C124" s="7"/>
      <c r="D124" s="13"/>
      <c r="E124" s="7"/>
      <c r="F124" s="7"/>
    </row>
    <row r="125" spans="1:6" ht="13" x14ac:dyDescent="0.15">
      <c r="A125" s="13"/>
      <c r="C125" s="7"/>
      <c r="D125" s="13"/>
      <c r="E125" s="7"/>
      <c r="F125" s="7"/>
    </row>
    <row r="126" spans="1:6" ht="13" x14ac:dyDescent="0.15">
      <c r="A126" s="13"/>
      <c r="C126" s="7"/>
      <c r="D126" s="13"/>
      <c r="E126" s="7"/>
      <c r="F126" s="7"/>
    </row>
    <row r="127" spans="1:6" ht="13" x14ac:dyDescent="0.15">
      <c r="A127" s="13"/>
      <c r="C127" s="7"/>
      <c r="D127" s="13"/>
      <c r="E127" s="7"/>
      <c r="F127" s="7"/>
    </row>
    <row r="128" spans="1:6" ht="13" x14ac:dyDescent="0.15">
      <c r="A128" s="13"/>
      <c r="C128" s="7"/>
      <c r="D128" s="13"/>
      <c r="E128" s="7"/>
      <c r="F128" s="7"/>
    </row>
    <row r="129" spans="1:6" ht="13" x14ac:dyDescent="0.15">
      <c r="A129" s="13"/>
      <c r="C129" s="7"/>
      <c r="D129" s="13"/>
      <c r="E129" s="7"/>
      <c r="F129" s="7"/>
    </row>
    <row r="130" spans="1:6" ht="13" x14ac:dyDescent="0.15">
      <c r="A130" s="13"/>
      <c r="C130" s="7"/>
      <c r="D130" s="13"/>
      <c r="E130" s="7"/>
      <c r="F130" s="7"/>
    </row>
    <row r="131" spans="1:6" ht="13" x14ac:dyDescent="0.15">
      <c r="A131" s="13"/>
      <c r="C131" s="7"/>
      <c r="D131" s="13"/>
      <c r="E131" s="7"/>
      <c r="F131" s="7"/>
    </row>
    <row r="132" spans="1:6" ht="13" x14ac:dyDescent="0.15">
      <c r="A132" s="13"/>
      <c r="C132" s="7"/>
      <c r="D132" s="13"/>
      <c r="E132" s="7"/>
      <c r="F132" s="7"/>
    </row>
    <row r="133" spans="1:6" ht="13" x14ac:dyDescent="0.15">
      <c r="A133" s="13"/>
      <c r="C133" s="7"/>
      <c r="D133" s="13"/>
      <c r="E133" s="7"/>
      <c r="F133" s="7"/>
    </row>
    <row r="134" spans="1:6" ht="13" x14ac:dyDescent="0.15">
      <c r="A134" s="13"/>
      <c r="C134" s="7"/>
      <c r="D134" s="13"/>
      <c r="E134" s="7"/>
      <c r="F134" s="7"/>
    </row>
    <row r="135" spans="1:6" ht="13" x14ac:dyDescent="0.15">
      <c r="A135" s="13"/>
      <c r="C135" s="7"/>
      <c r="D135" s="13"/>
      <c r="E135" s="7"/>
      <c r="F135" s="7"/>
    </row>
    <row r="136" spans="1:6" ht="13" x14ac:dyDescent="0.15">
      <c r="A136" s="13"/>
      <c r="C136" s="7"/>
      <c r="D136" s="13"/>
      <c r="E136" s="7"/>
      <c r="F136" s="7"/>
    </row>
    <row r="137" spans="1:6" ht="13" x14ac:dyDescent="0.15">
      <c r="A137" s="13"/>
      <c r="C137" s="7"/>
      <c r="D137" s="13"/>
      <c r="E137" s="7"/>
      <c r="F137" s="7"/>
    </row>
    <row r="138" spans="1:6" ht="13" x14ac:dyDescent="0.15">
      <c r="A138" s="13"/>
      <c r="C138" s="7"/>
      <c r="D138" s="13"/>
      <c r="E138" s="7"/>
      <c r="F138" s="7"/>
    </row>
    <row r="139" spans="1:6" ht="13" x14ac:dyDescent="0.15">
      <c r="A139" s="13"/>
      <c r="C139" s="7"/>
      <c r="D139" s="13"/>
      <c r="E139" s="7"/>
      <c r="F139" s="7"/>
    </row>
    <row r="140" spans="1:6" ht="13" x14ac:dyDescent="0.15">
      <c r="A140" s="13"/>
      <c r="C140" s="7"/>
      <c r="D140" s="13"/>
      <c r="E140" s="7"/>
      <c r="F140" s="7"/>
    </row>
    <row r="141" spans="1:6" ht="13" x14ac:dyDescent="0.15">
      <c r="A141" s="13"/>
      <c r="C141" s="7"/>
      <c r="D141" s="13"/>
      <c r="E141" s="7"/>
      <c r="F141" s="7"/>
    </row>
    <row r="142" spans="1:6" ht="13" x14ac:dyDescent="0.15">
      <c r="A142" s="13"/>
      <c r="C142" s="7"/>
      <c r="D142" s="13"/>
      <c r="E142" s="7"/>
      <c r="F142" s="7"/>
    </row>
    <row r="143" spans="1:6" ht="13" x14ac:dyDescent="0.15">
      <c r="A143" s="13"/>
      <c r="C143" s="7"/>
      <c r="D143" s="13"/>
      <c r="E143" s="7"/>
      <c r="F143" s="7"/>
    </row>
    <row r="144" spans="1:6" ht="13" x14ac:dyDescent="0.15">
      <c r="A144" s="13"/>
      <c r="C144" s="7"/>
      <c r="D144" s="13"/>
      <c r="E144" s="7"/>
      <c r="F144" s="7"/>
    </row>
    <row r="145" spans="1:6" ht="13" x14ac:dyDescent="0.15">
      <c r="A145" s="13"/>
      <c r="C145" s="7"/>
      <c r="D145" s="13"/>
      <c r="E145" s="7"/>
      <c r="F145" s="7"/>
    </row>
    <row r="146" spans="1:6" ht="13" x14ac:dyDescent="0.15">
      <c r="A146" s="13"/>
      <c r="C146" s="7"/>
      <c r="D146" s="13"/>
      <c r="E146" s="7"/>
      <c r="F146" s="7"/>
    </row>
    <row r="147" spans="1:6" ht="13" x14ac:dyDescent="0.15">
      <c r="A147" s="13"/>
      <c r="C147" s="7"/>
      <c r="D147" s="13"/>
      <c r="E147" s="7"/>
      <c r="F147" s="7"/>
    </row>
    <row r="148" spans="1:6" ht="13" x14ac:dyDescent="0.15">
      <c r="A148" s="13"/>
      <c r="C148" s="7"/>
      <c r="D148" s="13"/>
      <c r="E148" s="7"/>
      <c r="F148" s="7"/>
    </row>
    <row r="149" spans="1:6" ht="13" x14ac:dyDescent="0.15">
      <c r="A149" s="13"/>
      <c r="C149" s="7"/>
      <c r="D149" s="13"/>
      <c r="E149" s="7"/>
      <c r="F149" s="7"/>
    </row>
    <row r="150" spans="1:6" ht="13" x14ac:dyDescent="0.15">
      <c r="A150" s="13"/>
      <c r="C150" s="7"/>
      <c r="D150" s="13"/>
      <c r="E150" s="7"/>
      <c r="F150" s="7"/>
    </row>
    <row r="151" spans="1:6" ht="13" x14ac:dyDescent="0.15">
      <c r="A151" s="13"/>
      <c r="C151" s="7"/>
      <c r="D151" s="13"/>
      <c r="E151" s="7"/>
      <c r="F151" s="7"/>
    </row>
    <row r="152" spans="1:6" ht="13" x14ac:dyDescent="0.15">
      <c r="A152" s="13"/>
      <c r="C152" s="7"/>
      <c r="D152" s="13"/>
      <c r="E152" s="7"/>
      <c r="F152" s="7"/>
    </row>
    <row r="153" spans="1:6" ht="13" x14ac:dyDescent="0.15">
      <c r="A153" s="13"/>
      <c r="C153" s="7"/>
      <c r="D153" s="13"/>
      <c r="E153" s="7"/>
      <c r="F153" s="7"/>
    </row>
    <row r="154" spans="1:6" ht="13" x14ac:dyDescent="0.15">
      <c r="A154" s="13"/>
      <c r="C154" s="7"/>
      <c r="D154" s="13"/>
      <c r="E154" s="7"/>
      <c r="F154" s="7"/>
    </row>
    <row r="155" spans="1:6" ht="13" x14ac:dyDescent="0.15">
      <c r="A155" s="13"/>
      <c r="C155" s="7"/>
      <c r="D155" s="13"/>
      <c r="E155" s="7"/>
      <c r="F155" s="7"/>
    </row>
    <row r="156" spans="1:6" ht="13" x14ac:dyDescent="0.15">
      <c r="A156" s="13"/>
      <c r="C156" s="7"/>
      <c r="D156" s="13"/>
      <c r="E156" s="7"/>
      <c r="F156" s="7"/>
    </row>
    <row r="157" spans="1:6" ht="13" x14ac:dyDescent="0.15">
      <c r="A157" s="13"/>
      <c r="C157" s="7"/>
      <c r="D157" s="13"/>
      <c r="E157" s="7"/>
      <c r="F157" s="7"/>
    </row>
    <row r="158" spans="1:6" ht="13" x14ac:dyDescent="0.15">
      <c r="A158" s="13"/>
      <c r="C158" s="7"/>
      <c r="D158" s="13"/>
      <c r="E158" s="7"/>
      <c r="F158" s="7"/>
    </row>
    <row r="159" spans="1:6" ht="13" x14ac:dyDescent="0.15">
      <c r="A159" s="13"/>
      <c r="C159" s="7"/>
      <c r="D159" s="13"/>
      <c r="E159" s="7"/>
      <c r="F159" s="7"/>
    </row>
    <row r="160" spans="1:6" ht="13" x14ac:dyDescent="0.15">
      <c r="A160" s="13"/>
      <c r="C160" s="7"/>
      <c r="D160" s="13"/>
      <c r="E160" s="7"/>
      <c r="F160" s="7"/>
    </row>
    <row r="161" spans="1:6" ht="13" x14ac:dyDescent="0.15">
      <c r="A161" s="13"/>
      <c r="C161" s="7"/>
      <c r="D161" s="13"/>
      <c r="E161" s="7"/>
      <c r="F161" s="7"/>
    </row>
    <row r="162" spans="1:6" ht="13" x14ac:dyDescent="0.15">
      <c r="A162" s="13"/>
      <c r="C162" s="7"/>
      <c r="D162" s="13"/>
      <c r="E162" s="7"/>
      <c r="F162" s="7"/>
    </row>
    <row r="163" spans="1:6" ht="13" x14ac:dyDescent="0.15">
      <c r="A163" s="13"/>
      <c r="C163" s="7"/>
      <c r="D163" s="13"/>
      <c r="E163" s="7"/>
      <c r="F163" s="7"/>
    </row>
    <row r="164" spans="1:6" ht="13" x14ac:dyDescent="0.15">
      <c r="A164" s="13"/>
      <c r="C164" s="7"/>
      <c r="D164" s="13"/>
      <c r="E164" s="7"/>
      <c r="F164" s="7"/>
    </row>
    <row r="165" spans="1:6" ht="13" x14ac:dyDescent="0.15">
      <c r="A165" s="13"/>
      <c r="C165" s="7"/>
      <c r="D165" s="13"/>
      <c r="E165" s="7"/>
      <c r="F165" s="7"/>
    </row>
    <row r="166" spans="1:6" ht="13" x14ac:dyDescent="0.15">
      <c r="A166" s="13"/>
      <c r="C166" s="7"/>
      <c r="D166" s="13"/>
      <c r="E166" s="7"/>
      <c r="F166" s="7"/>
    </row>
    <row r="167" spans="1:6" ht="13" x14ac:dyDescent="0.15">
      <c r="A167" s="13"/>
      <c r="C167" s="7"/>
      <c r="D167" s="13"/>
      <c r="E167" s="7"/>
      <c r="F167" s="7"/>
    </row>
    <row r="168" spans="1:6" ht="13" x14ac:dyDescent="0.15">
      <c r="A168" s="13"/>
      <c r="C168" s="7"/>
      <c r="D168" s="13"/>
      <c r="E168" s="7"/>
      <c r="F168" s="7"/>
    </row>
    <row r="169" spans="1:6" ht="13" x14ac:dyDescent="0.15">
      <c r="A169" s="13"/>
      <c r="C169" s="7"/>
      <c r="D169" s="13"/>
      <c r="E169" s="7"/>
      <c r="F169" s="7"/>
    </row>
    <row r="170" spans="1:6" ht="13" x14ac:dyDescent="0.15">
      <c r="A170" s="13"/>
      <c r="C170" s="7"/>
      <c r="D170" s="13"/>
      <c r="E170" s="7"/>
      <c r="F170" s="7"/>
    </row>
    <row r="171" spans="1:6" ht="13" x14ac:dyDescent="0.15">
      <c r="A171" s="13"/>
      <c r="C171" s="7"/>
      <c r="D171" s="13"/>
      <c r="E171" s="7"/>
      <c r="F171" s="7"/>
    </row>
    <row r="172" spans="1:6" ht="13" x14ac:dyDescent="0.15">
      <c r="A172" s="13"/>
      <c r="C172" s="7"/>
      <c r="D172" s="13"/>
      <c r="E172" s="7"/>
      <c r="F172" s="7"/>
    </row>
    <row r="173" spans="1:6" ht="13" x14ac:dyDescent="0.15">
      <c r="A173" s="13"/>
      <c r="C173" s="7"/>
      <c r="D173" s="13"/>
      <c r="E173" s="7"/>
      <c r="F173" s="7"/>
    </row>
    <row r="174" spans="1:6" ht="13" x14ac:dyDescent="0.15">
      <c r="A174" s="13"/>
      <c r="C174" s="7"/>
      <c r="D174" s="13"/>
      <c r="E174" s="7"/>
      <c r="F174" s="7"/>
    </row>
    <row r="175" spans="1:6" ht="13" x14ac:dyDescent="0.15">
      <c r="A175" s="13"/>
      <c r="C175" s="7"/>
      <c r="D175" s="13"/>
      <c r="E175" s="7"/>
      <c r="F175" s="7"/>
    </row>
    <row r="176" spans="1:6" ht="13" x14ac:dyDescent="0.15">
      <c r="A176" s="13"/>
      <c r="C176" s="7"/>
      <c r="D176" s="13"/>
      <c r="E176" s="7"/>
      <c r="F176" s="7"/>
    </row>
    <row r="177" spans="1:6" ht="13" x14ac:dyDescent="0.15">
      <c r="A177" s="13"/>
      <c r="C177" s="7"/>
      <c r="D177" s="13"/>
      <c r="E177" s="7"/>
      <c r="F177" s="7"/>
    </row>
    <row r="178" spans="1:6" ht="13" x14ac:dyDescent="0.15">
      <c r="A178" s="13"/>
      <c r="C178" s="7"/>
      <c r="D178" s="13"/>
      <c r="E178" s="7"/>
      <c r="F178" s="7"/>
    </row>
    <row r="179" spans="1:6" ht="13" x14ac:dyDescent="0.15">
      <c r="A179" s="13"/>
      <c r="C179" s="7"/>
      <c r="D179" s="13"/>
      <c r="E179" s="7"/>
      <c r="F179" s="7"/>
    </row>
    <row r="180" spans="1:6" ht="13" x14ac:dyDescent="0.15">
      <c r="A180" s="13"/>
      <c r="C180" s="7"/>
      <c r="D180" s="13"/>
      <c r="E180" s="7"/>
      <c r="F180" s="7"/>
    </row>
    <row r="181" spans="1:6" ht="13" x14ac:dyDescent="0.15">
      <c r="A181" s="13"/>
      <c r="C181" s="7"/>
      <c r="D181" s="13"/>
      <c r="E181" s="7"/>
      <c r="F181" s="7"/>
    </row>
    <row r="182" spans="1:6" ht="13" x14ac:dyDescent="0.15">
      <c r="A182" s="13"/>
      <c r="C182" s="7"/>
      <c r="D182" s="13"/>
      <c r="E182" s="7"/>
      <c r="F182" s="7"/>
    </row>
    <row r="183" spans="1:6" ht="13" x14ac:dyDescent="0.15">
      <c r="A183" s="13"/>
      <c r="C183" s="7"/>
      <c r="D183" s="13"/>
      <c r="E183" s="7"/>
      <c r="F183" s="7"/>
    </row>
    <row r="184" spans="1:6" ht="13" x14ac:dyDescent="0.15">
      <c r="A184" s="13"/>
      <c r="C184" s="7"/>
      <c r="D184" s="13"/>
      <c r="E184" s="7"/>
      <c r="F184" s="7"/>
    </row>
    <row r="185" spans="1:6" ht="13" x14ac:dyDescent="0.15">
      <c r="A185" s="13"/>
      <c r="C185" s="7"/>
      <c r="D185" s="13"/>
      <c r="E185" s="7"/>
      <c r="F185" s="7"/>
    </row>
    <row r="186" spans="1:6" ht="13" x14ac:dyDescent="0.15">
      <c r="A186" s="13"/>
      <c r="C186" s="7"/>
      <c r="D186" s="13"/>
      <c r="E186" s="7"/>
      <c r="F186" s="7"/>
    </row>
    <row r="187" spans="1:6" ht="13" x14ac:dyDescent="0.15">
      <c r="A187" s="13"/>
      <c r="C187" s="7"/>
      <c r="D187" s="13"/>
      <c r="E187" s="7"/>
      <c r="F187" s="7"/>
    </row>
    <row r="188" spans="1:6" ht="13" x14ac:dyDescent="0.15">
      <c r="A188" s="13"/>
      <c r="C188" s="7"/>
      <c r="D188" s="13"/>
      <c r="E188" s="7"/>
      <c r="F188" s="7"/>
    </row>
    <row r="189" spans="1:6" ht="13" x14ac:dyDescent="0.15">
      <c r="A189" s="13"/>
      <c r="C189" s="7"/>
      <c r="D189" s="13"/>
      <c r="E189" s="7"/>
      <c r="F189" s="7"/>
    </row>
    <row r="190" spans="1:6" ht="13" x14ac:dyDescent="0.15">
      <c r="A190" s="13"/>
      <c r="C190" s="7"/>
      <c r="D190" s="13"/>
      <c r="E190" s="7"/>
      <c r="F190" s="7"/>
    </row>
    <row r="191" spans="1:6" ht="13" x14ac:dyDescent="0.15">
      <c r="A191" s="13"/>
      <c r="C191" s="7"/>
      <c r="D191" s="13"/>
      <c r="E191" s="7"/>
      <c r="F191" s="7"/>
    </row>
    <row r="192" spans="1:6" ht="13" x14ac:dyDescent="0.15">
      <c r="A192" s="13"/>
      <c r="C192" s="7"/>
      <c r="D192" s="13"/>
      <c r="E192" s="7"/>
      <c r="F192" s="7"/>
    </row>
    <row r="193" spans="1:6" ht="13" x14ac:dyDescent="0.15">
      <c r="A193" s="13"/>
      <c r="C193" s="7"/>
      <c r="D193" s="13"/>
      <c r="E193" s="7"/>
      <c r="F193" s="7"/>
    </row>
    <row r="194" spans="1:6" ht="13" x14ac:dyDescent="0.15">
      <c r="A194" s="13"/>
      <c r="C194" s="7"/>
      <c r="D194" s="13"/>
      <c r="E194" s="7"/>
      <c r="F194" s="7"/>
    </row>
    <row r="195" spans="1:6" ht="13" x14ac:dyDescent="0.15">
      <c r="A195" s="13"/>
      <c r="C195" s="7"/>
      <c r="D195" s="13"/>
      <c r="E195" s="7"/>
      <c r="F195" s="7"/>
    </row>
    <row r="196" spans="1:6" ht="13" x14ac:dyDescent="0.15">
      <c r="A196" s="13"/>
      <c r="C196" s="7"/>
      <c r="D196" s="13"/>
      <c r="E196" s="7"/>
      <c r="F196" s="7"/>
    </row>
    <row r="197" spans="1:6" ht="13" x14ac:dyDescent="0.15">
      <c r="A197" s="13"/>
      <c r="C197" s="7"/>
      <c r="D197" s="13"/>
      <c r="E197" s="7"/>
      <c r="F197" s="7"/>
    </row>
    <row r="198" spans="1:6" ht="13" x14ac:dyDescent="0.15">
      <c r="A198" s="13"/>
      <c r="C198" s="7"/>
      <c r="D198" s="13"/>
      <c r="E198" s="7"/>
      <c r="F198" s="7"/>
    </row>
    <row r="199" spans="1:6" ht="13" x14ac:dyDescent="0.15">
      <c r="A199" s="13"/>
      <c r="C199" s="7"/>
      <c r="D199" s="13"/>
      <c r="E199" s="7"/>
      <c r="F199" s="7"/>
    </row>
    <row r="200" spans="1:6" ht="13" x14ac:dyDescent="0.15">
      <c r="A200" s="13"/>
      <c r="C200" s="7"/>
      <c r="D200" s="13"/>
      <c r="E200" s="7"/>
      <c r="F200" s="7"/>
    </row>
    <row r="201" spans="1:6" ht="13" x14ac:dyDescent="0.15">
      <c r="A201" s="13"/>
      <c r="C201" s="7"/>
      <c r="D201" s="13"/>
      <c r="E201" s="7"/>
      <c r="F201" s="7"/>
    </row>
    <row r="202" spans="1:6" ht="13" x14ac:dyDescent="0.15">
      <c r="A202" s="13"/>
      <c r="C202" s="7"/>
      <c r="D202" s="13"/>
      <c r="E202" s="7"/>
      <c r="F202" s="7"/>
    </row>
    <row r="203" spans="1:6" ht="13" x14ac:dyDescent="0.15">
      <c r="A203" s="13"/>
      <c r="C203" s="7"/>
      <c r="D203" s="13"/>
      <c r="E203" s="7"/>
      <c r="F203" s="7"/>
    </row>
    <row r="204" spans="1:6" ht="13" x14ac:dyDescent="0.15">
      <c r="A204" s="13"/>
      <c r="C204" s="7"/>
      <c r="D204" s="13"/>
      <c r="E204" s="7"/>
      <c r="F204" s="7"/>
    </row>
    <row r="205" spans="1:6" ht="13" x14ac:dyDescent="0.15">
      <c r="A205" s="13"/>
      <c r="C205" s="7"/>
      <c r="D205" s="13"/>
      <c r="E205" s="7"/>
      <c r="F205" s="7"/>
    </row>
    <row r="206" spans="1:6" ht="13" x14ac:dyDescent="0.15">
      <c r="A206" s="13"/>
      <c r="C206" s="7"/>
      <c r="D206" s="13"/>
      <c r="E206" s="7"/>
      <c r="F206" s="7"/>
    </row>
    <row r="207" spans="1:6" ht="13" x14ac:dyDescent="0.15">
      <c r="A207" s="13"/>
      <c r="C207" s="7"/>
      <c r="D207" s="13"/>
      <c r="E207" s="7"/>
      <c r="F207" s="7"/>
    </row>
    <row r="208" spans="1:6" ht="13" x14ac:dyDescent="0.15">
      <c r="A208" s="13"/>
      <c r="C208" s="7"/>
      <c r="D208" s="13"/>
      <c r="E208" s="7"/>
      <c r="F208" s="7"/>
    </row>
    <row r="209" spans="1:6" ht="13" x14ac:dyDescent="0.15">
      <c r="A209" s="13"/>
      <c r="C209" s="7"/>
      <c r="D209" s="13"/>
      <c r="E209" s="7"/>
      <c r="F209" s="7"/>
    </row>
    <row r="210" spans="1:6" ht="13" x14ac:dyDescent="0.15">
      <c r="A210" s="13"/>
      <c r="C210" s="7"/>
      <c r="D210" s="13"/>
      <c r="E210" s="7"/>
      <c r="F210" s="7"/>
    </row>
    <row r="211" spans="1:6" ht="13" x14ac:dyDescent="0.15">
      <c r="A211" s="13"/>
      <c r="C211" s="7"/>
      <c r="D211" s="13"/>
      <c r="E211" s="7"/>
      <c r="F211" s="7"/>
    </row>
    <row r="212" spans="1:6" ht="13" x14ac:dyDescent="0.15">
      <c r="A212" s="13"/>
      <c r="C212" s="7"/>
      <c r="D212" s="13"/>
      <c r="E212" s="7"/>
      <c r="F212" s="7"/>
    </row>
    <row r="213" spans="1:6" ht="13" x14ac:dyDescent="0.15">
      <c r="A213" s="13"/>
      <c r="C213" s="7"/>
      <c r="D213" s="13"/>
      <c r="E213" s="7"/>
      <c r="F213" s="7"/>
    </row>
    <row r="214" spans="1:6" ht="13" x14ac:dyDescent="0.15">
      <c r="A214" s="13"/>
      <c r="C214" s="7"/>
      <c r="D214" s="13"/>
      <c r="E214" s="7"/>
      <c r="F214" s="7"/>
    </row>
    <row r="215" spans="1:6" ht="13" x14ac:dyDescent="0.15">
      <c r="A215" s="13"/>
      <c r="C215" s="7"/>
      <c r="D215" s="13"/>
      <c r="E215" s="7"/>
      <c r="F215" s="7"/>
    </row>
    <row r="216" spans="1:6" ht="13" x14ac:dyDescent="0.15">
      <c r="A216" s="13"/>
      <c r="C216" s="7"/>
      <c r="D216" s="13"/>
      <c r="E216" s="7"/>
      <c r="F216" s="7"/>
    </row>
    <row r="217" spans="1:6" ht="13" x14ac:dyDescent="0.15">
      <c r="A217" s="13"/>
      <c r="C217" s="7"/>
      <c r="D217" s="13"/>
      <c r="E217" s="7"/>
      <c r="F217" s="7"/>
    </row>
    <row r="218" spans="1:6" ht="13" x14ac:dyDescent="0.15">
      <c r="A218" s="13"/>
      <c r="C218" s="7"/>
      <c r="D218" s="13"/>
      <c r="E218" s="7"/>
      <c r="F218" s="7"/>
    </row>
    <row r="219" spans="1:6" ht="13" x14ac:dyDescent="0.15">
      <c r="A219" s="13"/>
      <c r="C219" s="7"/>
      <c r="D219" s="13"/>
      <c r="E219" s="7"/>
      <c r="F219" s="7"/>
    </row>
    <row r="220" spans="1:6" ht="13" x14ac:dyDescent="0.15">
      <c r="A220" s="13"/>
      <c r="C220" s="7"/>
      <c r="D220" s="13"/>
      <c r="E220" s="7"/>
      <c r="F220" s="7"/>
    </row>
    <row r="221" spans="1:6" ht="13" x14ac:dyDescent="0.15">
      <c r="A221" s="13"/>
      <c r="C221" s="7"/>
      <c r="D221" s="13"/>
      <c r="E221" s="7"/>
      <c r="F221" s="7"/>
    </row>
    <row r="222" spans="1:6" ht="13" x14ac:dyDescent="0.15">
      <c r="A222" s="13"/>
      <c r="C222" s="7"/>
      <c r="D222" s="13"/>
      <c r="E222" s="7"/>
      <c r="F222" s="7"/>
    </row>
    <row r="223" spans="1:6" ht="13" x14ac:dyDescent="0.15">
      <c r="A223" s="13"/>
      <c r="C223" s="7"/>
      <c r="D223" s="13"/>
      <c r="E223" s="7"/>
      <c r="F223" s="7"/>
    </row>
    <row r="224" spans="1:6" ht="13" x14ac:dyDescent="0.15">
      <c r="A224" s="13"/>
      <c r="C224" s="7"/>
      <c r="D224" s="13"/>
      <c r="E224" s="7"/>
      <c r="F224" s="7"/>
    </row>
    <row r="225" spans="1:6" ht="13" x14ac:dyDescent="0.15">
      <c r="A225" s="13"/>
      <c r="C225" s="7"/>
      <c r="D225" s="13"/>
      <c r="E225" s="7"/>
      <c r="F225" s="7"/>
    </row>
    <row r="226" spans="1:6" ht="13" x14ac:dyDescent="0.15">
      <c r="A226" s="13"/>
      <c r="C226" s="7"/>
      <c r="D226" s="13"/>
      <c r="E226" s="7"/>
      <c r="F226" s="7"/>
    </row>
    <row r="227" spans="1:6" ht="13" x14ac:dyDescent="0.15">
      <c r="A227" s="13"/>
      <c r="C227" s="7"/>
      <c r="D227" s="13"/>
      <c r="E227" s="7"/>
      <c r="F227" s="7"/>
    </row>
    <row r="228" spans="1:6" ht="13" x14ac:dyDescent="0.15">
      <c r="A228" s="13"/>
      <c r="C228" s="7"/>
      <c r="D228" s="13"/>
      <c r="E228" s="7"/>
      <c r="F228" s="7"/>
    </row>
    <row r="229" spans="1:6" ht="13" x14ac:dyDescent="0.15">
      <c r="A229" s="13"/>
      <c r="C229" s="7"/>
      <c r="D229" s="13"/>
      <c r="E229" s="7"/>
      <c r="F229" s="7"/>
    </row>
    <row r="230" spans="1:6" ht="13" x14ac:dyDescent="0.15">
      <c r="A230" s="13"/>
      <c r="C230" s="7"/>
      <c r="D230" s="13"/>
      <c r="E230" s="7"/>
      <c r="F230" s="7"/>
    </row>
    <row r="231" spans="1:6" ht="13" x14ac:dyDescent="0.15">
      <c r="A231" s="13"/>
      <c r="C231" s="7"/>
      <c r="D231" s="13"/>
      <c r="E231" s="7"/>
      <c r="F231" s="7"/>
    </row>
    <row r="232" spans="1:6" ht="13" x14ac:dyDescent="0.15">
      <c r="A232" s="13"/>
      <c r="C232" s="7"/>
      <c r="D232" s="13"/>
      <c r="E232" s="7"/>
      <c r="F232" s="7"/>
    </row>
    <row r="233" spans="1:6" ht="13" x14ac:dyDescent="0.15">
      <c r="A233" s="13"/>
      <c r="C233" s="7"/>
      <c r="D233" s="13"/>
      <c r="E233" s="7"/>
      <c r="F233" s="7"/>
    </row>
    <row r="234" spans="1:6" ht="13" x14ac:dyDescent="0.15">
      <c r="A234" s="13"/>
      <c r="C234" s="7"/>
      <c r="D234" s="13"/>
      <c r="E234" s="7"/>
      <c r="F234" s="7"/>
    </row>
    <row r="235" spans="1:6" ht="13" x14ac:dyDescent="0.15">
      <c r="A235" s="13"/>
      <c r="C235" s="7"/>
      <c r="D235" s="13"/>
      <c r="E235" s="7"/>
      <c r="F235" s="7"/>
    </row>
    <row r="236" spans="1:6" ht="13" x14ac:dyDescent="0.15">
      <c r="A236" s="13"/>
      <c r="C236" s="7"/>
      <c r="D236" s="13"/>
      <c r="E236" s="7"/>
      <c r="F236" s="7"/>
    </row>
    <row r="237" spans="1:6" ht="13" x14ac:dyDescent="0.15">
      <c r="A237" s="13"/>
      <c r="C237" s="7"/>
      <c r="D237" s="13"/>
      <c r="E237" s="7"/>
      <c r="F237" s="7"/>
    </row>
    <row r="238" spans="1:6" ht="13" x14ac:dyDescent="0.15">
      <c r="A238" s="13"/>
      <c r="C238" s="7"/>
      <c r="D238" s="13"/>
      <c r="E238" s="7"/>
      <c r="F238" s="7"/>
    </row>
    <row r="239" spans="1:6" ht="13" x14ac:dyDescent="0.15">
      <c r="A239" s="13"/>
      <c r="C239" s="7"/>
      <c r="D239" s="13"/>
      <c r="E239" s="7"/>
      <c r="F239" s="7"/>
    </row>
    <row r="240" spans="1:6" ht="13" x14ac:dyDescent="0.15">
      <c r="A240" s="13"/>
      <c r="C240" s="7"/>
      <c r="D240" s="13"/>
      <c r="E240" s="7"/>
      <c r="F240" s="7"/>
    </row>
    <row r="241" spans="1:6" ht="13" x14ac:dyDescent="0.15">
      <c r="A241" s="13"/>
      <c r="C241" s="7"/>
      <c r="D241" s="13"/>
      <c r="E241" s="7"/>
      <c r="F241" s="7"/>
    </row>
    <row r="242" spans="1:6" ht="13" x14ac:dyDescent="0.15">
      <c r="A242" s="13"/>
      <c r="C242" s="7"/>
      <c r="D242" s="13"/>
      <c r="E242" s="7"/>
      <c r="F242" s="7"/>
    </row>
    <row r="243" spans="1:6" ht="13" x14ac:dyDescent="0.15">
      <c r="A243" s="13"/>
      <c r="C243" s="7"/>
      <c r="D243" s="13"/>
      <c r="E243" s="7"/>
      <c r="F243" s="7"/>
    </row>
    <row r="244" spans="1:6" ht="13" x14ac:dyDescent="0.15">
      <c r="A244" s="13"/>
      <c r="C244" s="7"/>
      <c r="D244" s="13"/>
      <c r="E244" s="7"/>
      <c r="F244" s="7"/>
    </row>
    <row r="245" spans="1:6" ht="13" x14ac:dyDescent="0.15">
      <c r="A245" s="13"/>
      <c r="C245" s="7"/>
      <c r="D245" s="13"/>
      <c r="E245" s="7"/>
      <c r="F245" s="7"/>
    </row>
    <row r="246" spans="1:6" ht="13" x14ac:dyDescent="0.15">
      <c r="A246" s="13"/>
      <c r="C246" s="7"/>
      <c r="D246" s="13"/>
      <c r="E246" s="7"/>
      <c r="F246" s="7"/>
    </row>
    <row r="247" spans="1:6" ht="13" x14ac:dyDescent="0.15">
      <c r="A247" s="13"/>
      <c r="C247" s="7"/>
      <c r="D247" s="13"/>
      <c r="E247" s="7"/>
      <c r="F247" s="7"/>
    </row>
    <row r="248" spans="1:6" ht="13" x14ac:dyDescent="0.15">
      <c r="A248" s="13"/>
      <c r="C248" s="7"/>
      <c r="D248" s="13"/>
      <c r="E248" s="7"/>
      <c r="F248" s="7"/>
    </row>
    <row r="249" spans="1:6" ht="13" x14ac:dyDescent="0.15">
      <c r="A249" s="13"/>
      <c r="C249" s="7"/>
      <c r="D249" s="13"/>
      <c r="E249" s="7"/>
      <c r="F249" s="7"/>
    </row>
    <row r="250" spans="1:6" ht="13" x14ac:dyDescent="0.15">
      <c r="A250" s="13"/>
      <c r="C250" s="7"/>
      <c r="D250" s="13"/>
      <c r="E250" s="7"/>
      <c r="F250" s="7"/>
    </row>
    <row r="251" spans="1:6" ht="13" x14ac:dyDescent="0.15">
      <c r="A251" s="13"/>
      <c r="C251" s="7"/>
      <c r="D251" s="13"/>
      <c r="E251" s="7"/>
      <c r="F251" s="7"/>
    </row>
    <row r="252" spans="1:6" ht="13" x14ac:dyDescent="0.15">
      <c r="A252" s="13"/>
      <c r="C252" s="7"/>
      <c r="D252" s="13"/>
      <c r="E252" s="7"/>
      <c r="F252" s="7"/>
    </row>
    <row r="253" spans="1:6" ht="13" x14ac:dyDescent="0.15">
      <c r="A253" s="13"/>
      <c r="C253" s="7"/>
      <c r="D253" s="13"/>
      <c r="E253" s="7"/>
      <c r="F253" s="7"/>
    </row>
    <row r="254" spans="1:6" ht="13" x14ac:dyDescent="0.15">
      <c r="A254" s="13"/>
      <c r="C254" s="7"/>
      <c r="D254" s="13"/>
      <c r="E254" s="7"/>
      <c r="F254" s="7"/>
    </row>
    <row r="255" spans="1:6" ht="13" x14ac:dyDescent="0.15">
      <c r="A255" s="13"/>
      <c r="C255" s="7"/>
      <c r="D255" s="13"/>
      <c r="E255" s="7"/>
      <c r="F255" s="7"/>
    </row>
    <row r="256" spans="1:6" ht="13" x14ac:dyDescent="0.15">
      <c r="A256" s="13"/>
      <c r="C256" s="7"/>
      <c r="D256" s="13"/>
      <c r="E256" s="7"/>
      <c r="F256" s="7"/>
    </row>
    <row r="257" spans="1:6" ht="13" x14ac:dyDescent="0.15">
      <c r="A257" s="13"/>
      <c r="C257" s="7"/>
      <c r="D257" s="13"/>
      <c r="E257" s="7"/>
      <c r="F257" s="7"/>
    </row>
    <row r="258" spans="1:6" ht="13" x14ac:dyDescent="0.15">
      <c r="A258" s="13"/>
      <c r="C258" s="7"/>
      <c r="D258" s="13"/>
      <c r="E258" s="7"/>
      <c r="F258" s="7"/>
    </row>
    <row r="259" spans="1:6" ht="13" x14ac:dyDescent="0.15">
      <c r="A259" s="13"/>
      <c r="C259" s="7"/>
      <c r="D259" s="13"/>
      <c r="E259" s="7"/>
      <c r="F259" s="7"/>
    </row>
    <row r="260" spans="1:6" ht="13" x14ac:dyDescent="0.15">
      <c r="A260" s="13"/>
      <c r="C260" s="7"/>
      <c r="D260" s="13"/>
      <c r="E260" s="7"/>
      <c r="F260" s="7"/>
    </row>
    <row r="261" spans="1:6" ht="13" x14ac:dyDescent="0.15">
      <c r="A261" s="13"/>
      <c r="C261" s="7"/>
      <c r="D261" s="13"/>
      <c r="E261" s="7"/>
      <c r="F261" s="7"/>
    </row>
    <row r="262" spans="1:6" ht="13" x14ac:dyDescent="0.15">
      <c r="A262" s="13"/>
      <c r="C262" s="7"/>
      <c r="D262" s="13"/>
      <c r="E262" s="7"/>
      <c r="F262" s="7"/>
    </row>
    <row r="263" spans="1:6" ht="13" x14ac:dyDescent="0.15">
      <c r="A263" s="13"/>
      <c r="C263" s="7"/>
      <c r="D263" s="13"/>
      <c r="E263" s="7"/>
      <c r="F263" s="7"/>
    </row>
    <row r="264" spans="1:6" ht="13" x14ac:dyDescent="0.15">
      <c r="A264" s="13"/>
      <c r="C264" s="7"/>
      <c r="D264" s="13"/>
      <c r="E264" s="7"/>
      <c r="F264" s="7"/>
    </row>
    <row r="265" spans="1:6" ht="13" x14ac:dyDescent="0.15">
      <c r="A265" s="13"/>
      <c r="C265" s="7"/>
      <c r="D265" s="13"/>
      <c r="E265" s="7"/>
      <c r="F265" s="7"/>
    </row>
    <row r="266" spans="1:6" ht="13" x14ac:dyDescent="0.15">
      <c r="A266" s="13"/>
      <c r="C266" s="7"/>
      <c r="D266" s="13"/>
      <c r="E266" s="7"/>
      <c r="F266" s="7"/>
    </row>
    <row r="267" spans="1:6" ht="13" x14ac:dyDescent="0.15">
      <c r="A267" s="13"/>
      <c r="C267" s="7"/>
      <c r="D267" s="13"/>
      <c r="E267" s="7"/>
      <c r="F267" s="7"/>
    </row>
    <row r="268" spans="1:6" ht="13" x14ac:dyDescent="0.15">
      <c r="A268" s="13"/>
      <c r="C268" s="7"/>
      <c r="D268" s="13"/>
      <c r="E268" s="7"/>
      <c r="F268" s="7"/>
    </row>
    <row r="269" spans="1:6" ht="13" x14ac:dyDescent="0.15">
      <c r="A269" s="13"/>
      <c r="C269" s="7"/>
      <c r="D269" s="13"/>
      <c r="E269" s="7"/>
      <c r="F269" s="7"/>
    </row>
    <row r="270" spans="1:6" ht="13" x14ac:dyDescent="0.15">
      <c r="A270" s="13"/>
      <c r="C270" s="7"/>
      <c r="D270" s="13"/>
      <c r="E270" s="7"/>
      <c r="F270" s="7"/>
    </row>
    <row r="271" spans="1:6" ht="13" x14ac:dyDescent="0.15">
      <c r="A271" s="13"/>
      <c r="C271" s="7"/>
      <c r="D271" s="13"/>
      <c r="E271" s="7"/>
      <c r="F271" s="7"/>
    </row>
    <row r="272" spans="1:6" ht="13" x14ac:dyDescent="0.15">
      <c r="A272" s="13"/>
      <c r="C272" s="7"/>
      <c r="D272" s="13"/>
      <c r="E272" s="7"/>
      <c r="F272" s="7"/>
    </row>
    <row r="273" spans="1:6" ht="13" x14ac:dyDescent="0.15">
      <c r="A273" s="13"/>
      <c r="C273" s="7"/>
      <c r="D273" s="13"/>
      <c r="E273" s="7"/>
      <c r="F273" s="7"/>
    </row>
    <row r="274" spans="1:6" ht="13" x14ac:dyDescent="0.15">
      <c r="A274" s="13"/>
      <c r="C274" s="7"/>
      <c r="D274" s="13"/>
      <c r="E274" s="7"/>
      <c r="F274" s="7"/>
    </row>
    <row r="275" spans="1:6" ht="13" x14ac:dyDescent="0.15">
      <c r="A275" s="13"/>
      <c r="C275" s="7"/>
      <c r="D275" s="13"/>
      <c r="E275" s="7"/>
      <c r="F275" s="7"/>
    </row>
    <row r="276" spans="1:6" ht="13" x14ac:dyDescent="0.15">
      <c r="A276" s="13"/>
      <c r="C276" s="7"/>
      <c r="D276" s="13"/>
      <c r="E276" s="7"/>
      <c r="F276" s="7"/>
    </row>
    <row r="277" spans="1:6" ht="13" x14ac:dyDescent="0.15">
      <c r="A277" s="13"/>
      <c r="C277" s="7"/>
      <c r="D277" s="13"/>
      <c r="E277" s="7"/>
      <c r="F277" s="7"/>
    </row>
    <row r="278" spans="1:6" ht="13" x14ac:dyDescent="0.15">
      <c r="A278" s="13"/>
      <c r="C278" s="7"/>
      <c r="D278" s="13"/>
      <c r="E278" s="7"/>
      <c r="F278" s="7"/>
    </row>
    <row r="279" spans="1:6" ht="13" x14ac:dyDescent="0.15">
      <c r="A279" s="13"/>
      <c r="C279" s="7"/>
      <c r="D279" s="13"/>
      <c r="E279" s="7"/>
      <c r="F279" s="7"/>
    </row>
    <row r="280" spans="1:6" ht="13" x14ac:dyDescent="0.15">
      <c r="A280" s="13"/>
      <c r="C280" s="7"/>
      <c r="D280" s="13"/>
      <c r="E280" s="7"/>
      <c r="F280" s="7"/>
    </row>
    <row r="281" spans="1:6" ht="13" x14ac:dyDescent="0.15">
      <c r="A281" s="13"/>
      <c r="C281" s="7"/>
      <c r="D281" s="13"/>
      <c r="E281" s="7"/>
      <c r="F281" s="7"/>
    </row>
    <row r="282" spans="1:6" ht="13" x14ac:dyDescent="0.15">
      <c r="A282" s="13"/>
      <c r="C282" s="7"/>
      <c r="D282" s="13"/>
      <c r="E282" s="7"/>
      <c r="F282" s="7"/>
    </row>
    <row r="283" spans="1:6" ht="13" x14ac:dyDescent="0.15">
      <c r="A283" s="13"/>
      <c r="C283" s="7"/>
      <c r="D283" s="13"/>
      <c r="E283" s="7"/>
      <c r="F283" s="7"/>
    </row>
    <row r="284" spans="1:6" ht="13" x14ac:dyDescent="0.15">
      <c r="A284" s="13"/>
      <c r="C284" s="7"/>
      <c r="D284" s="13"/>
      <c r="E284" s="7"/>
      <c r="F284" s="7"/>
    </row>
    <row r="285" spans="1:6" ht="13" x14ac:dyDescent="0.15">
      <c r="A285" s="13"/>
      <c r="C285" s="7"/>
      <c r="D285" s="13"/>
      <c r="E285" s="7"/>
      <c r="F285" s="7"/>
    </row>
    <row r="286" spans="1:6" ht="13" x14ac:dyDescent="0.15">
      <c r="A286" s="13"/>
      <c r="C286" s="7"/>
      <c r="D286" s="13"/>
      <c r="E286" s="7"/>
      <c r="F286" s="7"/>
    </row>
    <row r="287" spans="1:6" ht="13" x14ac:dyDescent="0.15">
      <c r="A287" s="13"/>
      <c r="C287" s="7"/>
      <c r="D287" s="13"/>
      <c r="E287" s="7"/>
      <c r="F287" s="7"/>
    </row>
    <row r="288" spans="1:6" ht="13" x14ac:dyDescent="0.15">
      <c r="A288" s="13"/>
      <c r="C288" s="7"/>
      <c r="D288" s="13"/>
      <c r="E288" s="7"/>
      <c r="F288" s="7"/>
    </row>
    <row r="289" spans="1:6" ht="13" x14ac:dyDescent="0.15">
      <c r="A289" s="13"/>
      <c r="C289" s="7"/>
      <c r="D289" s="13"/>
      <c r="E289" s="7"/>
      <c r="F289" s="7"/>
    </row>
    <row r="290" spans="1:6" ht="13" x14ac:dyDescent="0.15">
      <c r="A290" s="13"/>
      <c r="C290" s="7"/>
      <c r="D290" s="13"/>
      <c r="E290" s="7"/>
      <c r="F290" s="7"/>
    </row>
    <row r="291" spans="1:6" ht="13" x14ac:dyDescent="0.15">
      <c r="A291" s="13"/>
      <c r="C291" s="7"/>
      <c r="D291" s="13"/>
      <c r="E291" s="7"/>
      <c r="F291" s="7"/>
    </row>
    <row r="292" spans="1:6" ht="13" x14ac:dyDescent="0.15">
      <c r="A292" s="13"/>
      <c r="C292" s="7"/>
      <c r="D292" s="13"/>
      <c r="E292" s="7"/>
      <c r="F292" s="7"/>
    </row>
    <row r="293" spans="1:6" ht="13" x14ac:dyDescent="0.15">
      <c r="A293" s="13"/>
      <c r="C293" s="7"/>
      <c r="D293" s="13"/>
      <c r="E293" s="7"/>
      <c r="F293" s="7"/>
    </row>
    <row r="294" spans="1:6" ht="13" x14ac:dyDescent="0.15">
      <c r="A294" s="13"/>
      <c r="C294" s="7"/>
      <c r="D294" s="13"/>
      <c r="E294" s="7"/>
      <c r="F294" s="7"/>
    </row>
    <row r="295" spans="1:6" ht="13" x14ac:dyDescent="0.15">
      <c r="A295" s="13"/>
      <c r="C295" s="7"/>
      <c r="D295" s="13"/>
      <c r="E295" s="7"/>
      <c r="F295" s="7"/>
    </row>
    <row r="296" spans="1:6" ht="13" x14ac:dyDescent="0.15">
      <c r="A296" s="13"/>
      <c r="C296" s="7"/>
      <c r="D296" s="13"/>
      <c r="E296" s="7"/>
      <c r="F296" s="7"/>
    </row>
    <row r="297" spans="1:6" ht="13" x14ac:dyDescent="0.15">
      <c r="A297" s="13"/>
      <c r="C297" s="7"/>
      <c r="D297" s="13"/>
      <c r="E297" s="7"/>
      <c r="F297" s="7"/>
    </row>
    <row r="298" spans="1:6" ht="13" x14ac:dyDescent="0.15">
      <c r="A298" s="13"/>
      <c r="C298" s="7"/>
      <c r="D298" s="13"/>
      <c r="E298" s="7"/>
      <c r="F298" s="7"/>
    </row>
    <row r="299" spans="1:6" ht="13" x14ac:dyDescent="0.15">
      <c r="A299" s="13"/>
      <c r="C299" s="7"/>
      <c r="D299" s="13"/>
      <c r="E299" s="7"/>
      <c r="F299" s="7"/>
    </row>
    <row r="300" spans="1:6" ht="13" x14ac:dyDescent="0.15">
      <c r="A300" s="13"/>
      <c r="C300" s="7"/>
      <c r="D300" s="13"/>
      <c r="E300" s="7"/>
      <c r="F300" s="7"/>
    </row>
    <row r="301" spans="1:6" ht="13" x14ac:dyDescent="0.15">
      <c r="A301" s="13"/>
      <c r="C301" s="7"/>
      <c r="D301" s="13"/>
      <c r="E301" s="7"/>
      <c r="F301" s="7"/>
    </row>
    <row r="302" spans="1:6" ht="13" x14ac:dyDescent="0.15">
      <c r="A302" s="13"/>
      <c r="C302" s="7"/>
      <c r="D302" s="13"/>
      <c r="E302" s="7"/>
      <c r="F302" s="7"/>
    </row>
    <row r="303" spans="1:6" ht="13" x14ac:dyDescent="0.15">
      <c r="A303" s="13"/>
      <c r="C303" s="7"/>
      <c r="D303" s="13"/>
      <c r="E303" s="7"/>
      <c r="F303" s="7"/>
    </row>
    <row r="304" spans="1:6" ht="13" x14ac:dyDescent="0.15">
      <c r="A304" s="13"/>
      <c r="C304" s="7"/>
      <c r="D304" s="13"/>
      <c r="E304" s="7"/>
      <c r="F304" s="7"/>
    </row>
    <row r="305" spans="1:6" ht="13" x14ac:dyDescent="0.15">
      <c r="A305" s="13"/>
      <c r="C305" s="7"/>
      <c r="D305" s="13"/>
      <c r="E305" s="7"/>
      <c r="F305" s="7"/>
    </row>
    <row r="306" spans="1:6" ht="13" x14ac:dyDescent="0.15">
      <c r="A306" s="13"/>
      <c r="C306" s="7"/>
      <c r="D306" s="13"/>
      <c r="E306" s="7"/>
      <c r="F306" s="7"/>
    </row>
    <row r="307" spans="1:6" ht="13" x14ac:dyDescent="0.15">
      <c r="A307" s="13"/>
      <c r="C307" s="7"/>
      <c r="D307" s="13"/>
      <c r="E307" s="7"/>
      <c r="F307" s="7"/>
    </row>
    <row r="308" spans="1:6" ht="13" x14ac:dyDescent="0.15">
      <c r="A308" s="13"/>
      <c r="C308" s="7"/>
      <c r="D308" s="13"/>
      <c r="E308" s="7"/>
      <c r="F308" s="7"/>
    </row>
    <row r="309" spans="1:6" ht="13" x14ac:dyDescent="0.15">
      <c r="A309" s="13"/>
      <c r="C309" s="7"/>
      <c r="D309" s="13"/>
      <c r="E309" s="7"/>
      <c r="F309" s="7"/>
    </row>
    <row r="310" spans="1:6" ht="13" x14ac:dyDescent="0.15">
      <c r="A310" s="13"/>
      <c r="C310" s="7"/>
      <c r="D310" s="13"/>
      <c r="E310" s="7"/>
      <c r="F310" s="7"/>
    </row>
    <row r="311" spans="1:6" ht="13" x14ac:dyDescent="0.15">
      <c r="A311" s="13"/>
      <c r="C311" s="7"/>
      <c r="D311" s="13"/>
      <c r="E311" s="7"/>
      <c r="F311" s="7"/>
    </row>
    <row r="312" spans="1:6" ht="13" x14ac:dyDescent="0.15">
      <c r="A312" s="13"/>
      <c r="C312" s="7"/>
      <c r="D312" s="13"/>
      <c r="E312" s="7"/>
      <c r="F312" s="7"/>
    </row>
    <row r="313" spans="1:6" ht="13" x14ac:dyDescent="0.15">
      <c r="A313" s="13"/>
      <c r="C313" s="7"/>
      <c r="D313" s="13"/>
      <c r="E313" s="7"/>
      <c r="F313" s="7"/>
    </row>
    <row r="314" spans="1:6" ht="13" x14ac:dyDescent="0.15">
      <c r="A314" s="13"/>
      <c r="C314" s="7"/>
      <c r="D314" s="13"/>
      <c r="E314" s="7"/>
      <c r="F314" s="7"/>
    </row>
    <row r="315" spans="1:6" ht="13" x14ac:dyDescent="0.15">
      <c r="A315" s="13"/>
      <c r="C315" s="7"/>
      <c r="D315" s="13"/>
      <c r="E315" s="7"/>
      <c r="F315" s="7"/>
    </row>
    <row r="316" spans="1:6" ht="13" x14ac:dyDescent="0.15">
      <c r="A316" s="13"/>
      <c r="C316" s="7"/>
      <c r="D316" s="13"/>
      <c r="E316" s="7"/>
      <c r="F316" s="7"/>
    </row>
    <row r="317" spans="1:6" ht="13" x14ac:dyDescent="0.15">
      <c r="A317" s="13"/>
      <c r="C317" s="7"/>
      <c r="D317" s="13"/>
      <c r="E317" s="7"/>
      <c r="F317" s="7"/>
    </row>
    <row r="318" spans="1:6" ht="13" x14ac:dyDescent="0.15">
      <c r="A318" s="13"/>
      <c r="C318" s="7"/>
      <c r="D318" s="13"/>
      <c r="E318" s="7"/>
      <c r="F318" s="7"/>
    </row>
    <row r="319" spans="1:6" ht="13" x14ac:dyDescent="0.15">
      <c r="A319" s="13"/>
      <c r="C319" s="7"/>
      <c r="D319" s="13"/>
      <c r="E319" s="7"/>
      <c r="F319" s="7"/>
    </row>
    <row r="320" spans="1:6" ht="13" x14ac:dyDescent="0.15">
      <c r="A320" s="13"/>
      <c r="C320" s="7"/>
      <c r="D320" s="13"/>
      <c r="E320" s="7"/>
      <c r="F320" s="7"/>
    </row>
    <row r="321" spans="1:6" ht="13" x14ac:dyDescent="0.15">
      <c r="A321" s="13"/>
      <c r="C321" s="7"/>
      <c r="D321" s="13"/>
      <c r="E321" s="7"/>
      <c r="F321" s="7"/>
    </row>
    <row r="322" spans="1:6" ht="13" x14ac:dyDescent="0.15">
      <c r="A322" s="13"/>
      <c r="C322" s="7"/>
      <c r="D322" s="13"/>
      <c r="E322" s="7"/>
      <c r="F322" s="7"/>
    </row>
    <row r="323" spans="1:6" ht="13" x14ac:dyDescent="0.15">
      <c r="A323" s="13"/>
      <c r="C323" s="7"/>
      <c r="D323" s="13"/>
      <c r="E323" s="7"/>
      <c r="F323" s="7"/>
    </row>
    <row r="324" spans="1:6" ht="13" x14ac:dyDescent="0.15">
      <c r="A324" s="13"/>
      <c r="C324" s="7"/>
      <c r="D324" s="13"/>
      <c r="E324" s="7"/>
      <c r="F324" s="7"/>
    </row>
    <row r="325" spans="1:6" ht="13" x14ac:dyDescent="0.15">
      <c r="A325" s="13"/>
      <c r="C325" s="7"/>
      <c r="D325" s="13"/>
      <c r="E325" s="7"/>
      <c r="F325" s="7"/>
    </row>
    <row r="326" spans="1:6" ht="13" x14ac:dyDescent="0.15">
      <c r="A326" s="13"/>
      <c r="C326" s="7"/>
      <c r="D326" s="13"/>
      <c r="E326" s="7"/>
      <c r="F326" s="7"/>
    </row>
    <row r="327" spans="1:6" ht="13" x14ac:dyDescent="0.15">
      <c r="A327" s="13"/>
      <c r="C327" s="7"/>
      <c r="D327" s="13"/>
      <c r="E327" s="7"/>
      <c r="F327" s="7"/>
    </row>
    <row r="328" spans="1:6" ht="13" x14ac:dyDescent="0.15">
      <c r="A328" s="13"/>
      <c r="C328" s="7"/>
      <c r="D328" s="13"/>
      <c r="E328" s="7"/>
      <c r="F328" s="7"/>
    </row>
    <row r="329" spans="1:6" ht="13" x14ac:dyDescent="0.15">
      <c r="A329" s="13"/>
      <c r="C329" s="7"/>
      <c r="D329" s="13"/>
      <c r="E329" s="7"/>
      <c r="F329" s="7"/>
    </row>
    <row r="330" spans="1:6" ht="13" x14ac:dyDescent="0.15">
      <c r="A330" s="13"/>
      <c r="C330" s="7"/>
      <c r="D330" s="13"/>
      <c r="E330" s="7"/>
      <c r="F330" s="7"/>
    </row>
    <row r="331" spans="1:6" ht="13" x14ac:dyDescent="0.15">
      <c r="A331" s="13"/>
      <c r="C331" s="7"/>
      <c r="D331" s="13"/>
      <c r="E331" s="7"/>
      <c r="F331" s="7"/>
    </row>
    <row r="332" spans="1:6" ht="13" x14ac:dyDescent="0.15">
      <c r="A332" s="13"/>
      <c r="C332" s="7"/>
      <c r="D332" s="13"/>
      <c r="E332" s="7"/>
      <c r="F332" s="7"/>
    </row>
    <row r="333" spans="1:6" ht="13" x14ac:dyDescent="0.15">
      <c r="A333" s="13"/>
      <c r="C333" s="7"/>
      <c r="D333" s="13"/>
      <c r="E333" s="7"/>
      <c r="F333" s="7"/>
    </row>
    <row r="334" spans="1:6" ht="13" x14ac:dyDescent="0.15">
      <c r="A334" s="13"/>
      <c r="C334" s="7"/>
      <c r="D334" s="13"/>
      <c r="E334" s="7"/>
      <c r="F334" s="7"/>
    </row>
    <row r="335" spans="1:6" ht="13" x14ac:dyDescent="0.15">
      <c r="A335" s="13"/>
      <c r="C335" s="7"/>
      <c r="D335" s="13"/>
      <c r="E335" s="7"/>
      <c r="F335" s="7"/>
    </row>
    <row r="336" spans="1:6" ht="13" x14ac:dyDescent="0.15">
      <c r="A336" s="13"/>
      <c r="C336" s="7"/>
      <c r="D336" s="13"/>
      <c r="E336" s="7"/>
      <c r="F336" s="7"/>
    </row>
    <row r="337" spans="1:6" ht="13" x14ac:dyDescent="0.15">
      <c r="A337" s="13"/>
      <c r="C337" s="7"/>
      <c r="D337" s="13"/>
      <c r="E337" s="7"/>
      <c r="F337" s="7"/>
    </row>
    <row r="338" spans="1:6" ht="13" x14ac:dyDescent="0.15">
      <c r="A338" s="13"/>
      <c r="C338" s="7"/>
      <c r="D338" s="13"/>
      <c r="E338" s="7"/>
      <c r="F338" s="7"/>
    </row>
    <row r="339" spans="1:6" ht="13" x14ac:dyDescent="0.15">
      <c r="A339" s="13"/>
      <c r="C339" s="7"/>
      <c r="D339" s="13"/>
      <c r="E339" s="7"/>
      <c r="F339" s="7"/>
    </row>
    <row r="340" spans="1:6" ht="13" x14ac:dyDescent="0.15">
      <c r="A340" s="13"/>
      <c r="C340" s="7"/>
      <c r="D340" s="13"/>
      <c r="E340" s="7"/>
      <c r="F340" s="7"/>
    </row>
    <row r="341" spans="1:6" ht="13" x14ac:dyDescent="0.15">
      <c r="A341" s="13"/>
      <c r="C341" s="7"/>
      <c r="D341" s="13"/>
      <c r="E341" s="7"/>
      <c r="F341" s="7"/>
    </row>
    <row r="342" spans="1:6" ht="13" x14ac:dyDescent="0.15">
      <c r="A342" s="13"/>
      <c r="C342" s="7"/>
      <c r="D342" s="13"/>
      <c r="E342" s="7"/>
      <c r="F342" s="7"/>
    </row>
    <row r="343" spans="1:6" ht="13" x14ac:dyDescent="0.15">
      <c r="A343" s="13"/>
      <c r="C343" s="7"/>
      <c r="D343" s="13"/>
      <c r="E343" s="7"/>
      <c r="F343" s="7"/>
    </row>
    <row r="344" spans="1:6" ht="13" x14ac:dyDescent="0.15">
      <c r="A344" s="13"/>
      <c r="C344" s="7"/>
      <c r="D344" s="13"/>
      <c r="E344" s="7"/>
      <c r="F344" s="7"/>
    </row>
    <row r="345" spans="1:6" ht="13" x14ac:dyDescent="0.15">
      <c r="A345" s="13"/>
      <c r="C345" s="7"/>
      <c r="D345" s="13"/>
      <c r="E345" s="7"/>
      <c r="F345" s="7"/>
    </row>
    <row r="346" spans="1:6" ht="13" x14ac:dyDescent="0.15">
      <c r="A346" s="13"/>
      <c r="C346" s="7"/>
      <c r="D346" s="13"/>
      <c r="E346" s="7"/>
      <c r="F346" s="7"/>
    </row>
    <row r="347" spans="1:6" ht="13" x14ac:dyDescent="0.15">
      <c r="A347" s="13"/>
      <c r="C347" s="7"/>
      <c r="D347" s="13"/>
      <c r="E347" s="7"/>
      <c r="F347" s="7"/>
    </row>
    <row r="348" spans="1:6" ht="13" x14ac:dyDescent="0.15">
      <c r="A348" s="13"/>
      <c r="C348" s="7"/>
      <c r="D348" s="13"/>
      <c r="E348" s="7"/>
      <c r="F348" s="7"/>
    </row>
    <row r="349" spans="1:6" ht="13" x14ac:dyDescent="0.15">
      <c r="A349" s="13"/>
      <c r="C349" s="7"/>
      <c r="D349" s="13"/>
      <c r="E349" s="7"/>
      <c r="F349" s="7"/>
    </row>
    <row r="350" spans="1:6" ht="13" x14ac:dyDescent="0.15">
      <c r="A350" s="13"/>
      <c r="C350" s="7"/>
      <c r="D350" s="13"/>
      <c r="E350" s="7"/>
      <c r="F350" s="7"/>
    </row>
    <row r="351" spans="1:6" ht="13" x14ac:dyDescent="0.15">
      <c r="A351" s="13"/>
      <c r="C351" s="7"/>
      <c r="D351" s="13"/>
      <c r="E351" s="7"/>
      <c r="F351" s="7"/>
    </row>
    <row r="352" spans="1:6" ht="13" x14ac:dyDescent="0.15">
      <c r="A352" s="13"/>
      <c r="C352" s="7"/>
      <c r="D352" s="13"/>
      <c r="E352" s="7"/>
      <c r="F352" s="7"/>
    </row>
    <row r="353" spans="1:6" ht="13" x14ac:dyDescent="0.15">
      <c r="A353" s="13"/>
      <c r="C353" s="7"/>
      <c r="D353" s="13"/>
      <c r="E353" s="7"/>
      <c r="F353" s="7"/>
    </row>
    <row r="354" spans="1:6" ht="13" x14ac:dyDescent="0.15">
      <c r="A354" s="13"/>
      <c r="C354" s="7"/>
      <c r="D354" s="13"/>
      <c r="E354" s="7"/>
      <c r="F354" s="7"/>
    </row>
    <row r="355" spans="1:6" ht="13" x14ac:dyDescent="0.15">
      <c r="A355" s="13"/>
      <c r="C355" s="7"/>
      <c r="D355" s="13"/>
      <c r="E355" s="7"/>
      <c r="F355" s="7"/>
    </row>
    <row r="356" spans="1:6" ht="13" x14ac:dyDescent="0.15">
      <c r="A356" s="13"/>
      <c r="C356" s="7"/>
      <c r="D356" s="13"/>
      <c r="E356" s="7"/>
      <c r="F356" s="7"/>
    </row>
    <row r="357" spans="1:6" ht="13" x14ac:dyDescent="0.15">
      <c r="A357" s="13"/>
      <c r="C357" s="7"/>
      <c r="D357" s="13"/>
      <c r="E357" s="7"/>
      <c r="F357" s="7"/>
    </row>
    <row r="358" spans="1:6" ht="13" x14ac:dyDescent="0.15">
      <c r="A358" s="13"/>
      <c r="C358" s="7"/>
      <c r="D358" s="13"/>
      <c r="E358" s="7"/>
      <c r="F358" s="7"/>
    </row>
    <row r="359" spans="1:6" ht="13" x14ac:dyDescent="0.15">
      <c r="A359" s="13"/>
      <c r="C359" s="7"/>
      <c r="D359" s="13"/>
      <c r="E359" s="7"/>
      <c r="F359" s="7"/>
    </row>
    <row r="360" spans="1:6" ht="13" x14ac:dyDescent="0.15">
      <c r="A360" s="13"/>
      <c r="C360" s="7"/>
      <c r="D360" s="13"/>
      <c r="E360" s="7"/>
      <c r="F360" s="7"/>
    </row>
    <row r="361" spans="1:6" ht="13" x14ac:dyDescent="0.15">
      <c r="A361" s="13"/>
      <c r="C361" s="7"/>
      <c r="D361" s="13"/>
      <c r="E361" s="7"/>
      <c r="F361" s="7"/>
    </row>
    <row r="362" spans="1:6" ht="13" x14ac:dyDescent="0.15">
      <c r="A362" s="13"/>
      <c r="C362" s="7"/>
      <c r="D362" s="13"/>
      <c r="E362" s="7"/>
      <c r="F362" s="7"/>
    </row>
    <row r="363" spans="1:6" ht="13" x14ac:dyDescent="0.15">
      <c r="A363" s="13"/>
      <c r="C363" s="7"/>
      <c r="D363" s="13"/>
      <c r="E363" s="7"/>
      <c r="F363" s="7"/>
    </row>
    <row r="364" spans="1:6" ht="13" x14ac:dyDescent="0.15">
      <c r="A364" s="13"/>
      <c r="C364" s="7"/>
      <c r="D364" s="13"/>
      <c r="E364" s="7"/>
      <c r="F364" s="7"/>
    </row>
    <row r="365" spans="1:6" ht="13" x14ac:dyDescent="0.15">
      <c r="A365" s="13"/>
      <c r="C365" s="7"/>
      <c r="D365" s="13"/>
      <c r="E365" s="7"/>
      <c r="F365" s="7"/>
    </row>
    <row r="366" spans="1:6" ht="13" x14ac:dyDescent="0.15">
      <c r="A366" s="13"/>
      <c r="C366" s="7"/>
      <c r="D366" s="13"/>
      <c r="E366" s="7"/>
      <c r="F366" s="7"/>
    </row>
    <row r="367" spans="1:6" ht="13" x14ac:dyDescent="0.15">
      <c r="A367" s="13"/>
      <c r="C367" s="7"/>
      <c r="D367" s="13"/>
      <c r="E367" s="7"/>
      <c r="F367" s="7"/>
    </row>
    <row r="368" spans="1:6" ht="13" x14ac:dyDescent="0.15">
      <c r="A368" s="13"/>
      <c r="C368" s="7"/>
      <c r="D368" s="13"/>
      <c r="E368" s="7"/>
      <c r="F368" s="7"/>
    </row>
    <row r="369" spans="1:6" ht="13" x14ac:dyDescent="0.15">
      <c r="A369" s="13"/>
      <c r="C369" s="7"/>
      <c r="D369" s="13"/>
      <c r="E369" s="7"/>
      <c r="F369" s="7"/>
    </row>
    <row r="370" spans="1:6" ht="13" x14ac:dyDescent="0.15">
      <c r="A370" s="13"/>
      <c r="C370" s="7"/>
      <c r="D370" s="13"/>
      <c r="E370" s="7"/>
      <c r="F370" s="7"/>
    </row>
    <row r="371" spans="1:6" ht="13" x14ac:dyDescent="0.15">
      <c r="A371" s="13"/>
      <c r="C371" s="7"/>
      <c r="D371" s="13"/>
      <c r="E371" s="7"/>
      <c r="F371" s="7"/>
    </row>
    <row r="372" spans="1:6" ht="13" x14ac:dyDescent="0.15">
      <c r="A372" s="13"/>
      <c r="C372" s="7"/>
      <c r="D372" s="13"/>
      <c r="E372" s="7"/>
      <c r="F372" s="7"/>
    </row>
    <row r="373" spans="1:6" ht="13" x14ac:dyDescent="0.15">
      <c r="A373" s="13"/>
      <c r="C373" s="7"/>
      <c r="D373" s="13"/>
      <c r="E373" s="7"/>
      <c r="F373" s="7"/>
    </row>
    <row r="374" spans="1:6" ht="13" x14ac:dyDescent="0.15">
      <c r="A374" s="13"/>
      <c r="C374" s="7"/>
      <c r="D374" s="13"/>
      <c r="E374" s="7"/>
      <c r="F374" s="7"/>
    </row>
    <row r="375" spans="1:6" ht="13" x14ac:dyDescent="0.15">
      <c r="A375" s="13"/>
      <c r="C375" s="7"/>
      <c r="D375" s="13"/>
      <c r="E375" s="7"/>
      <c r="F375" s="7"/>
    </row>
    <row r="376" spans="1:6" ht="13" x14ac:dyDescent="0.15">
      <c r="A376" s="13"/>
      <c r="C376" s="7"/>
      <c r="D376" s="13"/>
      <c r="E376" s="7"/>
      <c r="F376" s="7"/>
    </row>
    <row r="377" spans="1:6" ht="13" x14ac:dyDescent="0.15">
      <c r="A377" s="13"/>
      <c r="C377" s="7"/>
      <c r="D377" s="13"/>
      <c r="E377" s="7"/>
      <c r="F377" s="7"/>
    </row>
    <row r="378" spans="1:6" ht="13" x14ac:dyDescent="0.15">
      <c r="A378" s="13"/>
      <c r="C378" s="7"/>
      <c r="D378" s="13"/>
      <c r="E378" s="7"/>
      <c r="F378" s="7"/>
    </row>
    <row r="379" spans="1:6" ht="13" x14ac:dyDescent="0.15">
      <c r="A379" s="13"/>
      <c r="C379" s="7"/>
      <c r="D379" s="13"/>
      <c r="E379" s="7"/>
      <c r="F379" s="7"/>
    </row>
    <row r="380" spans="1:6" ht="13" x14ac:dyDescent="0.15">
      <c r="A380" s="13"/>
      <c r="C380" s="7"/>
      <c r="D380" s="13"/>
      <c r="E380" s="7"/>
      <c r="F380" s="7"/>
    </row>
    <row r="381" spans="1:6" ht="13" x14ac:dyDescent="0.15">
      <c r="A381" s="13"/>
      <c r="C381" s="7"/>
      <c r="D381" s="13"/>
      <c r="E381" s="7"/>
      <c r="F381" s="7"/>
    </row>
    <row r="382" spans="1:6" ht="13" x14ac:dyDescent="0.15">
      <c r="A382" s="13"/>
      <c r="C382" s="7"/>
      <c r="D382" s="13"/>
      <c r="E382" s="7"/>
      <c r="F382" s="7"/>
    </row>
    <row r="383" spans="1:6" ht="13" x14ac:dyDescent="0.15">
      <c r="A383" s="13"/>
      <c r="C383" s="7"/>
      <c r="D383" s="13"/>
      <c r="E383" s="7"/>
      <c r="F383" s="7"/>
    </row>
    <row r="384" spans="1:6" ht="13" x14ac:dyDescent="0.15">
      <c r="A384" s="13"/>
      <c r="C384" s="7"/>
      <c r="D384" s="13"/>
      <c r="E384" s="7"/>
      <c r="F384" s="7"/>
    </row>
    <row r="385" spans="1:6" ht="13" x14ac:dyDescent="0.15">
      <c r="A385" s="13"/>
      <c r="C385" s="7"/>
      <c r="D385" s="13"/>
      <c r="E385" s="7"/>
      <c r="F385" s="7"/>
    </row>
    <row r="386" spans="1:6" ht="13" x14ac:dyDescent="0.15">
      <c r="A386" s="13"/>
      <c r="C386" s="7"/>
      <c r="D386" s="13"/>
      <c r="E386" s="7"/>
      <c r="F386" s="7"/>
    </row>
    <row r="387" spans="1:6" ht="13" x14ac:dyDescent="0.15">
      <c r="A387" s="13"/>
      <c r="C387" s="7"/>
      <c r="D387" s="13"/>
      <c r="E387" s="7"/>
      <c r="F387" s="7"/>
    </row>
    <row r="388" spans="1:6" ht="13" x14ac:dyDescent="0.15">
      <c r="A388" s="13"/>
      <c r="C388" s="7"/>
      <c r="D388" s="13"/>
      <c r="E388" s="7"/>
      <c r="F388" s="7"/>
    </row>
    <row r="389" spans="1:6" ht="13" x14ac:dyDescent="0.15">
      <c r="A389" s="13"/>
      <c r="C389" s="7"/>
      <c r="D389" s="13"/>
      <c r="E389" s="7"/>
      <c r="F389" s="7"/>
    </row>
    <row r="390" spans="1:6" ht="13" x14ac:dyDescent="0.15">
      <c r="A390" s="13"/>
      <c r="C390" s="7"/>
      <c r="D390" s="13"/>
      <c r="E390" s="7"/>
      <c r="F390" s="7"/>
    </row>
    <row r="391" spans="1:6" ht="13" x14ac:dyDescent="0.15">
      <c r="A391" s="13"/>
      <c r="C391" s="7"/>
      <c r="D391" s="13"/>
      <c r="E391" s="7"/>
      <c r="F391" s="7"/>
    </row>
    <row r="392" spans="1:6" ht="13" x14ac:dyDescent="0.15">
      <c r="A392" s="13"/>
      <c r="C392" s="7"/>
      <c r="D392" s="13"/>
      <c r="E392" s="7"/>
      <c r="F392" s="7"/>
    </row>
    <row r="393" spans="1:6" ht="13" x14ac:dyDescent="0.15">
      <c r="A393" s="13"/>
      <c r="C393" s="7"/>
      <c r="D393" s="13"/>
      <c r="E393" s="7"/>
      <c r="F393" s="7"/>
    </row>
    <row r="394" spans="1:6" ht="13" x14ac:dyDescent="0.15">
      <c r="A394" s="13"/>
      <c r="C394" s="7"/>
      <c r="D394" s="13"/>
      <c r="E394" s="7"/>
      <c r="F394" s="7"/>
    </row>
    <row r="395" spans="1:6" ht="13" x14ac:dyDescent="0.15">
      <c r="A395" s="13"/>
      <c r="C395" s="7"/>
      <c r="D395" s="13"/>
      <c r="E395" s="7"/>
      <c r="F395" s="7"/>
    </row>
    <row r="396" spans="1:6" ht="13" x14ac:dyDescent="0.15">
      <c r="A396" s="13"/>
      <c r="C396" s="7"/>
      <c r="D396" s="13"/>
      <c r="E396" s="7"/>
      <c r="F396" s="7"/>
    </row>
    <row r="397" spans="1:6" ht="13" x14ac:dyDescent="0.15">
      <c r="A397" s="13"/>
      <c r="C397" s="7"/>
      <c r="D397" s="13"/>
      <c r="E397" s="7"/>
      <c r="F397" s="7"/>
    </row>
    <row r="398" spans="1:6" ht="13" x14ac:dyDescent="0.15">
      <c r="A398" s="13"/>
      <c r="C398" s="7"/>
      <c r="D398" s="13"/>
      <c r="E398" s="7"/>
      <c r="F398" s="7"/>
    </row>
    <row r="399" spans="1:6" ht="13" x14ac:dyDescent="0.15">
      <c r="A399" s="13"/>
      <c r="C399" s="7"/>
      <c r="D399" s="13"/>
      <c r="E399" s="7"/>
      <c r="F399" s="7"/>
    </row>
    <row r="400" spans="1:6" ht="13" x14ac:dyDescent="0.15">
      <c r="A400" s="13"/>
      <c r="C400" s="7"/>
      <c r="D400" s="13"/>
      <c r="E400" s="7"/>
      <c r="F400" s="7"/>
    </row>
    <row r="401" spans="1:6" ht="13" x14ac:dyDescent="0.15">
      <c r="A401" s="13"/>
      <c r="C401" s="7"/>
      <c r="D401" s="13"/>
      <c r="E401" s="7"/>
      <c r="F401" s="7"/>
    </row>
    <row r="402" spans="1:6" ht="13" x14ac:dyDescent="0.15">
      <c r="A402" s="13"/>
      <c r="C402" s="7"/>
      <c r="D402" s="13"/>
      <c r="E402" s="7"/>
      <c r="F402" s="7"/>
    </row>
    <row r="403" spans="1:6" ht="13" x14ac:dyDescent="0.15">
      <c r="A403" s="13"/>
      <c r="C403" s="7"/>
      <c r="D403" s="13"/>
      <c r="E403" s="7"/>
      <c r="F403" s="7"/>
    </row>
    <row r="404" spans="1:6" ht="13" x14ac:dyDescent="0.15">
      <c r="A404" s="13"/>
      <c r="C404" s="7"/>
      <c r="D404" s="13"/>
      <c r="E404" s="7"/>
      <c r="F404" s="7"/>
    </row>
    <row r="405" spans="1:6" ht="13" x14ac:dyDescent="0.15">
      <c r="A405" s="13"/>
      <c r="C405" s="7"/>
      <c r="D405" s="13"/>
      <c r="E405" s="7"/>
      <c r="F405" s="7"/>
    </row>
    <row r="406" spans="1:6" ht="13" x14ac:dyDescent="0.15">
      <c r="A406" s="13"/>
      <c r="C406" s="7"/>
      <c r="D406" s="13"/>
      <c r="E406" s="7"/>
      <c r="F406" s="7"/>
    </row>
    <row r="407" spans="1:6" ht="13" x14ac:dyDescent="0.15">
      <c r="A407" s="13"/>
      <c r="C407" s="7"/>
      <c r="D407" s="13"/>
      <c r="E407" s="7"/>
      <c r="F407" s="7"/>
    </row>
    <row r="408" spans="1:6" ht="13" x14ac:dyDescent="0.15">
      <c r="A408" s="13"/>
      <c r="C408" s="7"/>
      <c r="D408" s="13"/>
      <c r="E408" s="7"/>
      <c r="F408" s="7"/>
    </row>
    <row r="409" spans="1:6" ht="13" x14ac:dyDescent="0.15">
      <c r="A409" s="13"/>
      <c r="C409" s="7"/>
      <c r="D409" s="13"/>
      <c r="E409" s="7"/>
      <c r="F409" s="7"/>
    </row>
    <row r="410" spans="1:6" ht="13" x14ac:dyDescent="0.15">
      <c r="A410" s="13"/>
      <c r="C410" s="7"/>
      <c r="D410" s="13"/>
      <c r="E410" s="7"/>
      <c r="F410" s="7"/>
    </row>
    <row r="411" spans="1:6" ht="13" x14ac:dyDescent="0.15">
      <c r="A411" s="13"/>
      <c r="C411" s="7"/>
      <c r="D411" s="13"/>
      <c r="E411" s="7"/>
      <c r="F411" s="7"/>
    </row>
    <row r="412" spans="1:6" ht="13" x14ac:dyDescent="0.15">
      <c r="A412" s="13"/>
      <c r="C412" s="7"/>
      <c r="D412" s="13"/>
      <c r="E412" s="7"/>
      <c r="F412" s="7"/>
    </row>
    <row r="413" spans="1:6" ht="13" x14ac:dyDescent="0.15">
      <c r="A413" s="13"/>
      <c r="C413" s="7"/>
      <c r="D413" s="13"/>
      <c r="E413" s="7"/>
      <c r="F413" s="7"/>
    </row>
    <row r="414" spans="1:6" ht="13" x14ac:dyDescent="0.15">
      <c r="A414" s="13"/>
      <c r="C414" s="7"/>
      <c r="D414" s="13"/>
      <c r="E414" s="7"/>
      <c r="F414" s="7"/>
    </row>
    <row r="415" spans="1:6" ht="13" x14ac:dyDescent="0.15">
      <c r="A415" s="13"/>
      <c r="C415" s="7"/>
      <c r="D415" s="13"/>
      <c r="E415" s="7"/>
      <c r="F415" s="7"/>
    </row>
    <row r="416" spans="1:6" ht="13" x14ac:dyDescent="0.15">
      <c r="A416" s="13"/>
      <c r="C416" s="7"/>
      <c r="D416" s="13"/>
      <c r="E416" s="7"/>
      <c r="F416" s="7"/>
    </row>
    <row r="417" spans="1:6" ht="13" x14ac:dyDescent="0.15">
      <c r="A417" s="13"/>
      <c r="C417" s="7"/>
      <c r="D417" s="13"/>
      <c r="E417" s="7"/>
      <c r="F417" s="7"/>
    </row>
    <row r="418" spans="1:6" ht="13" x14ac:dyDescent="0.15">
      <c r="A418" s="13"/>
      <c r="C418" s="7"/>
      <c r="D418" s="13"/>
      <c r="E418" s="7"/>
      <c r="F418" s="7"/>
    </row>
    <row r="419" spans="1:6" ht="13" x14ac:dyDescent="0.15">
      <c r="A419" s="13"/>
      <c r="C419" s="7"/>
      <c r="D419" s="13"/>
      <c r="E419" s="7"/>
      <c r="F419" s="7"/>
    </row>
    <row r="420" spans="1:6" ht="13" x14ac:dyDescent="0.15">
      <c r="A420" s="13"/>
      <c r="C420" s="7"/>
      <c r="D420" s="13"/>
      <c r="E420" s="7"/>
      <c r="F420" s="7"/>
    </row>
    <row r="421" spans="1:6" ht="13" x14ac:dyDescent="0.15">
      <c r="A421" s="13"/>
      <c r="C421" s="7"/>
      <c r="D421" s="13"/>
      <c r="E421" s="7"/>
      <c r="F421" s="7"/>
    </row>
    <row r="422" spans="1:6" ht="13" x14ac:dyDescent="0.15">
      <c r="A422" s="13"/>
      <c r="C422" s="7"/>
      <c r="D422" s="13"/>
      <c r="E422" s="7"/>
      <c r="F422" s="7"/>
    </row>
    <row r="423" spans="1:6" ht="13" x14ac:dyDescent="0.15">
      <c r="A423" s="13"/>
      <c r="C423" s="7"/>
      <c r="D423" s="13"/>
      <c r="E423" s="7"/>
      <c r="F423" s="7"/>
    </row>
    <row r="424" spans="1:6" ht="13" x14ac:dyDescent="0.15">
      <c r="A424" s="13"/>
      <c r="C424" s="7"/>
      <c r="D424" s="13"/>
      <c r="E424" s="7"/>
      <c r="F424" s="7"/>
    </row>
    <row r="425" spans="1:6" ht="13" x14ac:dyDescent="0.15">
      <c r="A425" s="13"/>
      <c r="C425" s="7"/>
      <c r="D425" s="13"/>
      <c r="E425" s="7"/>
      <c r="F425" s="7"/>
    </row>
    <row r="426" spans="1:6" ht="13" x14ac:dyDescent="0.15">
      <c r="A426" s="13"/>
      <c r="C426" s="7"/>
      <c r="D426" s="13"/>
      <c r="E426" s="7"/>
      <c r="F426" s="7"/>
    </row>
    <row r="427" spans="1:6" ht="13" x14ac:dyDescent="0.15">
      <c r="A427" s="13"/>
      <c r="C427" s="7"/>
      <c r="D427" s="13"/>
      <c r="E427" s="7"/>
      <c r="F427" s="7"/>
    </row>
    <row r="428" spans="1:6" ht="13" x14ac:dyDescent="0.15">
      <c r="A428" s="13"/>
      <c r="C428" s="7"/>
      <c r="D428" s="13"/>
      <c r="E428" s="7"/>
      <c r="F428" s="7"/>
    </row>
    <row r="429" spans="1:6" ht="13" x14ac:dyDescent="0.15">
      <c r="A429" s="13"/>
      <c r="C429" s="7"/>
      <c r="D429" s="13"/>
      <c r="E429" s="7"/>
      <c r="F429" s="7"/>
    </row>
    <row r="430" spans="1:6" ht="13" x14ac:dyDescent="0.15">
      <c r="A430" s="13"/>
      <c r="C430" s="7"/>
      <c r="D430" s="13"/>
      <c r="E430" s="7"/>
      <c r="F430" s="7"/>
    </row>
    <row r="431" spans="1:6" ht="13" x14ac:dyDescent="0.15">
      <c r="A431" s="13"/>
      <c r="C431" s="7"/>
      <c r="D431" s="13"/>
      <c r="E431" s="7"/>
      <c r="F431" s="7"/>
    </row>
    <row r="432" spans="1:6" ht="13" x14ac:dyDescent="0.15">
      <c r="A432" s="13"/>
      <c r="C432" s="7"/>
      <c r="D432" s="13"/>
      <c r="E432" s="7"/>
      <c r="F432" s="7"/>
    </row>
    <row r="433" spans="1:6" ht="13" x14ac:dyDescent="0.15">
      <c r="A433" s="13"/>
      <c r="C433" s="7"/>
      <c r="D433" s="13"/>
      <c r="E433" s="7"/>
      <c r="F433" s="7"/>
    </row>
    <row r="434" spans="1:6" ht="13" x14ac:dyDescent="0.15">
      <c r="A434" s="13"/>
      <c r="C434" s="7"/>
      <c r="D434" s="13"/>
      <c r="E434" s="7"/>
      <c r="F434" s="7"/>
    </row>
    <row r="435" spans="1:6" ht="13" x14ac:dyDescent="0.15">
      <c r="A435" s="13"/>
      <c r="C435" s="7"/>
      <c r="D435" s="13"/>
      <c r="E435" s="7"/>
      <c r="F435" s="7"/>
    </row>
    <row r="436" spans="1:6" ht="13" x14ac:dyDescent="0.15">
      <c r="A436" s="13"/>
      <c r="C436" s="7"/>
      <c r="D436" s="13"/>
      <c r="E436" s="7"/>
      <c r="F436" s="7"/>
    </row>
    <row r="437" spans="1:6" ht="13" x14ac:dyDescent="0.15">
      <c r="A437" s="13"/>
      <c r="C437" s="7"/>
      <c r="D437" s="13"/>
      <c r="E437" s="7"/>
      <c r="F437" s="7"/>
    </row>
    <row r="438" spans="1:6" ht="13" x14ac:dyDescent="0.15">
      <c r="A438" s="13"/>
      <c r="C438" s="7"/>
      <c r="D438" s="13"/>
      <c r="E438" s="7"/>
      <c r="F438" s="7"/>
    </row>
    <row r="439" spans="1:6" ht="13" x14ac:dyDescent="0.15">
      <c r="A439" s="13"/>
      <c r="C439" s="7"/>
      <c r="D439" s="13"/>
      <c r="E439" s="7"/>
      <c r="F439" s="7"/>
    </row>
    <row r="440" spans="1:6" ht="13" x14ac:dyDescent="0.15">
      <c r="A440" s="13"/>
      <c r="C440" s="7"/>
      <c r="D440" s="13"/>
      <c r="E440" s="7"/>
      <c r="F440" s="7"/>
    </row>
    <row r="441" spans="1:6" ht="13" x14ac:dyDescent="0.15">
      <c r="A441" s="13"/>
      <c r="C441" s="7"/>
      <c r="D441" s="13"/>
      <c r="E441" s="7"/>
      <c r="F441" s="7"/>
    </row>
    <row r="442" spans="1:6" ht="13" x14ac:dyDescent="0.15">
      <c r="A442" s="13"/>
      <c r="C442" s="7"/>
      <c r="D442" s="13"/>
      <c r="E442" s="7"/>
      <c r="F442" s="7"/>
    </row>
    <row r="443" spans="1:6" ht="13" x14ac:dyDescent="0.15">
      <c r="A443" s="13"/>
      <c r="C443" s="7"/>
      <c r="D443" s="13"/>
      <c r="E443" s="7"/>
      <c r="F443" s="7"/>
    </row>
    <row r="444" spans="1:6" ht="13" x14ac:dyDescent="0.15">
      <c r="A444" s="13"/>
      <c r="C444" s="7"/>
      <c r="D444" s="13"/>
      <c r="E444" s="7"/>
      <c r="F444" s="7"/>
    </row>
    <row r="445" spans="1:6" ht="13" x14ac:dyDescent="0.15">
      <c r="A445" s="13"/>
      <c r="C445" s="7"/>
      <c r="D445" s="13"/>
      <c r="E445" s="7"/>
      <c r="F445" s="7"/>
    </row>
    <row r="446" spans="1:6" ht="13" x14ac:dyDescent="0.15">
      <c r="A446" s="13"/>
      <c r="C446" s="7"/>
      <c r="D446" s="13"/>
      <c r="E446" s="7"/>
      <c r="F446" s="7"/>
    </row>
    <row r="447" spans="1:6" ht="13" x14ac:dyDescent="0.15">
      <c r="A447" s="13"/>
      <c r="C447" s="7"/>
      <c r="D447" s="13"/>
      <c r="E447" s="7"/>
      <c r="F447" s="7"/>
    </row>
    <row r="448" spans="1:6" ht="13" x14ac:dyDescent="0.15">
      <c r="A448" s="13"/>
      <c r="C448" s="7"/>
      <c r="D448" s="13"/>
      <c r="E448" s="7"/>
      <c r="F448" s="7"/>
    </row>
    <row r="449" spans="1:6" ht="13" x14ac:dyDescent="0.15">
      <c r="A449" s="13"/>
      <c r="C449" s="7"/>
      <c r="D449" s="13"/>
      <c r="E449" s="7"/>
      <c r="F449" s="7"/>
    </row>
    <row r="450" spans="1:6" ht="13" x14ac:dyDescent="0.15">
      <c r="A450" s="13"/>
      <c r="C450" s="7"/>
      <c r="D450" s="13"/>
      <c r="E450" s="7"/>
      <c r="F450" s="7"/>
    </row>
    <row r="451" spans="1:6" ht="13" x14ac:dyDescent="0.15">
      <c r="A451" s="13"/>
      <c r="C451" s="7"/>
      <c r="D451" s="13"/>
      <c r="E451" s="7"/>
      <c r="F451" s="7"/>
    </row>
    <row r="452" spans="1:6" ht="13" x14ac:dyDescent="0.15">
      <c r="A452" s="13"/>
      <c r="C452" s="7"/>
      <c r="D452" s="13"/>
      <c r="E452" s="7"/>
      <c r="F452" s="7"/>
    </row>
    <row r="453" spans="1:6" ht="13" x14ac:dyDescent="0.15">
      <c r="A453" s="13"/>
      <c r="C453" s="7"/>
      <c r="D453" s="13"/>
      <c r="E453" s="7"/>
      <c r="F453" s="7"/>
    </row>
    <row r="454" spans="1:6" ht="13" x14ac:dyDescent="0.15">
      <c r="A454" s="13"/>
      <c r="C454" s="7"/>
      <c r="D454" s="13"/>
      <c r="E454" s="7"/>
      <c r="F454" s="7"/>
    </row>
    <row r="455" spans="1:6" ht="13" x14ac:dyDescent="0.15">
      <c r="A455" s="13"/>
      <c r="C455" s="7"/>
      <c r="D455" s="13"/>
      <c r="E455" s="7"/>
      <c r="F455" s="7"/>
    </row>
    <row r="456" spans="1:6" ht="13" x14ac:dyDescent="0.15">
      <c r="A456" s="13"/>
      <c r="C456" s="7"/>
      <c r="D456" s="13"/>
      <c r="E456" s="7"/>
      <c r="F456" s="7"/>
    </row>
    <row r="457" spans="1:6" ht="13" x14ac:dyDescent="0.15">
      <c r="A457" s="13"/>
      <c r="C457" s="7"/>
      <c r="D457" s="13"/>
      <c r="E457" s="7"/>
      <c r="F457" s="7"/>
    </row>
    <row r="458" spans="1:6" ht="13" x14ac:dyDescent="0.15">
      <c r="A458" s="13"/>
      <c r="C458" s="7"/>
      <c r="D458" s="13"/>
      <c r="E458" s="7"/>
      <c r="F458" s="7"/>
    </row>
    <row r="459" spans="1:6" ht="13" x14ac:dyDescent="0.15">
      <c r="A459" s="13"/>
      <c r="C459" s="7"/>
      <c r="D459" s="13"/>
      <c r="E459" s="7"/>
      <c r="F459" s="7"/>
    </row>
    <row r="460" spans="1:6" ht="13" x14ac:dyDescent="0.15">
      <c r="A460" s="13"/>
      <c r="C460" s="7"/>
      <c r="D460" s="13"/>
      <c r="E460" s="7"/>
      <c r="F460" s="7"/>
    </row>
    <row r="461" spans="1:6" ht="13" x14ac:dyDescent="0.15">
      <c r="A461" s="13"/>
      <c r="C461" s="7"/>
      <c r="D461" s="13"/>
      <c r="E461" s="7"/>
      <c r="F461" s="7"/>
    </row>
    <row r="462" spans="1:6" ht="13" x14ac:dyDescent="0.15">
      <c r="A462" s="13"/>
      <c r="C462" s="7"/>
      <c r="D462" s="13"/>
      <c r="E462" s="7"/>
      <c r="F462" s="7"/>
    </row>
    <row r="463" spans="1:6" ht="13" x14ac:dyDescent="0.15">
      <c r="A463" s="13"/>
      <c r="C463" s="7"/>
      <c r="D463" s="13"/>
      <c r="E463" s="7"/>
      <c r="F463" s="7"/>
    </row>
    <row r="464" spans="1:6" ht="13" x14ac:dyDescent="0.15">
      <c r="A464" s="13"/>
      <c r="C464" s="7"/>
      <c r="D464" s="13"/>
      <c r="E464" s="7"/>
      <c r="F464" s="7"/>
    </row>
    <row r="465" spans="1:6" ht="13" x14ac:dyDescent="0.15">
      <c r="A465" s="13"/>
      <c r="C465" s="7"/>
      <c r="D465" s="13"/>
      <c r="E465" s="7"/>
      <c r="F465" s="7"/>
    </row>
    <row r="466" spans="1:6" ht="13" x14ac:dyDescent="0.15">
      <c r="A466" s="13"/>
      <c r="C466" s="7"/>
      <c r="D466" s="13"/>
      <c r="E466" s="7"/>
      <c r="F466" s="7"/>
    </row>
    <row r="467" spans="1:6" ht="13" x14ac:dyDescent="0.15">
      <c r="A467" s="13"/>
      <c r="C467" s="7"/>
      <c r="D467" s="13"/>
      <c r="E467" s="7"/>
      <c r="F467" s="7"/>
    </row>
    <row r="468" spans="1:6" ht="13" x14ac:dyDescent="0.15">
      <c r="A468" s="13"/>
      <c r="C468" s="7"/>
      <c r="D468" s="13"/>
      <c r="E468" s="7"/>
      <c r="F468" s="7"/>
    </row>
    <row r="469" spans="1:6" ht="13" x14ac:dyDescent="0.15">
      <c r="A469" s="13"/>
      <c r="C469" s="7"/>
      <c r="D469" s="13"/>
      <c r="E469" s="7"/>
      <c r="F469" s="7"/>
    </row>
    <row r="470" spans="1:6" ht="13" x14ac:dyDescent="0.15">
      <c r="A470" s="13"/>
      <c r="C470" s="7"/>
      <c r="D470" s="13"/>
      <c r="E470" s="7"/>
      <c r="F470" s="7"/>
    </row>
    <row r="471" spans="1:6" ht="13" x14ac:dyDescent="0.15">
      <c r="A471" s="13"/>
      <c r="C471" s="7"/>
      <c r="D471" s="13"/>
      <c r="E471" s="7"/>
      <c r="F471" s="7"/>
    </row>
    <row r="472" spans="1:6" ht="13" x14ac:dyDescent="0.15">
      <c r="A472" s="13"/>
      <c r="C472" s="7"/>
      <c r="D472" s="13"/>
      <c r="E472" s="7"/>
      <c r="F472" s="7"/>
    </row>
    <row r="473" spans="1:6" ht="13" x14ac:dyDescent="0.15">
      <c r="A473" s="13"/>
      <c r="C473" s="7"/>
      <c r="D473" s="13"/>
      <c r="E473" s="7"/>
      <c r="F473" s="7"/>
    </row>
    <row r="474" spans="1:6" ht="13" x14ac:dyDescent="0.15">
      <c r="A474" s="13"/>
      <c r="C474" s="7"/>
      <c r="D474" s="13"/>
      <c r="E474" s="7"/>
      <c r="F474" s="7"/>
    </row>
    <row r="475" spans="1:6" ht="13" x14ac:dyDescent="0.15">
      <c r="A475" s="13"/>
      <c r="C475" s="7"/>
      <c r="D475" s="13"/>
      <c r="E475" s="7"/>
      <c r="F475" s="7"/>
    </row>
    <row r="476" spans="1:6" ht="13" x14ac:dyDescent="0.15">
      <c r="A476" s="13"/>
      <c r="C476" s="7"/>
      <c r="D476" s="13"/>
      <c r="E476" s="7"/>
      <c r="F476" s="7"/>
    </row>
    <row r="477" spans="1:6" ht="13" x14ac:dyDescent="0.15">
      <c r="A477" s="13"/>
      <c r="C477" s="7"/>
      <c r="D477" s="13"/>
      <c r="E477" s="7"/>
      <c r="F477" s="7"/>
    </row>
    <row r="478" spans="1:6" ht="13" x14ac:dyDescent="0.15">
      <c r="A478" s="13"/>
      <c r="C478" s="7"/>
      <c r="D478" s="13"/>
      <c r="E478" s="7"/>
      <c r="F478" s="7"/>
    </row>
    <row r="479" spans="1:6" ht="13" x14ac:dyDescent="0.15">
      <c r="A479" s="13"/>
      <c r="C479" s="7"/>
      <c r="D479" s="13"/>
      <c r="E479" s="7"/>
      <c r="F479" s="7"/>
    </row>
    <row r="480" spans="1:6" ht="13" x14ac:dyDescent="0.15">
      <c r="A480" s="13"/>
      <c r="C480" s="7"/>
      <c r="D480" s="13"/>
      <c r="E480" s="7"/>
      <c r="F480" s="7"/>
    </row>
    <row r="481" spans="1:6" ht="13" x14ac:dyDescent="0.15">
      <c r="A481" s="13"/>
      <c r="C481" s="7"/>
      <c r="D481" s="13"/>
      <c r="E481" s="7"/>
      <c r="F481" s="7"/>
    </row>
    <row r="482" spans="1:6" ht="13" x14ac:dyDescent="0.15">
      <c r="A482" s="13"/>
      <c r="C482" s="7"/>
      <c r="D482" s="13"/>
      <c r="E482" s="7"/>
      <c r="F482" s="7"/>
    </row>
    <row r="483" spans="1:6" ht="13" x14ac:dyDescent="0.15">
      <c r="A483" s="13"/>
      <c r="C483" s="7"/>
      <c r="D483" s="13"/>
      <c r="E483" s="7"/>
      <c r="F483" s="7"/>
    </row>
    <row r="484" spans="1:6" ht="13" x14ac:dyDescent="0.15">
      <c r="A484" s="13"/>
      <c r="C484" s="7"/>
      <c r="D484" s="13"/>
      <c r="E484" s="7"/>
      <c r="F484" s="7"/>
    </row>
    <row r="485" spans="1:6" ht="13" x14ac:dyDescent="0.15">
      <c r="A485" s="13"/>
      <c r="C485" s="7"/>
      <c r="D485" s="13"/>
      <c r="E485" s="7"/>
      <c r="F485" s="7"/>
    </row>
    <row r="486" spans="1:6" ht="13" x14ac:dyDescent="0.15">
      <c r="A486" s="13"/>
      <c r="C486" s="7"/>
      <c r="D486" s="13"/>
      <c r="E486" s="7"/>
      <c r="F486" s="7"/>
    </row>
    <row r="487" spans="1:6" ht="13" x14ac:dyDescent="0.15">
      <c r="A487" s="13"/>
      <c r="C487" s="7"/>
      <c r="D487" s="13"/>
      <c r="E487" s="7"/>
      <c r="F487" s="7"/>
    </row>
    <row r="488" spans="1:6" ht="13" x14ac:dyDescent="0.15">
      <c r="A488" s="13"/>
      <c r="C488" s="7"/>
      <c r="D488" s="13"/>
      <c r="E488" s="7"/>
      <c r="F488" s="7"/>
    </row>
    <row r="489" spans="1:6" ht="13" x14ac:dyDescent="0.15">
      <c r="A489" s="13"/>
      <c r="C489" s="7"/>
      <c r="D489" s="13"/>
      <c r="E489" s="7"/>
      <c r="F489" s="7"/>
    </row>
    <row r="490" spans="1:6" ht="13" x14ac:dyDescent="0.15">
      <c r="A490" s="13"/>
      <c r="C490" s="7"/>
      <c r="D490" s="13"/>
      <c r="E490" s="7"/>
      <c r="F490" s="7"/>
    </row>
    <row r="491" spans="1:6" ht="13" x14ac:dyDescent="0.15">
      <c r="A491" s="13"/>
      <c r="C491" s="7"/>
      <c r="D491" s="13"/>
      <c r="E491" s="7"/>
      <c r="F491" s="7"/>
    </row>
    <row r="492" spans="1:6" ht="13" x14ac:dyDescent="0.15">
      <c r="A492" s="13"/>
      <c r="C492" s="7"/>
      <c r="D492" s="13"/>
      <c r="E492" s="7"/>
      <c r="F492" s="7"/>
    </row>
    <row r="493" spans="1:6" ht="13" x14ac:dyDescent="0.15">
      <c r="A493" s="13"/>
      <c r="C493" s="7"/>
      <c r="D493" s="13"/>
      <c r="E493" s="7"/>
      <c r="F493" s="7"/>
    </row>
    <row r="494" spans="1:6" ht="13" x14ac:dyDescent="0.15">
      <c r="A494" s="13"/>
      <c r="C494" s="7"/>
      <c r="D494" s="13"/>
      <c r="E494" s="7"/>
      <c r="F494" s="7"/>
    </row>
    <row r="495" spans="1:6" ht="13" x14ac:dyDescent="0.15">
      <c r="A495" s="13"/>
      <c r="C495" s="7"/>
      <c r="D495" s="13"/>
      <c r="E495" s="7"/>
      <c r="F495" s="7"/>
    </row>
    <row r="496" spans="1:6" ht="13" x14ac:dyDescent="0.15">
      <c r="A496" s="13"/>
      <c r="C496" s="7"/>
      <c r="D496" s="13"/>
      <c r="E496" s="7"/>
      <c r="F496" s="7"/>
    </row>
    <row r="497" spans="1:6" ht="13" x14ac:dyDescent="0.15">
      <c r="A497" s="13"/>
      <c r="C497" s="7"/>
      <c r="D497" s="13"/>
      <c r="E497" s="7"/>
      <c r="F497" s="7"/>
    </row>
    <row r="498" spans="1:6" ht="13" x14ac:dyDescent="0.15">
      <c r="A498" s="13"/>
      <c r="C498" s="7"/>
      <c r="D498" s="13"/>
      <c r="E498" s="7"/>
      <c r="F498" s="7"/>
    </row>
    <row r="499" spans="1:6" ht="13" x14ac:dyDescent="0.15">
      <c r="A499" s="13"/>
      <c r="C499" s="7"/>
      <c r="D499" s="13"/>
      <c r="E499" s="7"/>
      <c r="F499" s="7"/>
    </row>
    <row r="500" spans="1:6" ht="13" x14ac:dyDescent="0.15">
      <c r="A500" s="13"/>
      <c r="C500" s="7"/>
      <c r="D500" s="13"/>
      <c r="E500" s="7"/>
      <c r="F500" s="7"/>
    </row>
    <row r="501" spans="1:6" ht="13" x14ac:dyDescent="0.15">
      <c r="A501" s="13"/>
      <c r="C501" s="7"/>
      <c r="D501" s="13"/>
      <c r="E501" s="7"/>
      <c r="F501" s="7"/>
    </row>
    <row r="502" spans="1:6" ht="13" x14ac:dyDescent="0.15">
      <c r="A502" s="13"/>
      <c r="C502" s="7"/>
      <c r="D502" s="13"/>
      <c r="E502" s="7"/>
      <c r="F502" s="7"/>
    </row>
    <row r="503" spans="1:6" ht="13" x14ac:dyDescent="0.15">
      <c r="A503" s="13"/>
      <c r="C503" s="7"/>
      <c r="D503" s="13"/>
      <c r="E503" s="7"/>
      <c r="F503" s="7"/>
    </row>
    <row r="504" spans="1:6" ht="13" x14ac:dyDescent="0.15">
      <c r="A504" s="13"/>
      <c r="C504" s="7"/>
      <c r="D504" s="13"/>
      <c r="E504" s="7"/>
      <c r="F504" s="7"/>
    </row>
    <row r="505" spans="1:6" ht="13" x14ac:dyDescent="0.15">
      <c r="A505" s="13"/>
      <c r="C505" s="7"/>
      <c r="D505" s="13"/>
      <c r="E505" s="7"/>
      <c r="F505" s="7"/>
    </row>
    <row r="506" spans="1:6" ht="13" x14ac:dyDescent="0.15">
      <c r="A506" s="13"/>
      <c r="C506" s="7"/>
      <c r="D506" s="13"/>
      <c r="E506" s="7"/>
      <c r="F506" s="7"/>
    </row>
    <row r="507" spans="1:6" ht="13" x14ac:dyDescent="0.15">
      <c r="A507" s="13"/>
      <c r="C507" s="7"/>
      <c r="D507" s="13"/>
      <c r="E507" s="7"/>
      <c r="F507" s="7"/>
    </row>
    <row r="508" spans="1:6" ht="13" x14ac:dyDescent="0.15">
      <c r="A508" s="13"/>
      <c r="C508" s="7"/>
      <c r="D508" s="13"/>
      <c r="E508" s="7"/>
      <c r="F508" s="7"/>
    </row>
    <row r="509" spans="1:6" ht="13" x14ac:dyDescent="0.15">
      <c r="A509" s="13"/>
      <c r="C509" s="7"/>
      <c r="D509" s="13"/>
      <c r="E509" s="7"/>
      <c r="F509" s="7"/>
    </row>
    <row r="510" spans="1:6" ht="13" x14ac:dyDescent="0.15">
      <c r="A510" s="13"/>
      <c r="C510" s="7"/>
      <c r="D510" s="13"/>
      <c r="E510" s="7"/>
      <c r="F510" s="7"/>
    </row>
    <row r="511" spans="1:6" ht="13" x14ac:dyDescent="0.15">
      <c r="A511" s="13"/>
      <c r="C511" s="7"/>
      <c r="D511" s="13"/>
      <c r="E511" s="7"/>
      <c r="F511" s="7"/>
    </row>
    <row r="512" spans="1:6" ht="13" x14ac:dyDescent="0.15">
      <c r="A512" s="13"/>
      <c r="C512" s="7"/>
      <c r="D512" s="13"/>
      <c r="E512" s="7"/>
      <c r="F512" s="7"/>
    </row>
    <row r="513" spans="1:6" ht="13" x14ac:dyDescent="0.15">
      <c r="A513" s="13"/>
      <c r="C513" s="7"/>
      <c r="D513" s="13"/>
      <c r="E513" s="7"/>
      <c r="F513" s="7"/>
    </row>
    <row r="514" spans="1:6" ht="13" x14ac:dyDescent="0.15">
      <c r="A514" s="13"/>
      <c r="C514" s="7"/>
      <c r="D514" s="13"/>
      <c r="E514" s="7"/>
      <c r="F514" s="7"/>
    </row>
    <row r="515" spans="1:6" ht="13" x14ac:dyDescent="0.15">
      <c r="A515" s="13"/>
      <c r="C515" s="7"/>
      <c r="D515" s="13"/>
      <c r="E515" s="7"/>
      <c r="F515" s="7"/>
    </row>
    <row r="516" spans="1:6" ht="13" x14ac:dyDescent="0.15">
      <c r="A516" s="13"/>
      <c r="C516" s="7"/>
      <c r="D516" s="13"/>
      <c r="E516" s="7"/>
      <c r="F516" s="7"/>
    </row>
    <row r="517" spans="1:6" ht="13" x14ac:dyDescent="0.15">
      <c r="A517" s="13"/>
      <c r="C517" s="7"/>
      <c r="D517" s="13"/>
      <c r="E517" s="7"/>
      <c r="F517" s="7"/>
    </row>
    <row r="518" spans="1:6" ht="13" x14ac:dyDescent="0.15">
      <c r="A518" s="13"/>
      <c r="C518" s="7"/>
      <c r="D518" s="13"/>
      <c r="E518" s="7"/>
      <c r="F518" s="7"/>
    </row>
    <row r="519" spans="1:6" ht="13" x14ac:dyDescent="0.15">
      <c r="A519" s="13"/>
      <c r="C519" s="7"/>
      <c r="D519" s="13"/>
      <c r="E519" s="7"/>
      <c r="F519" s="7"/>
    </row>
    <row r="520" spans="1:6" ht="13" x14ac:dyDescent="0.15">
      <c r="A520" s="13"/>
      <c r="C520" s="7"/>
      <c r="D520" s="13"/>
      <c r="E520" s="7"/>
      <c r="F520" s="7"/>
    </row>
    <row r="521" spans="1:6" ht="13" x14ac:dyDescent="0.15">
      <c r="A521" s="13"/>
      <c r="C521" s="7"/>
      <c r="D521" s="13"/>
      <c r="E521" s="7"/>
      <c r="F521" s="7"/>
    </row>
    <row r="522" spans="1:6" ht="13" x14ac:dyDescent="0.15">
      <c r="A522" s="13"/>
      <c r="C522" s="7"/>
      <c r="D522" s="13"/>
      <c r="E522" s="7"/>
      <c r="F522" s="7"/>
    </row>
    <row r="523" spans="1:6" ht="13" x14ac:dyDescent="0.15">
      <c r="A523" s="13"/>
      <c r="C523" s="7"/>
      <c r="D523" s="13"/>
      <c r="E523" s="7"/>
      <c r="F523" s="7"/>
    </row>
    <row r="524" spans="1:6" ht="13" x14ac:dyDescent="0.15">
      <c r="A524" s="13"/>
      <c r="C524" s="7"/>
      <c r="D524" s="13"/>
      <c r="E524" s="7"/>
      <c r="F524" s="7"/>
    </row>
    <row r="525" spans="1:6" ht="13" x14ac:dyDescent="0.15">
      <c r="A525" s="13"/>
      <c r="C525" s="7"/>
      <c r="D525" s="13"/>
      <c r="E525" s="7"/>
      <c r="F525" s="7"/>
    </row>
    <row r="526" spans="1:6" ht="13" x14ac:dyDescent="0.15">
      <c r="A526" s="13"/>
      <c r="C526" s="7"/>
      <c r="D526" s="13"/>
      <c r="E526" s="7"/>
      <c r="F526" s="7"/>
    </row>
    <row r="527" spans="1:6" ht="13" x14ac:dyDescent="0.15">
      <c r="A527" s="13"/>
      <c r="C527" s="7"/>
      <c r="D527" s="13"/>
      <c r="E527" s="7"/>
      <c r="F527" s="7"/>
    </row>
    <row r="528" spans="1:6" ht="13" x14ac:dyDescent="0.15">
      <c r="A528" s="13"/>
      <c r="C528" s="7"/>
      <c r="D528" s="13"/>
      <c r="E528" s="7"/>
      <c r="F528" s="7"/>
    </row>
    <row r="529" spans="1:6" ht="13" x14ac:dyDescent="0.15">
      <c r="A529" s="13"/>
      <c r="C529" s="7"/>
      <c r="D529" s="13"/>
      <c r="E529" s="7"/>
      <c r="F529" s="7"/>
    </row>
    <row r="530" spans="1:6" ht="13" x14ac:dyDescent="0.15">
      <c r="A530" s="13"/>
      <c r="C530" s="7"/>
      <c r="D530" s="13"/>
      <c r="E530" s="7"/>
      <c r="F530" s="7"/>
    </row>
    <row r="531" spans="1:6" ht="13" x14ac:dyDescent="0.15">
      <c r="A531" s="13"/>
      <c r="C531" s="7"/>
      <c r="D531" s="13"/>
      <c r="E531" s="7"/>
      <c r="F531" s="7"/>
    </row>
    <row r="532" spans="1:6" ht="13" x14ac:dyDescent="0.15">
      <c r="A532" s="13"/>
      <c r="C532" s="7"/>
      <c r="D532" s="13"/>
      <c r="E532" s="7"/>
      <c r="F532" s="7"/>
    </row>
    <row r="533" spans="1:6" ht="13" x14ac:dyDescent="0.15">
      <c r="A533" s="13"/>
      <c r="C533" s="7"/>
      <c r="D533" s="13"/>
      <c r="E533" s="7"/>
      <c r="F533" s="7"/>
    </row>
    <row r="534" spans="1:6" ht="13" x14ac:dyDescent="0.15">
      <c r="A534" s="13"/>
      <c r="C534" s="7"/>
      <c r="D534" s="13"/>
      <c r="E534" s="7"/>
      <c r="F534" s="7"/>
    </row>
    <row r="535" spans="1:6" ht="13" x14ac:dyDescent="0.15">
      <c r="A535" s="13"/>
      <c r="C535" s="7"/>
      <c r="D535" s="13"/>
      <c r="E535" s="7"/>
      <c r="F535" s="7"/>
    </row>
    <row r="536" spans="1:6" ht="13" x14ac:dyDescent="0.15">
      <c r="A536" s="13"/>
      <c r="C536" s="7"/>
      <c r="D536" s="13"/>
      <c r="E536" s="7"/>
      <c r="F536" s="7"/>
    </row>
    <row r="537" spans="1:6" ht="13" x14ac:dyDescent="0.15">
      <c r="A537" s="13"/>
      <c r="C537" s="7"/>
      <c r="D537" s="13"/>
      <c r="E537" s="7"/>
      <c r="F537" s="7"/>
    </row>
    <row r="538" spans="1:6" ht="13" x14ac:dyDescent="0.15">
      <c r="A538" s="13"/>
      <c r="C538" s="7"/>
      <c r="D538" s="13"/>
      <c r="E538" s="7"/>
      <c r="F538" s="7"/>
    </row>
    <row r="539" spans="1:6" ht="13" x14ac:dyDescent="0.15">
      <c r="A539" s="13"/>
      <c r="C539" s="7"/>
      <c r="D539" s="13"/>
      <c r="E539" s="7"/>
      <c r="F539" s="7"/>
    </row>
    <row r="540" spans="1:6" ht="13" x14ac:dyDescent="0.15">
      <c r="A540" s="13"/>
      <c r="C540" s="7"/>
      <c r="D540" s="13"/>
      <c r="E540" s="7"/>
      <c r="F540" s="7"/>
    </row>
    <row r="541" spans="1:6" ht="13" x14ac:dyDescent="0.15">
      <c r="A541" s="13"/>
      <c r="C541" s="7"/>
      <c r="D541" s="13"/>
      <c r="E541" s="7"/>
      <c r="F541" s="7"/>
    </row>
    <row r="542" spans="1:6" ht="13" x14ac:dyDescent="0.15">
      <c r="A542" s="13"/>
      <c r="C542" s="7"/>
      <c r="D542" s="13"/>
      <c r="E542" s="7"/>
      <c r="F542" s="7"/>
    </row>
    <row r="543" spans="1:6" ht="13" x14ac:dyDescent="0.15">
      <c r="A543" s="13"/>
      <c r="C543" s="7"/>
      <c r="D543" s="13"/>
      <c r="E543" s="7"/>
      <c r="F543" s="7"/>
    </row>
    <row r="544" spans="1:6" ht="13" x14ac:dyDescent="0.15">
      <c r="A544" s="13"/>
      <c r="C544" s="7"/>
      <c r="D544" s="13"/>
      <c r="E544" s="7"/>
      <c r="F544" s="7"/>
    </row>
    <row r="545" spans="1:6" ht="13" x14ac:dyDescent="0.15">
      <c r="A545" s="13"/>
      <c r="C545" s="7"/>
      <c r="D545" s="13"/>
      <c r="E545" s="7"/>
      <c r="F545" s="7"/>
    </row>
    <row r="546" spans="1:6" ht="13" x14ac:dyDescent="0.15">
      <c r="A546" s="13"/>
      <c r="C546" s="7"/>
      <c r="D546" s="13"/>
      <c r="E546" s="7"/>
      <c r="F546" s="7"/>
    </row>
    <row r="547" spans="1:6" ht="13" x14ac:dyDescent="0.15">
      <c r="A547" s="13"/>
      <c r="C547" s="7"/>
      <c r="D547" s="13"/>
      <c r="E547" s="7"/>
      <c r="F547" s="7"/>
    </row>
    <row r="548" spans="1:6" ht="13" x14ac:dyDescent="0.15">
      <c r="A548" s="13"/>
      <c r="C548" s="7"/>
      <c r="D548" s="13"/>
      <c r="E548" s="7"/>
      <c r="F548" s="7"/>
    </row>
    <row r="549" spans="1:6" ht="13" x14ac:dyDescent="0.15">
      <c r="A549" s="13"/>
      <c r="C549" s="7"/>
      <c r="D549" s="13"/>
      <c r="E549" s="7"/>
      <c r="F549" s="7"/>
    </row>
    <row r="550" spans="1:6" ht="13" x14ac:dyDescent="0.15">
      <c r="A550" s="13"/>
      <c r="C550" s="7"/>
      <c r="D550" s="13"/>
      <c r="E550" s="7"/>
      <c r="F550" s="7"/>
    </row>
    <row r="551" spans="1:6" ht="13" x14ac:dyDescent="0.15">
      <c r="A551" s="13"/>
      <c r="C551" s="7"/>
      <c r="D551" s="13"/>
      <c r="E551" s="7"/>
      <c r="F551" s="7"/>
    </row>
    <row r="552" spans="1:6" ht="13" x14ac:dyDescent="0.15">
      <c r="A552" s="13"/>
      <c r="C552" s="7"/>
      <c r="D552" s="13"/>
      <c r="E552" s="7"/>
      <c r="F552" s="7"/>
    </row>
    <row r="553" spans="1:6" ht="13" x14ac:dyDescent="0.15">
      <c r="A553" s="13"/>
      <c r="C553" s="7"/>
      <c r="D553" s="13"/>
      <c r="E553" s="7"/>
      <c r="F553" s="7"/>
    </row>
    <row r="554" spans="1:6" ht="13" x14ac:dyDescent="0.15">
      <c r="A554" s="13"/>
      <c r="C554" s="7"/>
      <c r="D554" s="13"/>
      <c r="E554" s="7"/>
      <c r="F554" s="7"/>
    </row>
    <row r="555" spans="1:6" ht="13" x14ac:dyDescent="0.15">
      <c r="A555" s="13"/>
      <c r="C555" s="7"/>
      <c r="D555" s="13"/>
      <c r="E555" s="7"/>
      <c r="F555" s="7"/>
    </row>
    <row r="556" spans="1:6" ht="13" x14ac:dyDescent="0.15">
      <c r="A556" s="13"/>
      <c r="C556" s="7"/>
      <c r="D556" s="13"/>
      <c r="E556" s="7"/>
      <c r="F556" s="7"/>
    </row>
    <row r="557" spans="1:6" ht="13" x14ac:dyDescent="0.15">
      <c r="A557" s="13"/>
      <c r="C557" s="7"/>
      <c r="D557" s="13"/>
      <c r="E557" s="7"/>
      <c r="F557" s="7"/>
    </row>
    <row r="558" spans="1:6" ht="13" x14ac:dyDescent="0.15">
      <c r="A558" s="13"/>
      <c r="C558" s="7"/>
      <c r="D558" s="13"/>
      <c r="E558" s="7"/>
      <c r="F558" s="7"/>
    </row>
    <row r="559" spans="1:6" ht="13" x14ac:dyDescent="0.15">
      <c r="A559" s="13"/>
      <c r="C559" s="7"/>
      <c r="D559" s="13"/>
      <c r="E559" s="7"/>
      <c r="F559" s="7"/>
    </row>
    <row r="560" spans="1:6" ht="13" x14ac:dyDescent="0.15">
      <c r="A560" s="13"/>
      <c r="C560" s="7"/>
      <c r="D560" s="13"/>
      <c r="E560" s="7"/>
      <c r="F560" s="7"/>
    </row>
    <row r="561" spans="1:6" ht="13" x14ac:dyDescent="0.15">
      <c r="A561" s="13"/>
      <c r="C561" s="7"/>
      <c r="D561" s="13"/>
      <c r="E561" s="7"/>
      <c r="F561" s="7"/>
    </row>
    <row r="562" spans="1:6" ht="13" x14ac:dyDescent="0.15">
      <c r="A562" s="13"/>
      <c r="C562" s="7"/>
      <c r="D562" s="13"/>
      <c r="E562" s="7"/>
      <c r="F562" s="7"/>
    </row>
    <row r="563" spans="1:6" ht="13" x14ac:dyDescent="0.15">
      <c r="A563" s="13"/>
      <c r="C563" s="7"/>
      <c r="D563" s="13"/>
      <c r="E563" s="7"/>
      <c r="F563" s="7"/>
    </row>
    <row r="564" spans="1:6" ht="13" x14ac:dyDescent="0.15">
      <c r="A564" s="13"/>
      <c r="C564" s="7"/>
      <c r="D564" s="13"/>
      <c r="E564" s="7"/>
      <c r="F564" s="7"/>
    </row>
    <row r="565" spans="1:6" ht="13" x14ac:dyDescent="0.15">
      <c r="A565" s="13"/>
      <c r="C565" s="7"/>
      <c r="D565" s="13"/>
      <c r="E565" s="7"/>
      <c r="F565" s="7"/>
    </row>
    <row r="566" spans="1:6" ht="13" x14ac:dyDescent="0.15">
      <c r="A566" s="13"/>
      <c r="C566" s="7"/>
      <c r="D566" s="13"/>
      <c r="E566" s="7"/>
      <c r="F566" s="7"/>
    </row>
    <row r="567" spans="1:6" ht="13" x14ac:dyDescent="0.15">
      <c r="A567" s="13"/>
      <c r="C567" s="7"/>
      <c r="D567" s="13"/>
      <c r="E567" s="7"/>
      <c r="F567" s="7"/>
    </row>
    <row r="568" spans="1:6" ht="13" x14ac:dyDescent="0.15">
      <c r="A568" s="13"/>
      <c r="C568" s="7"/>
      <c r="D568" s="13"/>
      <c r="E568" s="7"/>
      <c r="F568" s="7"/>
    </row>
    <row r="569" spans="1:6" ht="13" x14ac:dyDescent="0.15">
      <c r="A569" s="13"/>
      <c r="C569" s="7"/>
      <c r="D569" s="13"/>
      <c r="E569" s="7"/>
      <c r="F569" s="7"/>
    </row>
    <row r="570" spans="1:6" ht="13" x14ac:dyDescent="0.15">
      <c r="A570" s="13"/>
      <c r="C570" s="7"/>
      <c r="D570" s="13"/>
      <c r="E570" s="7"/>
      <c r="F570" s="7"/>
    </row>
    <row r="571" spans="1:6" ht="13" x14ac:dyDescent="0.15">
      <c r="A571" s="13"/>
      <c r="C571" s="7"/>
      <c r="D571" s="13"/>
      <c r="E571" s="7"/>
      <c r="F571" s="7"/>
    </row>
    <row r="572" spans="1:6" ht="13" x14ac:dyDescent="0.15">
      <c r="A572" s="13"/>
      <c r="C572" s="7"/>
      <c r="D572" s="13"/>
      <c r="E572" s="7"/>
      <c r="F572" s="7"/>
    </row>
    <row r="573" spans="1:6" ht="13" x14ac:dyDescent="0.15">
      <c r="A573" s="13"/>
      <c r="C573" s="7"/>
      <c r="D573" s="13"/>
      <c r="E573" s="7"/>
      <c r="F573" s="7"/>
    </row>
    <row r="574" spans="1:6" ht="13" x14ac:dyDescent="0.15">
      <c r="A574" s="13"/>
      <c r="C574" s="7"/>
      <c r="D574" s="13"/>
      <c r="E574" s="7"/>
      <c r="F574" s="7"/>
    </row>
    <row r="575" spans="1:6" ht="13" x14ac:dyDescent="0.15">
      <c r="A575" s="13"/>
      <c r="C575" s="7"/>
      <c r="D575" s="13"/>
      <c r="E575" s="7"/>
      <c r="F575" s="7"/>
    </row>
    <row r="576" spans="1:6" ht="13" x14ac:dyDescent="0.15">
      <c r="A576" s="13"/>
      <c r="C576" s="7"/>
      <c r="D576" s="13"/>
      <c r="E576" s="7"/>
      <c r="F576" s="7"/>
    </row>
    <row r="577" spans="1:6" ht="13" x14ac:dyDescent="0.15">
      <c r="A577" s="13"/>
      <c r="C577" s="7"/>
      <c r="D577" s="13"/>
      <c r="E577" s="7"/>
      <c r="F577" s="7"/>
    </row>
    <row r="578" spans="1:6" ht="13" x14ac:dyDescent="0.15">
      <c r="A578" s="13"/>
      <c r="C578" s="7"/>
      <c r="D578" s="13"/>
      <c r="E578" s="7"/>
      <c r="F578" s="7"/>
    </row>
    <row r="579" spans="1:6" ht="13" x14ac:dyDescent="0.15">
      <c r="A579" s="13"/>
      <c r="C579" s="7"/>
      <c r="D579" s="13"/>
      <c r="E579" s="7"/>
      <c r="F579" s="7"/>
    </row>
    <row r="580" spans="1:6" ht="13" x14ac:dyDescent="0.15">
      <c r="A580" s="13"/>
      <c r="C580" s="7"/>
      <c r="D580" s="13"/>
      <c r="E580" s="7"/>
      <c r="F580" s="7"/>
    </row>
    <row r="581" spans="1:6" ht="13" x14ac:dyDescent="0.15">
      <c r="A581" s="13"/>
      <c r="C581" s="7"/>
      <c r="D581" s="13"/>
      <c r="E581" s="7"/>
      <c r="F581" s="7"/>
    </row>
    <row r="582" spans="1:6" ht="13" x14ac:dyDescent="0.15">
      <c r="A582" s="13"/>
      <c r="C582" s="7"/>
      <c r="D582" s="13"/>
      <c r="E582" s="7"/>
      <c r="F582" s="7"/>
    </row>
    <row r="583" spans="1:6" ht="13" x14ac:dyDescent="0.15">
      <c r="A583" s="13"/>
      <c r="C583" s="7"/>
      <c r="D583" s="13"/>
      <c r="E583" s="7"/>
      <c r="F583" s="7"/>
    </row>
    <row r="584" spans="1:6" ht="13" x14ac:dyDescent="0.15">
      <c r="A584" s="13"/>
      <c r="C584" s="7"/>
      <c r="D584" s="13"/>
      <c r="E584" s="7"/>
      <c r="F584" s="7"/>
    </row>
    <row r="585" spans="1:6" ht="13" x14ac:dyDescent="0.15">
      <c r="A585" s="13"/>
      <c r="C585" s="7"/>
      <c r="D585" s="13"/>
      <c r="E585" s="7"/>
      <c r="F585" s="7"/>
    </row>
    <row r="586" spans="1:6" ht="13" x14ac:dyDescent="0.15">
      <c r="A586" s="13"/>
      <c r="C586" s="7"/>
      <c r="D586" s="13"/>
      <c r="E586" s="7"/>
      <c r="F586" s="7"/>
    </row>
    <row r="587" spans="1:6" ht="13" x14ac:dyDescent="0.15">
      <c r="A587" s="13"/>
      <c r="C587" s="7"/>
      <c r="D587" s="13"/>
      <c r="E587" s="7"/>
      <c r="F587" s="7"/>
    </row>
    <row r="588" spans="1:6" ht="13" x14ac:dyDescent="0.15">
      <c r="A588" s="13"/>
      <c r="C588" s="7"/>
      <c r="D588" s="13"/>
      <c r="E588" s="7"/>
      <c r="F588" s="7"/>
    </row>
    <row r="589" spans="1:6" ht="13" x14ac:dyDescent="0.15">
      <c r="A589" s="13"/>
      <c r="C589" s="7"/>
      <c r="D589" s="13"/>
      <c r="E589" s="7"/>
      <c r="F589" s="7"/>
    </row>
    <row r="590" spans="1:6" ht="13" x14ac:dyDescent="0.15">
      <c r="A590" s="13"/>
      <c r="C590" s="7"/>
      <c r="D590" s="13"/>
      <c r="E590" s="7"/>
      <c r="F590" s="7"/>
    </row>
    <row r="591" spans="1:6" ht="13" x14ac:dyDescent="0.15">
      <c r="A591" s="13"/>
      <c r="C591" s="7"/>
      <c r="D591" s="13"/>
      <c r="E591" s="7"/>
      <c r="F591" s="7"/>
    </row>
    <row r="592" spans="1:6" ht="13" x14ac:dyDescent="0.15">
      <c r="A592" s="13"/>
      <c r="C592" s="7"/>
      <c r="D592" s="13"/>
      <c r="E592" s="7"/>
      <c r="F592" s="7"/>
    </row>
    <row r="593" spans="1:6" ht="13" x14ac:dyDescent="0.15">
      <c r="A593" s="13"/>
      <c r="C593" s="7"/>
      <c r="D593" s="13"/>
      <c r="E593" s="7"/>
      <c r="F593" s="7"/>
    </row>
    <row r="594" spans="1:6" ht="13" x14ac:dyDescent="0.15">
      <c r="A594" s="13"/>
      <c r="C594" s="7"/>
      <c r="D594" s="13"/>
      <c r="E594" s="7"/>
      <c r="F594" s="7"/>
    </row>
    <row r="595" spans="1:6" ht="13" x14ac:dyDescent="0.15">
      <c r="A595" s="13"/>
      <c r="C595" s="7"/>
      <c r="D595" s="13"/>
      <c r="E595" s="7"/>
      <c r="F595" s="7"/>
    </row>
    <row r="596" spans="1:6" ht="13" x14ac:dyDescent="0.15">
      <c r="A596" s="13"/>
      <c r="C596" s="7"/>
      <c r="D596" s="13"/>
      <c r="E596" s="7"/>
      <c r="F596" s="7"/>
    </row>
    <row r="597" spans="1:6" ht="13" x14ac:dyDescent="0.15">
      <c r="A597" s="13"/>
      <c r="C597" s="7"/>
      <c r="D597" s="13"/>
      <c r="E597" s="7"/>
      <c r="F597" s="7"/>
    </row>
    <row r="598" spans="1:6" ht="13" x14ac:dyDescent="0.15">
      <c r="A598" s="13"/>
      <c r="C598" s="7"/>
      <c r="D598" s="13"/>
      <c r="E598" s="7"/>
      <c r="F598" s="7"/>
    </row>
    <row r="599" spans="1:6" ht="13" x14ac:dyDescent="0.15">
      <c r="A599" s="13"/>
      <c r="C599" s="7"/>
      <c r="D599" s="13"/>
      <c r="E599" s="7"/>
      <c r="F599" s="7"/>
    </row>
    <row r="600" spans="1:6" ht="13" x14ac:dyDescent="0.15">
      <c r="A600" s="13"/>
      <c r="C600" s="7"/>
      <c r="D600" s="13"/>
      <c r="E600" s="7"/>
      <c r="F600" s="7"/>
    </row>
    <row r="601" spans="1:6" ht="13" x14ac:dyDescent="0.15">
      <c r="A601" s="13"/>
      <c r="C601" s="7"/>
      <c r="D601" s="13"/>
      <c r="E601" s="7"/>
      <c r="F601" s="7"/>
    </row>
    <row r="602" spans="1:6" ht="13" x14ac:dyDescent="0.15">
      <c r="A602" s="13"/>
      <c r="C602" s="7"/>
      <c r="D602" s="13"/>
      <c r="E602" s="7"/>
      <c r="F602" s="7"/>
    </row>
    <row r="603" spans="1:6" ht="13" x14ac:dyDescent="0.15">
      <c r="A603" s="13"/>
      <c r="C603" s="7"/>
      <c r="D603" s="13"/>
      <c r="E603" s="7"/>
      <c r="F603" s="7"/>
    </row>
    <row r="604" spans="1:6" ht="13" x14ac:dyDescent="0.15">
      <c r="A604" s="13"/>
      <c r="C604" s="7"/>
      <c r="D604" s="13"/>
      <c r="E604" s="7"/>
      <c r="F604" s="7"/>
    </row>
    <row r="605" spans="1:6" ht="13" x14ac:dyDescent="0.15">
      <c r="A605" s="13"/>
      <c r="C605" s="7"/>
      <c r="D605" s="13"/>
      <c r="E605" s="7"/>
      <c r="F605" s="7"/>
    </row>
    <row r="606" spans="1:6" ht="13" x14ac:dyDescent="0.15">
      <c r="A606" s="13"/>
      <c r="C606" s="7"/>
      <c r="D606" s="13"/>
      <c r="E606" s="7"/>
      <c r="F606" s="7"/>
    </row>
    <row r="607" spans="1:6" ht="13" x14ac:dyDescent="0.15">
      <c r="A607" s="13"/>
      <c r="C607" s="7"/>
      <c r="D607" s="13"/>
      <c r="E607" s="7"/>
      <c r="F607" s="7"/>
    </row>
    <row r="608" spans="1:6" ht="13" x14ac:dyDescent="0.15">
      <c r="A608" s="13"/>
      <c r="C608" s="7"/>
      <c r="D608" s="13"/>
      <c r="E608" s="7"/>
      <c r="F608" s="7"/>
    </row>
    <row r="609" spans="1:6" ht="13" x14ac:dyDescent="0.15">
      <c r="A609" s="13"/>
      <c r="C609" s="7"/>
      <c r="D609" s="13"/>
      <c r="E609" s="7"/>
      <c r="F609" s="7"/>
    </row>
    <row r="610" spans="1:6" ht="13" x14ac:dyDescent="0.15">
      <c r="A610" s="13"/>
      <c r="C610" s="7"/>
      <c r="D610" s="13"/>
      <c r="E610" s="7"/>
      <c r="F610" s="7"/>
    </row>
    <row r="611" spans="1:6" ht="13" x14ac:dyDescent="0.15">
      <c r="A611" s="13"/>
      <c r="C611" s="7"/>
      <c r="D611" s="13"/>
      <c r="E611" s="7"/>
      <c r="F611" s="7"/>
    </row>
    <row r="612" spans="1:6" ht="13" x14ac:dyDescent="0.15">
      <c r="A612" s="13"/>
      <c r="C612" s="7"/>
      <c r="D612" s="13"/>
      <c r="E612" s="7"/>
      <c r="F612" s="7"/>
    </row>
    <row r="613" spans="1:6" ht="13" x14ac:dyDescent="0.15">
      <c r="A613" s="13"/>
      <c r="C613" s="7"/>
      <c r="D613" s="13"/>
      <c r="E613" s="7"/>
      <c r="F613" s="7"/>
    </row>
    <row r="614" spans="1:6" ht="13" x14ac:dyDescent="0.15">
      <c r="A614" s="13"/>
      <c r="C614" s="7"/>
      <c r="D614" s="13"/>
      <c r="E614" s="7"/>
      <c r="F614" s="7"/>
    </row>
    <row r="615" spans="1:6" ht="13" x14ac:dyDescent="0.15">
      <c r="A615" s="13"/>
      <c r="C615" s="7"/>
      <c r="D615" s="13"/>
      <c r="E615" s="7"/>
      <c r="F615" s="7"/>
    </row>
    <row r="616" spans="1:6" ht="13" x14ac:dyDescent="0.15">
      <c r="A616" s="13"/>
      <c r="C616" s="7"/>
      <c r="D616" s="13"/>
      <c r="E616" s="7"/>
      <c r="F616" s="7"/>
    </row>
    <row r="617" spans="1:6" ht="13" x14ac:dyDescent="0.15">
      <c r="A617" s="13"/>
      <c r="C617" s="7"/>
      <c r="D617" s="13"/>
      <c r="E617" s="7"/>
      <c r="F617" s="7"/>
    </row>
    <row r="618" spans="1:6" ht="13" x14ac:dyDescent="0.15">
      <c r="A618" s="13"/>
      <c r="C618" s="7"/>
      <c r="D618" s="13"/>
      <c r="E618" s="7"/>
      <c r="F618" s="7"/>
    </row>
    <row r="619" spans="1:6" ht="13" x14ac:dyDescent="0.15">
      <c r="A619" s="13"/>
      <c r="C619" s="7"/>
      <c r="D619" s="13"/>
      <c r="E619" s="7"/>
      <c r="F619" s="7"/>
    </row>
    <row r="620" spans="1:6" ht="13" x14ac:dyDescent="0.15">
      <c r="A620" s="13"/>
      <c r="C620" s="7"/>
      <c r="D620" s="13"/>
      <c r="E620" s="7"/>
      <c r="F620" s="7"/>
    </row>
    <row r="621" spans="1:6" ht="13" x14ac:dyDescent="0.15">
      <c r="A621" s="13"/>
      <c r="C621" s="7"/>
      <c r="D621" s="13"/>
      <c r="E621" s="7"/>
      <c r="F621" s="7"/>
    </row>
    <row r="622" spans="1:6" ht="13" x14ac:dyDescent="0.15">
      <c r="A622" s="13"/>
      <c r="C622" s="7"/>
      <c r="D622" s="13"/>
      <c r="E622" s="7"/>
      <c r="F622" s="7"/>
    </row>
    <row r="623" spans="1:6" ht="13" x14ac:dyDescent="0.15">
      <c r="A623" s="13"/>
      <c r="C623" s="7"/>
      <c r="D623" s="13"/>
      <c r="E623" s="7"/>
      <c r="F623" s="7"/>
    </row>
    <row r="624" spans="1:6" ht="13" x14ac:dyDescent="0.15">
      <c r="A624" s="13"/>
      <c r="C624" s="7"/>
      <c r="D624" s="13"/>
      <c r="E624" s="7"/>
      <c r="F624" s="7"/>
    </row>
    <row r="625" spans="1:6" ht="13" x14ac:dyDescent="0.15">
      <c r="A625" s="13"/>
      <c r="C625" s="7"/>
      <c r="D625" s="13"/>
      <c r="E625" s="7"/>
      <c r="F625" s="7"/>
    </row>
    <row r="626" spans="1:6" ht="13" x14ac:dyDescent="0.15">
      <c r="A626" s="13"/>
      <c r="C626" s="7"/>
      <c r="D626" s="13"/>
      <c r="E626" s="7"/>
      <c r="F626" s="7"/>
    </row>
    <row r="627" spans="1:6" ht="13" x14ac:dyDescent="0.15">
      <c r="A627" s="13"/>
      <c r="C627" s="7"/>
      <c r="D627" s="13"/>
      <c r="E627" s="7"/>
      <c r="F627" s="7"/>
    </row>
    <row r="628" spans="1:6" ht="13" x14ac:dyDescent="0.15">
      <c r="A628" s="13"/>
      <c r="C628" s="7"/>
      <c r="D628" s="13"/>
      <c r="E628" s="7"/>
      <c r="F628" s="7"/>
    </row>
    <row r="629" spans="1:6" ht="13" x14ac:dyDescent="0.15">
      <c r="A629" s="13"/>
      <c r="C629" s="7"/>
      <c r="D629" s="13"/>
      <c r="E629" s="7"/>
      <c r="F629" s="7"/>
    </row>
    <row r="630" spans="1:6" ht="13" x14ac:dyDescent="0.15">
      <c r="A630" s="13"/>
      <c r="C630" s="7"/>
      <c r="D630" s="13"/>
      <c r="E630" s="7"/>
      <c r="F630" s="7"/>
    </row>
    <row r="631" spans="1:6" ht="13" x14ac:dyDescent="0.15">
      <c r="A631" s="13"/>
      <c r="C631" s="7"/>
      <c r="D631" s="13"/>
      <c r="E631" s="7"/>
      <c r="F631" s="7"/>
    </row>
    <row r="632" spans="1:6" ht="13" x14ac:dyDescent="0.15">
      <c r="A632" s="13"/>
      <c r="C632" s="7"/>
      <c r="D632" s="13"/>
      <c r="E632" s="7"/>
      <c r="F632" s="7"/>
    </row>
    <row r="633" spans="1:6" ht="13" x14ac:dyDescent="0.15">
      <c r="A633" s="13"/>
      <c r="C633" s="7"/>
      <c r="D633" s="13"/>
      <c r="E633" s="7"/>
      <c r="F633" s="7"/>
    </row>
    <row r="634" spans="1:6" ht="13" x14ac:dyDescent="0.15">
      <c r="A634" s="13"/>
      <c r="C634" s="7"/>
      <c r="D634" s="13"/>
      <c r="E634" s="7"/>
      <c r="F634" s="7"/>
    </row>
    <row r="635" spans="1:6" ht="13" x14ac:dyDescent="0.15">
      <c r="A635" s="13"/>
      <c r="C635" s="7"/>
      <c r="D635" s="13"/>
      <c r="E635" s="7"/>
      <c r="F635" s="7"/>
    </row>
    <row r="636" spans="1:6" ht="13" x14ac:dyDescent="0.15">
      <c r="A636" s="13"/>
      <c r="C636" s="7"/>
      <c r="D636" s="13"/>
      <c r="E636" s="7"/>
      <c r="F636" s="7"/>
    </row>
    <row r="637" spans="1:6" ht="13" x14ac:dyDescent="0.15">
      <c r="A637" s="13"/>
      <c r="C637" s="7"/>
      <c r="D637" s="13"/>
      <c r="E637" s="7"/>
      <c r="F637" s="7"/>
    </row>
    <row r="638" spans="1:6" ht="13" x14ac:dyDescent="0.15">
      <c r="A638" s="13"/>
      <c r="C638" s="7"/>
      <c r="D638" s="13"/>
      <c r="E638" s="7"/>
      <c r="F638" s="7"/>
    </row>
    <row r="639" spans="1:6" ht="13" x14ac:dyDescent="0.15">
      <c r="A639" s="13"/>
      <c r="C639" s="7"/>
      <c r="D639" s="13"/>
      <c r="E639" s="7"/>
      <c r="F639" s="7"/>
    </row>
    <row r="640" spans="1:6" ht="13" x14ac:dyDescent="0.15">
      <c r="A640" s="13"/>
      <c r="C640" s="7"/>
      <c r="D640" s="13"/>
      <c r="E640" s="7"/>
      <c r="F640" s="7"/>
    </row>
    <row r="641" spans="1:6" ht="13" x14ac:dyDescent="0.15">
      <c r="A641" s="13"/>
      <c r="C641" s="7"/>
      <c r="D641" s="13"/>
      <c r="E641" s="7"/>
      <c r="F641" s="7"/>
    </row>
    <row r="642" spans="1:6" ht="13" x14ac:dyDescent="0.15">
      <c r="A642" s="13"/>
      <c r="C642" s="7"/>
      <c r="D642" s="13"/>
      <c r="E642" s="7"/>
      <c r="F642" s="7"/>
    </row>
    <row r="643" spans="1:6" ht="13" x14ac:dyDescent="0.15">
      <c r="A643" s="13"/>
      <c r="C643" s="7"/>
      <c r="D643" s="13"/>
      <c r="E643" s="7"/>
      <c r="F643" s="7"/>
    </row>
    <row r="644" spans="1:6" ht="13" x14ac:dyDescent="0.15">
      <c r="A644" s="13"/>
      <c r="C644" s="7"/>
      <c r="D644" s="13"/>
      <c r="E644" s="7"/>
      <c r="F644" s="7"/>
    </row>
    <row r="645" spans="1:6" ht="13" x14ac:dyDescent="0.15">
      <c r="A645" s="13"/>
      <c r="C645" s="7"/>
      <c r="D645" s="13"/>
      <c r="E645" s="7"/>
      <c r="F645" s="7"/>
    </row>
    <row r="646" spans="1:6" ht="13" x14ac:dyDescent="0.15">
      <c r="A646" s="13"/>
      <c r="C646" s="7"/>
      <c r="D646" s="13"/>
      <c r="E646" s="7"/>
      <c r="F646" s="7"/>
    </row>
    <row r="647" spans="1:6" ht="13" x14ac:dyDescent="0.15">
      <c r="A647" s="13"/>
      <c r="C647" s="7"/>
      <c r="D647" s="13"/>
      <c r="E647" s="7"/>
      <c r="F647" s="7"/>
    </row>
    <row r="648" spans="1:6" ht="13" x14ac:dyDescent="0.15">
      <c r="A648" s="13"/>
      <c r="C648" s="7"/>
      <c r="D648" s="13"/>
      <c r="E648" s="7"/>
      <c r="F648" s="7"/>
    </row>
    <row r="649" spans="1:6" ht="13" x14ac:dyDescent="0.15">
      <c r="A649" s="13"/>
      <c r="C649" s="7"/>
      <c r="D649" s="13"/>
      <c r="E649" s="7"/>
      <c r="F649" s="7"/>
    </row>
    <row r="650" spans="1:6" ht="13" x14ac:dyDescent="0.15">
      <c r="A650" s="13"/>
      <c r="C650" s="7"/>
      <c r="D650" s="13"/>
      <c r="E650" s="7"/>
      <c r="F650" s="7"/>
    </row>
    <row r="651" spans="1:6" ht="13" x14ac:dyDescent="0.15">
      <c r="A651" s="13"/>
      <c r="C651" s="7"/>
      <c r="D651" s="13"/>
      <c r="E651" s="7"/>
      <c r="F651" s="7"/>
    </row>
    <row r="652" spans="1:6" ht="13" x14ac:dyDescent="0.15">
      <c r="A652" s="13"/>
      <c r="C652" s="7"/>
      <c r="D652" s="13"/>
      <c r="E652" s="7"/>
      <c r="F652" s="7"/>
    </row>
    <row r="653" spans="1:6" ht="13" x14ac:dyDescent="0.15">
      <c r="A653" s="13"/>
      <c r="C653" s="7"/>
      <c r="D653" s="13"/>
      <c r="E653" s="7"/>
      <c r="F653" s="7"/>
    </row>
    <row r="654" spans="1:6" ht="13" x14ac:dyDescent="0.15">
      <c r="A654" s="13"/>
      <c r="C654" s="7"/>
      <c r="D654" s="13"/>
      <c r="E654" s="7"/>
      <c r="F654" s="7"/>
    </row>
    <row r="655" spans="1:6" ht="13" x14ac:dyDescent="0.15">
      <c r="A655" s="13"/>
      <c r="C655" s="7"/>
      <c r="D655" s="13"/>
      <c r="E655" s="7"/>
      <c r="F655" s="7"/>
    </row>
    <row r="656" spans="1:6" ht="13" x14ac:dyDescent="0.15">
      <c r="A656" s="13"/>
      <c r="C656" s="7"/>
      <c r="D656" s="13"/>
      <c r="E656" s="7"/>
      <c r="F656" s="7"/>
    </row>
    <row r="657" spans="1:6" ht="13" x14ac:dyDescent="0.15">
      <c r="A657" s="13"/>
      <c r="C657" s="7"/>
      <c r="D657" s="13"/>
      <c r="E657" s="7"/>
      <c r="F657" s="7"/>
    </row>
    <row r="658" spans="1:6" ht="13" x14ac:dyDescent="0.15">
      <c r="A658" s="13"/>
      <c r="C658" s="7"/>
      <c r="D658" s="13"/>
      <c r="E658" s="7"/>
      <c r="F658" s="7"/>
    </row>
    <row r="659" spans="1:6" ht="13" x14ac:dyDescent="0.15">
      <c r="A659" s="13"/>
      <c r="C659" s="7"/>
      <c r="D659" s="13"/>
      <c r="E659" s="7"/>
      <c r="F659" s="7"/>
    </row>
    <row r="660" spans="1:6" ht="13" x14ac:dyDescent="0.15">
      <c r="A660" s="13"/>
      <c r="C660" s="7"/>
      <c r="D660" s="13"/>
      <c r="E660" s="7"/>
      <c r="F660" s="7"/>
    </row>
    <row r="661" spans="1:6" ht="13" x14ac:dyDescent="0.15">
      <c r="A661" s="13"/>
      <c r="C661" s="7"/>
      <c r="D661" s="13"/>
      <c r="E661" s="7"/>
      <c r="F661" s="7"/>
    </row>
    <row r="662" spans="1:6" ht="13" x14ac:dyDescent="0.15">
      <c r="A662" s="13"/>
      <c r="C662" s="7"/>
      <c r="D662" s="13"/>
      <c r="E662" s="7"/>
      <c r="F662" s="7"/>
    </row>
    <row r="663" spans="1:6" ht="13" x14ac:dyDescent="0.15">
      <c r="A663" s="13"/>
      <c r="C663" s="7"/>
      <c r="D663" s="13"/>
      <c r="E663" s="7"/>
      <c r="F663" s="7"/>
    </row>
    <row r="664" spans="1:6" ht="13" x14ac:dyDescent="0.15">
      <c r="A664" s="13"/>
      <c r="C664" s="7"/>
      <c r="D664" s="13"/>
      <c r="E664" s="7"/>
      <c r="F664" s="7"/>
    </row>
    <row r="665" spans="1:6" ht="13" x14ac:dyDescent="0.15">
      <c r="A665" s="13"/>
      <c r="C665" s="7"/>
      <c r="D665" s="13"/>
      <c r="E665" s="7"/>
      <c r="F665" s="7"/>
    </row>
    <row r="666" spans="1:6" ht="13" x14ac:dyDescent="0.15">
      <c r="A666" s="13"/>
      <c r="C666" s="7"/>
      <c r="D666" s="13"/>
      <c r="E666" s="7"/>
      <c r="F666" s="7"/>
    </row>
    <row r="667" spans="1:6" ht="13" x14ac:dyDescent="0.15">
      <c r="A667" s="13"/>
      <c r="C667" s="7"/>
      <c r="D667" s="13"/>
      <c r="E667" s="7"/>
      <c r="F667" s="7"/>
    </row>
    <row r="668" spans="1:6" ht="13" x14ac:dyDescent="0.15">
      <c r="A668" s="13"/>
      <c r="C668" s="7"/>
      <c r="D668" s="13"/>
      <c r="E668" s="7"/>
      <c r="F668" s="7"/>
    </row>
    <row r="669" spans="1:6" ht="13" x14ac:dyDescent="0.15">
      <c r="A669" s="13"/>
      <c r="C669" s="7"/>
      <c r="D669" s="13"/>
      <c r="E669" s="7"/>
      <c r="F669" s="7"/>
    </row>
    <row r="670" spans="1:6" ht="13" x14ac:dyDescent="0.15">
      <c r="A670" s="13"/>
      <c r="C670" s="7"/>
      <c r="D670" s="13"/>
      <c r="E670" s="7"/>
      <c r="F670" s="7"/>
    </row>
    <row r="671" spans="1:6" ht="13" x14ac:dyDescent="0.15">
      <c r="A671" s="13"/>
      <c r="C671" s="7"/>
      <c r="D671" s="13"/>
      <c r="E671" s="7"/>
      <c r="F671" s="7"/>
    </row>
    <row r="672" spans="1:6" ht="13" x14ac:dyDescent="0.15">
      <c r="A672" s="13"/>
      <c r="C672" s="7"/>
      <c r="D672" s="13"/>
      <c r="E672" s="7"/>
      <c r="F672" s="7"/>
    </row>
    <row r="673" spans="1:6" ht="13" x14ac:dyDescent="0.15">
      <c r="A673" s="13"/>
      <c r="C673" s="7"/>
      <c r="D673" s="13"/>
      <c r="E673" s="7"/>
      <c r="F673" s="7"/>
    </row>
    <row r="674" spans="1:6" ht="13" x14ac:dyDescent="0.15">
      <c r="A674" s="13"/>
      <c r="C674" s="7"/>
      <c r="D674" s="13"/>
      <c r="E674" s="7"/>
      <c r="F674" s="7"/>
    </row>
    <row r="675" spans="1:6" ht="13" x14ac:dyDescent="0.15">
      <c r="A675" s="13"/>
      <c r="C675" s="7"/>
      <c r="D675" s="13"/>
      <c r="E675" s="7"/>
      <c r="F675" s="7"/>
    </row>
    <row r="676" spans="1:6" ht="13" x14ac:dyDescent="0.15">
      <c r="A676" s="13"/>
      <c r="C676" s="7"/>
      <c r="D676" s="13"/>
      <c r="E676" s="7"/>
      <c r="F676" s="7"/>
    </row>
    <row r="677" spans="1:6" ht="13" x14ac:dyDescent="0.15">
      <c r="A677" s="13"/>
      <c r="C677" s="7"/>
      <c r="D677" s="13"/>
      <c r="E677" s="7"/>
      <c r="F677" s="7"/>
    </row>
    <row r="678" spans="1:6" ht="13" x14ac:dyDescent="0.15">
      <c r="A678" s="13"/>
      <c r="C678" s="7"/>
      <c r="D678" s="13"/>
      <c r="E678" s="7"/>
      <c r="F678" s="7"/>
    </row>
    <row r="679" spans="1:6" ht="13" x14ac:dyDescent="0.15">
      <c r="A679" s="13"/>
      <c r="C679" s="7"/>
      <c r="D679" s="13"/>
      <c r="E679" s="7"/>
      <c r="F679" s="7"/>
    </row>
    <row r="680" spans="1:6" ht="13" x14ac:dyDescent="0.15">
      <c r="A680" s="13"/>
      <c r="C680" s="7"/>
      <c r="D680" s="13"/>
      <c r="E680" s="7"/>
      <c r="F680" s="7"/>
    </row>
    <row r="681" spans="1:6" ht="13" x14ac:dyDescent="0.15">
      <c r="A681" s="13"/>
      <c r="C681" s="7"/>
      <c r="D681" s="13"/>
      <c r="E681" s="7"/>
      <c r="F681" s="7"/>
    </row>
    <row r="682" spans="1:6" ht="13" x14ac:dyDescent="0.15">
      <c r="A682" s="13"/>
      <c r="C682" s="7"/>
      <c r="D682" s="13"/>
      <c r="E682" s="7"/>
      <c r="F682" s="7"/>
    </row>
    <row r="683" spans="1:6" ht="13" x14ac:dyDescent="0.15">
      <c r="A683" s="13"/>
      <c r="C683" s="7"/>
      <c r="D683" s="13"/>
      <c r="E683" s="7"/>
      <c r="F683" s="7"/>
    </row>
    <row r="684" spans="1:6" ht="13" x14ac:dyDescent="0.15">
      <c r="A684" s="13"/>
      <c r="C684" s="7"/>
      <c r="D684" s="13"/>
      <c r="E684" s="7"/>
      <c r="F684" s="7"/>
    </row>
    <row r="685" spans="1:6" ht="13" x14ac:dyDescent="0.15">
      <c r="A685" s="13"/>
      <c r="C685" s="7"/>
      <c r="D685" s="13"/>
      <c r="E685" s="7"/>
      <c r="F685" s="7"/>
    </row>
    <row r="686" spans="1:6" ht="13" x14ac:dyDescent="0.15">
      <c r="A686" s="13"/>
      <c r="C686" s="7"/>
      <c r="D686" s="13"/>
      <c r="E686" s="7"/>
      <c r="F686" s="7"/>
    </row>
    <row r="687" spans="1:6" ht="13" x14ac:dyDescent="0.15">
      <c r="A687" s="13"/>
      <c r="C687" s="7"/>
      <c r="D687" s="13"/>
      <c r="E687" s="7"/>
      <c r="F687" s="7"/>
    </row>
    <row r="688" spans="1:6" ht="13" x14ac:dyDescent="0.15">
      <c r="A688" s="13"/>
      <c r="C688" s="7"/>
      <c r="D688" s="13"/>
      <c r="E688" s="7"/>
      <c r="F688" s="7"/>
    </row>
    <row r="689" spans="1:6" ht="13" x14ac:dyDescent="0.15">
      <c r="A689" s="13"/>
      <c r="C689" s="7"/>
      <c r="D689" s="13"/>
      <c r="E689" s="7"/>
      <c r="F689" s="7"/>
    </row>
    <row r="690" spans="1:6" ht="13" x14ac:dyDescent="0.15">
      <c r="A690" s="13"/>
      <c r="C690" s="7"/>
      <c r="D690" s="13"/>
      <c r="E690" s="7"/>
      <c r="F690" s="7"/>
    </row>
    <row r="691" spans="1:6" ht="13" x14ac:dyDescent="0.15">
      <c r="A691" s="13"/>
      <c r="C691" s="7"/>
      <c r="D691" s="13"/>
      <c r="E691" s="7"/>
      <c r="F691" s="7"/>
    </row>
    <row r="692" spans="1:6" ht="13" x14ac:dyDescent="0.15">
      <c r="A692" s="13"/>
      <c r="C692" s="7"/>
      <c r="D692" s="13"/>
      <c r="E692" s="7"/>
      <c r="F692" s="7"/>
    </row>
    <row r="693" spans="1:6" ht="13" x14ac:dyDescent="0.15">
      <c r="A693" s="13"/>
      <c r="C693" s="7"/>
      <c r="D693" s="13"/>
      <c r="E693" s="7"/>
      <c r="F693" s="7"/>
    </row>
    <row r="694" spans="1:6" ht="13" x14ac:dyDescent="0.15">
      <c r="A694" s="13"/>
      <c r="C694" s="7"/>
      <c r="D694" s="13"/>
      <c r="E694" s="7"/>
      <c r="F694" s="7"/>
    </row>
    <row r="695" spans="1:6" ht="13" x14ac:dyDescent="0.15">
      <c r="A695" s="13"/>
      <c r="C695" s="7"/>
      <c r="D695" s="13"/>
      <c r="E695" s="7"/>
      <c r="F695" s="7"/>
    </row>
    <row r="696" spans="1:6" ht="13" x14ac:dyDescent="0.15">
      <c r="A696" s="13"/>
      <c r="C696" s="7"/>
      <c r="D696" s="13"/>
      <c r="E696" s="7"/>
      <c r="F696" s="7"/>
    </row>
    <row r="697" spans="1:6" ht="13" x14ac:dyDescent="0.15">
      <c r="A697" s="13"/>
      <c r="C697" s="7"/>
      <c r="D697" s="13"/>
      <c r="E697" s="7"/>
      <c r="F697" s="7"/>
    </row>
    <row r="698" spans="1:6" ht="13" x14ac:dyDescent="0.15">
      <c r="A698" s="13"/>
      <c r="C698" s="7"/>
      <c r="D698" s="13"/>
      <c r="E698" s="7"/>
      <c r="F698" s="7"/>
    </row>
    <row r="699" spans="1:6" ht="13" x14ac:dyDescent="0.15">
      <c r="A699" s="13"/>
      <c r="C699" s="7"/>
      <c r="D699" s="13"/>
      <c r="E699" s="7"/>
      <c r="F699" s="7"/>
    </row>
    <row r="700" spans="1:6" ht="13" x14ac:dyDescent="0.15">
      <c r="A700" s="13"/>
      <c r="C700" s="7"/>
      <c r="D700" s="13"/>
      <c r="E700" s="7"/>
      <c r="F700" s="7"/>
    </row>
    <row r="701" spans="1:6" ht="13" x14ac:dyDescent="0.15">
      <c r="A701" s="13"/>
      <c r="C701" s="7"/>
      <c r="D701" s="13"/>
      <c r="E701" s="7"/>
      <c r="F701" s="7"/>
    </row>
    <row r="702" spans="1:6" ht="13" x14ac:dyDescent="0.15">
      <c r="A702" s="13"/>
      <c r="C702" s="7"/>
      <c r="D702" s="13"/>
      <c r="E702" s="7"/>
      <c r="F702" s="7"/>
    </row>
    <row r="703" spans="1:6" ht="13" x14ac:dyDescent="0.15">
      <c r="A703" s="13"/>
      <c r="C703" s="7"/>
      <c r="D703" s="13"/>
      <c r="E703" s="7"/>
      <c r="F703" s="7"/>
    </row>
    <row r="704" spans="1:6" ht="13" x14ac:dyDescent="0.15">
      <c r="A704" s="13"/>
      <c r="C704" s="7"/>
      <c r="D704" s="13"/>
      <c r="E704" s="7"/>
      <c r="F704" s="7"/>
    </row>
    <row r="705" spans="1:6" ht="13" x14ac:dyDescent="0.15">
      <c r="A705" s="13"/>
      <c r="C705" s="7"/>
      <c r="D705" s="13"/>
      <c r="E705" s="7"/>
      <c r="F705" s="7"/>
    </row>
    <row r="706" spans="1:6" ht="13" x14ac:dyDescent="0.15">
      <c r="A706" s="13"/>
      <c r="C706" s="7"/>
      <c r="D706" s="13"/>
      <c r="E706" s="7"/>
      <c r="F706" s="7"/>
    </row>
    <row r="707" spans="1:6" ht="13" x14ac:dyDescent="0.15">
      <c r="A707" s="13"/>
      <c r="C707" s="7"/>
      <c r="D707" s="13"/>
      <c r="E707" s="7"/>
      <c r="F707" s="7"/>
    </row>
    <row r="708" spans="1:6" ht="13" x14ac:dyDescent="0.15">
      <c r="A708" s="13"/>
      <c r="C708" s="7"/>
      <c r="D708" s="13"/>
      <c r="E708" s="7"/>
      <c r="F708" s="7"/>
    </row>
    <row r="709" spans="1:6" ht="13" x14ac:dyDescent="0.15">
      <c r="A709" s="13"/>
      <c r="C709" s="7"/>
      <c r="D709" s="13"/>
      <c r="E709" s="7"/>
      <c r="F709" s="7"/>
    </row>
    <row r="710" spans="1:6" ht="13" x14ac:dyDescent="0.15">
      <c r="A710" s="13"/>
      <c r="C710" s="7"/>
      <c r="D710" s="13"/>
      <c r="E710" s="7"/>
      <c r="F710" s="7"/>
    </row>
    <row r="711" spans="1:6" ht="13" x14ac:dyDescent="0.15">
      <c r="A711" s="13"/>
      <c r="C711" s="7"/>
      <c r="D711" s="13"/>
      <c r="E711" s="7"/>
      <c r="F711" s="7"/>
    </row>
    <row r="712" spans="1:6" ht="13" x14ac:dyDescent="0.15">
      <c r="A712" s="13"/>
      <c r="C712" s="7"/>
      <c r="D712" s="13"/>
      <c r="E712" s="7"/>
      <c r="F712" s="7"/>
    </row>
    <row r="713" spans="1:6" ht="13" x14ac:dyDescent="0.15">
      <c r="A713" s="13"/>
      <c r="C713" s="7"/>
      <c r="D713" s="13"/>
      <c r="E713" s="7"/>
      <c r="F713" s="7"/>
    </row>
    <row r="714" spans="1:6" ht="13" x14ac:dyDescent="0.15">
      <c r="A714" s="13"/>
      <c r="C714" s="7"/>
      <c r="D714" s="13"/>
      <c r="E714" s="7"/>
      <c r="F714" s="7"/>
    </row>
    <row r="715" spans="1:6" ht="13" x14ac:dyDescent="0.15">
      <c r="A715" s="13"/>
      <c r="C715" s="7"/>
      <c r="D715" s="13"/>
      <c r="E715" s="7"/>
      <c r="F715" s="7"/>
    </row>
    <row r="716" spans="1:6" ht="13" x14ac:dyDescent="0.15">
      <c r="A716" s="13"/>
      <c r="C716" s="7"/>
      <c r="D716" s="13"/>
      <c r="E716" s="7"/>
      <c r="F716" s="7"/>
    </row>
    <row r="717" spans="1:6" ht="13" x14ac:dyDescent="0.15">
      <c r="A717" s="13"/>
      <c r="C717" s="7"/>
      <c r="D717" s="13"/>
      <c r="E717" s="7"/>
      <c r="F717" s="7"/>
    </row>
    <row r="718" spans="1:6" ht="13" x14ac:dyDescent="0.15">
      <c r="A718" s="13"/>
      <c r="C718" s="7"/>
      <c r="D718" s="13"/>
      <c r="E718" s="7"/>
      <c r="F718" s="7"/>
    </row>
    <row r="719" spans="1:6" ht="13" x14ac:dyDescent="0.15">
      <c r="A719" s="13"/>
      <c r="C719" s="7"/>
      <c r="D719" s="13"/>
      <c r="E719" s="7"/>
      <c r="F719" s="7"/>
    </row>
    <row r="720" spans="1:6" ht="13" x14ac:dyDescent="0.15">
      <c r="A720" s="13"/>
      <c r="C720" s="7"/>
      <c r="D720" s="13"/>
      <c r="E720" s="7"/>
      <c r="F720" s="7"/>
    </row>
    <row r="721" spans="1:6" ht="13" x14ac:dyDescent="0.15">
      <c r="A721" s="13"/>
      <c r="C721" s="7"/>
      <c r="D721" s="13"/>
      <c r="E721" s="7"/>
      <c r="F721" s="7"/>
    </row>
    <row r="722" spans="1:6" ht="13" x14ac:dyDescent="0.15">
      <c r="A722" s="13"/>
      <c r="C722" s="7"/>
      <c r="D722" s="13"/>
      <c r="E722" s="7"/>
      <c r="F722" s="7"/>
    </row>
    <row r="723" spans="1:6" ht="13" x14ac:dyDescent="0.15">
      <c r="A723" s="13"/>
      <c r="C723" s="7"/>
      <c r="D723" s="13"/>
      <c r="E723" s="7"/>
      <c r="F723" s="7"/>
    </row>
    <row r="724" spans="1:6" ht="13" x14ac:dyDescent="0.15">
      <c r="A724" s="13"/>
      <c r="C724" s="7"/>
      <c r="D724" s="13"/>
      <c r="E724" s="7"/>
      <c r="F724" s="7"/>
    </row>
    <row r="725" spans="1:6" ht="13" x14ac:dyDescent="0.15">
      <c r="A725" s="13"/>
      <c r="C725" s="7"/>
      <c r="D725" s="13"/>
      <c r="E725" s="7"/>
      <c r="F725" s="7"/>
    </row>
    <row r="726" spans="1:6" ht="13" x14ac:dyDescent="0.15">
      <c r="A726" s="13"/>
      <c r="C726" s="7"/>
      <c r="D726" s="13"/>
      <c r="E726" s="7"/>
      <c r="F726" s="7"/>
    </row>
    <row r="727" spans="1:6" ht="13" x14ac:dyDescent="0.15">
      <c r="A727" s="13"/>
      <c r="C727" s="7"/>
      <c r="D727" s="13"/>
      <c r="E727" s="7"/>
      <c r="F727" s="7"/>
    </row>
    <row r="728" spans="1:6" ht="13" x14ac:dyDescent="0.15">
      <c r="A728" s="13"/>
      <c r="C728" s="7"/>
      <c r="D728" s="13"/>
      <c r="E728" s="7"/>
      <c r="F728" s="7"/>
    </row>
    <row r="729" spans="1:6" ht="13" x14ac:dyDescent="0.15">
      <c r="A729" s="13"/>
      <c r="C729" s="7"/>
      <c r="D729" s="13"/>
      <c r="E729" s="7"/>
      <c r="F729" s="7"/>
    </row>
    <row r="730" spans="1:6" ht="13" x14ac:dyDescent="0.15">
      <c r="A730" s="13"/>
      <c r="C730" s="7"/>
      <c r="D730" s="13"/>
      <c r="E730" s="7"/>
      <c r="F730" s="7"/>
    </row>
    <row r="731" spans="1:6" ht="13" x14ac:dyDescent="0.15">
      <c r="A731" s="13"/>
      <c r="C731" s="7"/>
      <c r="D731" s="13"/>
      <c r="E731" s="7"/>
      <c r="F731" s="7"/>
    </row>
    <row r="732" spans="1:6" ht="13" x14ac:dyDescent="0.15">
      <c r="A732" s="13"/>
      <c r="C732" s="7"/>
      <c r="D732" s="13"/>
      <c r="E732" s="7"/>
      <c r="F732" s="7"/>
    </row>
    <row r="733" spans="1:6" ht="13" x14ac:dyDescent="0.15">
      <c r="A733" s="13"/>
      <c r="C733" s="7"/>
      <c r="D733" s="13"/>
      <c r="E733" s="7"/>
      <c r="F733" s="7"/>
    </row>
    <row r="734" spans="1:6" ht="13" x14ac:dyDescent="0.15">
      <c r="A734" s="13"/>
      <c r="C734" s="7"/>
      <c r="D734" s="13"/>
      <c r="E734" s="7"/>
      <c r="F734" s="7"/>
    </row>
    <row r="735" spans="1:6" ht="13" x14ac:dyDescent="0.15">
      <c r="A735" s="13"/>
      <c r="C735" s="7"/>
      <c r="D735" s="13"/>
      <c r="E735" s="7"/>
      <c r="F735" s="7"/>
    </row>
    <row r="736" spans="1:6" ht="13" x14ac:dyDescent="0.15">
      <c r="A736" s="13"/>
      <c r="C736" s="7"/>
      <c r="D736" s="13"/>
      <c r="E736" s="7"/>
      <c r="F736" s="7"/>
    </row>
    <row r="737" spans="1:6" ht="13" x14ac:dyDescent="0.15">
      <c r="A737" s="13"/>
      <c r="C737" s="7"/>
      <c r="D737" s="13"/>
      <c r="E737" s="7"/>
      <c r="F737" s="7"/>
    </row>
    <row r="738" spans="1:6" ht="13" x14ac:dyDescent="0.15">
      <c r="A738" s="13"/>
      <c r="C738" s="7"/>
      <c r="D738" s="13"/>
      <c r="E738" s="7"/>
      <c r="F738" s="7"/>
    </row>
    <row r="739" spans="1:6" ht="13" x14ac:dyDescent="0.15">
      <c r="A739" s="13"/>
      <c r="C739" s="7"/>
      <c r="D739" s="13"/>
      <c r="E739" s="7"/>
      <c r="F739" s="7"/>
    </row>
    <row r="740" spans="1:6" ht="13" x14ac:dyDescent="0.15">
      <c r="A740" s="13"/>
      <c r="C740" s="7"/>
      <c r="D740" s="13"/>
      <c r="E740" s="7"/>
      <c r="F740" s="7"/>
    </row>
    <row r="741" spans="1:6" ht="13" x14ac:dyDescent="0.15">
      <c r="A741" s="13"/>
      <c r="C741" s="7"/>
      <c r="D741" s="13"/>
      <c r="E741" s="7"/>
      <c r="F741" s="7"/>
    </row>
    <row r="742" spans="1:6" ht="13" x14ac:dyDescent="0.15">
      <c r="A742" s="13"/>
      <c r="C742" s="7"/>
      <c r="D742" s="13"/>
      <c r="E742" s="7"/>
      <c r="F742" s="7"/>
    </row>
    <row r="743" spans="1:6" ht="13" x14ac:dyDescent="0.15">
      <c r="A743" s="13"/>
      <c r="C743" s="7"/>
      <c r="D743" s="13"/>
      <c r="E743" s="7"/>
      <c r="F743" s="7"/>
    </row>
    <row r="744" spans="1:6" ht="13" x14ac:dyDescent="0.15">
      <c r="A744" s="13"/>
      <c r="C744" s="7"/>
      <c r="D744" s="13"/>
      <c r="E744" s="7"/>
      <c r="F744" s="7"/>
    </row>
    <row r="745" spans="1:6" ht="13" x14ac:dyDescent="0.15">
      <c r="A745" s="13"/>
      <c r="C745" s="7"/>
      <c r="D745" s="13"/>
      <c r="E745" s="7"/>
      <c r="F745" s="7"/>
    </row>
    <row r="746" spans="1:6" ht="13" x14ac:dyDescent="0.15">
      <c r="A746" s="13"/>
      <c r="C746" s="7"/>
      <c r="D746" s="13"/>
      <c r="E746" s="7"/>
      <c r="F746" s="7"/>
    </row>
    <row r="747" spans="1:6" ht="13" x14ac:dyDescent="0.15">
      <c r="A747" s="13"/>
      <c r="C747" s="7"/>
      <c r="D747" s="13"/>
      <c r="E747" s="7"/>
      <c r="F747" s="7"/>
    </row>
    <row r="748" spans="1:6" ht="13" x14ac:dyDescent="0.15">
      <c r="A748" s="13"/>
      <c r="C748" s="7"/>
      <c r="D748" s="13"/>
      <c r="E748" s="7"/>
      <c r="F748" s="7"/>
    </row>
    <row r="749" spans="1:6" ht="13" x14ac:dyDescent="0.15">
      <c r="A749" s="13"/>
      <c r="C749" s="7"/>
      <c r="D749" s="13"/>
      <c r="E749" s="7"/>
      <c r="F749" s="7"/>
    </row>
    <row r="750" spans="1:6" ht="13" x14ac:dyDescent="0.15">
      <c r="A750" s="13"/>
      <c r="C750" s="7"/>
      <c r="D750" s="13"/>
      <c r="E750" s="7"/>
      <c r="F750" s="7"/>
    </row>
    <row r="751" spans="1:6" ht="13" x14ac:dyDescent="0.15">
      <c r="A751" s="13"/>
      <c r="C751" s="7"/>
      <c r="D751" s="13"/>
      <c r="E751" s="7"/>
      <c r="F751" s="7"/>
    </row>
    <row r="752" spans="1:6" ht="13" x14ac:dyDescent="0.15">
      <c r="A752" s="13"/>
      <c r="C752" s="7"/>
      <c r="D752" s="13"/>
      <c r="E752" s="7"/>
      <c r="F752" s="7"/>
    </row>
    <row r="753" spans="1:6" ht="13" x14ac:dyDescent="0.15">
      <c r="A753" s="13"/>
      <c r="C753" s="7"/>
      <c r="D753" s="13"/>
      <c r="E753" s="7"/>
      <c r="F753" s="7"/>
    </row>
    <row r="754" spans="1:6" ht="13" x14ac:dyDescent="0.15">
      <c r="A754" s="13"/>
      <c r="C754" s="7"/>
      <c r="D754" s="13"/>
      <c r="E754" s="7"/>
      <c r="F754" s="7"/>
    </row>
    <row r="755" spans="1:6" ht="13" x14ac:dyDescent="0.15">
      <c r="A755" s="13"/>
      <c r="C755" s="7"/>
      <c r="D755" s="13"/>
      <c r="E755" s="7"/>
      <c r="F755" s="7"/>
    </row>
    <row r="756" spans="1:6" ht="13" x14ac:dyDescent="0.15">
      <c r="A756" s="13"/>
      <c r="C756" s="7"/>
      <c r="D756" s="13"/>
      <c r="E756" s="7"/>
      <c r="F756" s="7"/>
    </row>
    <row r="757" spans="1:6" ht="13" x14ac:dyDescent="0.15">
      <c r="A757" s="13"/>
      <c r="C757" s="7"/>
      <c r="D757" s="13"/>
      <c r="E757" s="7"/>
      <c r="F757" s="7"/>
    </row>
    <row r="758" spans="1:6" ht="13" x14ac:dyDescent="0.15">
      <c r="A758" s="13"/>
      <c r="C758" s="7"/>
      <c r="D758" s="13"/>
      <c r="E758" s="7"/>
      <c r="F758" s="7"/>
    </row>
    <row r="759" spans="1:6" ht="13" x14ac:dyDescent="0.15">
      <c r="A759" s="13"/>
      <c r="C759" s="7"/>
      <c r="D759" s="13"/>
      <c r="E759" s="7"/>
      <c r="F759" s="7"/>
    </row>
    <row r="760" spans="1:6" ht="13" x14ac:dyDescent="0.15">
      <c r="A760" s="13"/>
      <c r="C760" s="7"/>
      <c r="D760" s="13"/>
      <c r="E760" s="7"/>
      <c r="F760" s="7"/>
    </row>
    <row r="761" spans="1:6" ht="13" x14ac:dyDescent="0.15">
      <c r="A761" s="13"/>
      <c r="C761" s="7"/>
      <c r="D761" s="13"/>
      <c r="E761" s="7"/>
      <c r="F761" s="7"/>
    </row>
    <row r="762" spans="1:6" ht="13" x14ac:dyDescent="0.15">
      <c r="A762" s="13"/>
      <c r="C762" s="7"/>
      <c r="D762" s="13"/>
      <c r="E762" s="7"/>
      <c r="F762" s="7"/>
    </row>
    <row r="763" spans="1:6" ht="13" x14ac:dyDescent="0.15">
      <c r="A763" s="13"/>
      <c r="C763" s="7"/>
      <c r="D763" s="13"/>
      <c r="E763" s="7"/>
      <c r="F763" s="7"/>
    </row>
    <row r="764" spans="1:6" ht="13" x14ac:dyDescent="0.15">
      <c r="A764" s="13"/>
      <c r="C764" s="7"/>
      <c r="D764" s="13"/>
      <c r="E764" s="7"/>
      <c r="F764" s="7"/>
    </row>
    <row r="765" spans="1:6" ht="13" x14ac:dyDescent="0.15">
      <c r="A765" s="13"/>
      <c r="C765" s="7"/>
      <c r="D765" s="13"/>
      <c r="E765" s="7"/>
      <c r="F765" s="7"/>
    </row>
    <row r="766" spans="1:6" ht="13" x14ac:dyDescent="0.15">
      <c r="A766" s="13"/>
      <c r="C766" s="7"/>
      <c r="D766" s="13"/>
      <c r="E766" s="7"/>
      <c r="F766" s="7"/>
    </row>
    <row r="767" spans="1:6" ht="13" x14ac:dyDescent="0.15">
      <c r="A767" s="13"/>
      <c r="C767" s="7"/>
      <c r="D767" s="13"/>
      <c r="E767" s="7"/>
      <c r="F767" s="7"/>
    </row>
    <row r="768" spans="1:6" ht="13" x14ac:dyDescent="0.15">
      <c r="A768" s="13"/>
      <c r="C768" s="7"/>
      <c r="D768" s="13"/>
      <c r="E768" s="7"/>
      <c r="F768" s="7"/>
    </row>
    <row r="769" spans="1:6" ht="13" x14ac:dyDescent="0.15">
      <c r="A769" s="13"/>
      <c r="C769" s="7"/>
      <c r="D769" s="13"/>
      <c r="E769" s="7"/>
      <c r="F769" s="7"/>
    </row>
    <row r="770" spans="1:6" ht="13" x14ac:dyDescent="0.15">
      <c r="A770" s="13"/>
      <c r="C770" s="7"/>
      <c r="D770" s="13"/>
      <c r="E770" s="7"/>
      <c r="F770" s="7"/>
    </row>
    <row r="771" spans="1:6" ht="13" x14ac:dyDescent="0.15">
      <c r="A771" s="13"/>
      <c r="C771" s="7"/>
      <c r="D771" s="13"/>
      <c r="E771" s="7"/>
      <c r="F771" s="7"/>
    </row>
    <row r="772" spans="1:6" ht="13" x14ac:dyDescent="0.15">
      <c r="A772" s="13"/>
      <c r="C772" s="7"/>
      <c r="D772" s="13"/>
      <c r="E772" s="7"/>
      <c r="F772" s="7"/>
    </row>
    <row r="773" spans="1:6" ht="13" x14ac:dyDescent="0.15">
      <c r="A773" s="13"/>
      <c r="C773" s="7"/>
      <c r="D773" s="13"/>
      <c r="E773" s="7"/>
      <c r="F773" s="7"/>
    </row>
    <row r="774" spans="1:6" ht="13" x14ac:dyDescent="0.15">
      <c r="A774" s="13"/>
      <c r="C774" s="7"/>
      <c r="D774" s="13"/>
      <c r="E774" s="7"/>
      <c r="F774" s="7"/>
    </row>
    <row r="775" spans="1:6" ht="13" x14ac:dyDescent="0.15">
      <c r="A775" s="13"/>
      <c r="C775" s="7"/>
      <c r="D775" s="13"/>
      <c r="E775" s="7"/>
      <c r="F775" s="7"/>
    </row>
    <row r="776" spans="1:6" ht="13" x14ac:dyDescent="0.15">
      <c r="A776" s="13"/>
      <c r="C776" s="7"/>
      <c r="D776" s="13"/>
      <c r="E776" s="7"/>
      <c r="F776" s="7"/>
    </row>
    <row r="777" spans="1:6" ht="13" x14ac:dyDescent="0.15">
      <c r="A777" s="13"/>
      <c r="C777" s="7"/>
      <c r="D777" s="13"/>
      <c r="E777" s="7"/>
      <c r="F777" s="7"/>
    </row>
    <row r="778" spans="1:6" ht="13" x14ac:dyDescent="0.15">
      <c r="A778" s="13"/>
      <c r="C778" s="7"/>
      <c r="D778" s="13"/>
      <c r="E778" s="7"/>
      <c r="F778" s="7"/>
    </row>
    <row r="779" spans="1:6" ht="13" x14ac:dyDescent="0.15">
      <c r="A779" s="13"/>
      <c r="C779" s="7"/>
      <c r="D779" s="13"/>
      <c r="E779" s="7"/>
      <c r="F779" s="7"/>
    </row>
    <row r="780" spans="1:6" ht="13" x14ac:dyDescent="0.15">
      <c r="A780" s="13"/>
      <c r="C780" s="7"/>
      <c r="D780" s="13"/>
      <c r="E780" s="7"/>
      <c r="F780" s="7"/>
    </row>
    <row r="781" spans="1:6" ht="13" x14ac:dyDescent="0.15">
      <c r="A781" s="13"/>
      <c r="C781" s="7"/>
      <c r="D781" s="13"/>
      <c r="E781" s="7"/>
      <c r="F781" s="7"/>
    </row>
    <row r="782" spans="1:6" ht="13" x14ac:dyDescent="0.15">
      <c r="A782" s="13"/>
      <c r="C782" s="7"/>
      <c r="D782" s="13"/>
      <c r="E782" s="7"/>
      <c r="F782" s="7"/>
    </row>
    <row r="783" spans="1:6" ht="13" x14ac:dyDescent="0.15">
      <c r="A783" s="13"/>
      <c r="C783" s="7"/>
      <c r="D783" s="13"/>
      <c r="E783" s="7"/>
      <c r="F783" s="7"/>
    </row>
    <row r="784" spans="1:6" ht="13" x14ac:dyDescent="0.15">
      <c r="A784" s="13"/>
      <c r="C784" s="7"/>
      <c r="D784" s="13"/>
      <c r="E784" s="7"/>
      <c r="F784" s="7"/>
    </row>
    <row r="785" spans="1:6" ht="13" x14ac:dyDescent="0.15">
      <c r="A785" s="13"/>
      <c r="C785" s="7"/>
      <c r="D785" s="13"/>
      <c r="E785" s="7"/>
      <c r="F785" s="7"/>
    </row>
    <row r="786" spans="1:6" ht="13" x14ac:dyDescent="0.15">
      <c r="A786" s="13"/>
      <c r="C786" s="7"/>
      <c r="D786" s="13"/>
      <c r="E786" s="7"/>
      <c r="F786" s="7"/>
    </row>
    <row r="787" spans="1:6" ht="13" x14ac:dyDescent="0.15">
      <c r="A787" s="13"/>
      <c r="C787" s="7"/>
      <c r="D787" s="13"/>
      <c r="E787" s="7"/>
      <c r="F787" s="7"/>
    </row>
    <row r="788" spans="1:6" ht="13" x14ac:dyDescent="0.15">
      <c r="A788" s="13"/>
      <c r="C788" s="7"/>
      <c r="D788" s="13"/>
      <c r="E788" s="7"/>
      <c r="F788" s="7"/>
    </row>
    <row r="789" spans="1:6" ht="13" x14ac:dyDescent="0.15">
      <c r="A789" s="13"/>
      <c r="C789" s="7"/>
      <c r="D789" s="13"/>
      <c r="E789" s="7"/>
      <c r="F789" s="7"/>
    </row>
    <row r="790" spans="1:6" ht="13" x14ac:dyDescent="0.15">
      <c r="A790" s="13"/>
      <c r="C790" s="7"/>
      <c r="D790" s="13"/>
      <c r="E790" s="7"/>
      <c r="F790" s="7"/>
    </row>
    <row r="791" spans="1:6" ht="13" x14ac:dyDescent="0.15">
      <c r="A791" s="13"/>
      <c r="C791" s="7"/>
      <c r="D791" s="13"/>
      <c r="E791" s="7"/>
      <c r="F791" s="7"/>
    </row>
    <row r="792" spans="1:6" ht="13" x14ac:dyDescent="0.15">
      <c r="A792" s="13"/>
      <c r="C792" s="7"/>
      <c r="D792" s="13"/>
      <c r="E792" s="7"/>
      <c r="F792" s="7"/>
    </row>
    <row r="793" spans="1:6" ht="13" x14ac:dyDescent="0.15">
      <c r="A793" s="13"/>
      <c r="C793" s="7"/>
      <c r="D793" s="13"/>
      <c r="E793" s="7"/>
      <c r="F793" s="7"/>
    </row>
    <row r="794" spans="1:6" ht="13" x14ac:dyDescent="0.15">
      <c r="A794" s="13"/>
      <c r="C794" s="7"/>
      <c r="D794" s="13"/>
      <c r="E794" s="7"/>
      <c r="F794" s="7"/>
    </row>
    <row r="795" spans="1:6" ht="13" x14ac:dyDescent="0.15">
      <c r="A795" s="13"/>
      <c r="C795" s="7"/>
      <c r="D795" s="13"/>
      <c r="E795" s="7"/>
      <c r="F795" s="7"/>
    </row>
    <row r="796" spans="1:6" ht="13" x14ac:dyDescent="0.15">
      <c r="A796" s="13"/>
      <c r="C796" s="7"/>
      <c r="D796" s="13"/>
      <c r="E796" s="7"/>
      <c r="F796" s="7"/>
    </row>
    <row r="797" spans="1:6" ht="13" x14ac:dyDescent="0.15">
      <c r="A797" s="13"/>
      <c r="C797" s="7"/>
      <c r="D797" s="13"/>
      <c r="E797" s="7"/>
      <c r="F797" s="7"/>
    </row>
    <row r="798" spans="1:6" ht="13" x14ac:dyDescent="0.15">
      <c r="A798" s="13"/>
      <c r="C798" s="7"/>
      <c r="D798" s="13"/>
      <c r="E798" s="7"/>
      <c r="F798" s="7"/>
    </row>
    <row r="799" spans="1:6" ht="13" x14ac:dyDescent="0.15">
      <c r="A799" s="13"/>
      <c r="C799" s="7"/>
      <c r="D799" s="13"/>
      <c r="E799" s="7"/>
      <c r="F799" s="7"/>
    </row>
    <row r="800" spans="1:6" ht="13" x14ac:dyDescent="0.15">
      <c r="A800" s="13"/>
      <c r="C800" s="7"/>
      <c r="D800" s="13"/>
      <c r="E800" s="7"/>
      <c r="F800" s="7"/>
    </row>
    <row r="801" spans="1:6" ht="13" x14ac:dyDescent="0.15">
      <c r="A801" s="13"/>
      <c r="C801" s="7"/>
      <c r="D801" s="13"/>
      <c r="E801" s="7"/>
      <c r="F801" s="7"/>
    </row>
    <row r="802" spans="1:6" ht="13" x14ac:dyDescent="0.15">
      <c r="A802" s="13"/>
      <c r="C802" s="7"/>
      <c r="D802" s="13"/>
      <c r="E802" s="7"/>
      <c r="F802" s="7"/>
    </row>
    <row r="803" spans="1:6" ht="13" x14ac:dyDescent="0.15">
      <c r="A803" s="13"/>
      <c r="C803" s="7"/>
      <c r="D803" s="13"/>
      <c r="E803" s="7"/>
      <c r="F803" s="7"/>
    </row>
    <row r="804" spans="1:6" ht="13" x14ac:dyDescent="0.15">
      <c r="A804" s="13"/>
      <c r="C804" s="7"/>
      <c r="D804" s="13"/>
      <c r="E804" s="7"/>
      <c r="F804" s="7"/>
    </row>
    <row r="805" spans="1:6" ht="13" x14ac:dyDescent="0.15">
      <c r="A805" s="13"/>
      <c r="C805" s="7"/>
      <c r="D805" s="13"/>
      <c r="E805" s="7"/>
      <c r="F805" s="7"/>
    </row>
    <row r="806" spans="1:6" ht="13" x14ac:dyDescent="0.15">
      <c r="A806" s="13"/>
      <c r="C806" s="7"/>
      <c r="D806" s="13"/>
      <c r="E806" s="7"/>
      <c r="F806" s="7"/>
    </row>
    <row r="807" spans="1:6" ht="13" x14ac:dyDescent="0.15">
      <c r="A807" s="13"/>
      <c r="C807" s="7"/>
      <c r="D807" s="13"/>
      <c r="E807" s="7"/>
      <c r="F807" s="7"/>
    </row>
    <row r="808" spans="1:6" ht="13" x14ac:dyDescent="0.15">
      <c r="A808" s="13"/>
      <c r="C808" s="7"/>
      <c r="D808" s="13"/>
      <c r="E808" s="7"/>
      <c r="F808" s="7"/>
    </row>
    <row r="809" spans="1:6" ht="13" x14ac:dyDescent="0.15">
      <c r="A809" s="13"/>
      <c r="C809" s="7"/>
      <c r="D809" s="13"/>
      <c r="E809" s="7"/>
      <c r="F809" s="7"/>
    </row>
    <row r="810" spans="1:6" ht="13" x14ac:dyDescent="0.15">
      <c r="A810" s="13"/>
      <c r="C810" s="7"/>
      <c r="D810" s="13"/>
      <c r="E810" s="7"/>
      <c r="F810" s="7"/>
    </row>
    <row r="811" spans="1:6" ht="13" x14ac:dyDescent="0.15">
      <c r="A811" s="13"/>
      <c r="C811" s="7"/>
      <c r="D811" s="13"/>
      <c r="E811" s="7"/>
      <c r="F811" s="7"/>
    </row>
    <row r="812" spans="1:6" ht="13" x14ac:dyDescent="0.15">
      <c r="A812" s="13"/>
      <c r="C812" s="7"/>
      <c r="D812" s="13"/>
      <c r="E812" s="7"/>
      <c r="F812" s="7"/>
    </row>
    <row r="813" spans="1:6" ht="13" x14ac:dyDescent="0.15">
      <c r="A813" s="13"/>
      <c r="C813" s="7"/>
      <c r="D813" s="13"/>
      <c r="E813" s="7"/>
      <c r="F813" s="7"/>
    </row>
    <row r="814" spans="1:6" ht="13" x14ac:dyDescent="0.15">
      <c r="A814" s="13"/>
      <c r="C814" s="7"/>
      <c r="D814" s="13"/>
      <c r="E814" s="7"/>
      <c r="F814" s="7"/>
    </row>
    <row r="815" spans="1:6" ht="13" x14ac:dyDescent="0.15">
      <c r="A815" s="13"/>
      <c r="C815" s="7"/>
      <c r="D815" s="13"/>
      <c r="E815" s="7"/>
      <c r="F815" s="7"/>
    </row>
    <row r="816" spans="1:6" ht="13" x14ac:dyDescent="0.15">
      <c r="A816" s="13"/>
      <c r="C816" s="7"/>
      <c r="D816" s="13"/>
      <c r="E816" s="7"/>
      <c r="F816" s="7"/>
    </row>
    <row r="817" spans="1:6" ht="13" x14ac:dyDescent="0.15">
      <c r="A817" s="13"/>
      <c r="C817" s="7"/>
      <c r="D817" s="13"/>
      <c r="E817" s="7"/>
      <c r="F817" s="7"/>
    </row>
    <row r="818" spans="1:6" ht="13" x14ac:dyDescent="0.15">
      <c r="A818" s="13"/>
      <c r="C818" s="7"/>
      <c r="D818" s="13"/>
      <c r="E818" s="7"/>
      <c r="F818" s="7"/>
    </row>
    <row r="819" spans="1:6" ht="13" x14ac:dyDescent="0.15">
      <c r="A819" s="13"/>
      <c r="C819" s="7"/>
      <c r="D819" s="13"/>
      <c r="E819" s="7"/>
      <c r="F819" s="7"/>
    </row>
    <row r="820" spans="1:6" ht="13" x14ac:dyDescent="0.15">
      <c r="A820" s="13"/>
      <c r="C820" s="7"/>
      <c r="D820" s="13"/>
      <c r="E820" s="7"/>
      <c r="F820" s="7"/>
    </row>
    <row r="821" spans="1:6" ht="13" x14ac:dyDescent="0.15">
      <c r="A821" s="13"/>
      <c r="C821" s="7"/>
      <c r="D821" s="13"/>
      <c r="E821" s="7"/>
      <c r="F821" s="7"/>
    </row>
    <row r="822" spans="1:6" ht="13" x14ac:dyDescent="0.15">
      <c r="A822" s="13"/>
      <c r="C822" s="7"/>
      <c r="D822" s="13"/>
      <c r="E822" s="7"/>
      <c r="F822" s="7"/>
    </row>
    <row r="823" spans="1:6" ht="13" x14ac:dyDescent="0.15">
      <c r="A823" s="13"/>
      <c r="C823" s="7"/>
      <c r="D823" s="13"/>
      <c r="E823" s="7"/>
      <c r="F823" s="7"/>
    </row>
    <row r="824" spans="1:6" ht="13" x14ac:dyDescent="0.15">
      <c r="A824" s="13"/>
      <c r="C824" s="7"/>
      <c r="D824" s="13"/>
      <c r="E824" s="7"/>
      <c r="F824" s="7"/>
    </row>
    <row r="825" spans="1:6" ht="13" x14ac:dyDescent="0.15">
      <c r="A825" s="13"/>
      <c r="C825" s="7"/>
      <c r="D825" s="13"/>
      <c r="E825" s="7"/>
      <c r="F825" s="7"/>
    </row>
    <row r="826" spans="1:6" ht="13" x14ac:dyDescent="0.15">
      <c r="A826" s="13"/>
      <c r="C826" s="7"/>
      <c r="D826" s="13"/>
      <c r="E826" s="7"/>
      <c r="F826" s="7"/>
    </row>
    <row r="827" spans="1:6" ht="13" x14ac:dyDescent="0.15">
      <c r="A827" s="13"/>
      <c r="C827" s="7"/>
      <c r="D827" s="13"/>
      <c r="E827" s="7"/>
      <c r="F827" s="7"/>
    </row>
    <row r="828" spans="1:6" ht="13" x14ac:dyDescent="0.15">
      <c r="A828" s="13"/>
      <c r="C828" s="7"/>
      <c r="D828" s="13"/>
      <c r="E828" s="7"/>
      <c r="F828" s="7"/>
    </row>
    <row r="829" spans="1:6" ht="13" x14ac:dyDescent="0.15">
      <c r="A829" s="13"/>
      <c r="C829" s="7"/>
      <c r="D829" s="13"/>
      <c r="E829" s="7"/>
      <c r="F829" s="7"/>
    </row>
    <row r="830" spans="1:6" ht="13" x14ac:dyDescent="0.15">
      <c r="A830" s="13"/>
      <c r="C830" s="7"/>
      <c r="D830" s="13"/>
      <c r="E830" s="7"/>
      <c r="F830" s="7"/>
    </row>
    <row r="831" spans="1:6" ht="13" x14ac:dyDescent="0.15">
      <c r="A831" s="13"/>
      <c r="C831" s="7"/>
      <c r="D831" s="13"/>
      <c r="E831" s="7"/>
      <c r="F831" s="7"/>
    </row>
    <row r="832" spans="1:6" ht="13" x14ac:dyDescent="0.15">
      <c r="A832" s="13"/>
      <c r="C832" s="7"/>
      <c r="D832" s="13"/>
      <c r="E832" s="7"/>
      <c r="F832" s="7"/>
    </row>
    <row r="833" spans="1:6" ht="13" x14ac:dyDescent="0.15">
      <c r="A833" s="13"/>
      <c r="C833" s="7"/>
      <c r="D833" s="13"/>
      <c r="E833" s="7"/>
      <c r="F833" s="7"/>
    </row>
    <row r="834" spans="1:6" ht="13" x14ac:dyDescent="0.15">
      <c r="A834" s="13"/>
      <c r="C834" s="7"/>
      <c r="D834" s="13"/>
      <c r="E834" s="7"/>
      <c r="F834" s="7"/>
    </row>
    <row r="835" spans="1:6" ht="13" x14ac:dyDescent="0.15">
      <c r="A835" s="13"/>
      <c r="C835" s="7"/>
      <c r="D835" s="13"/>
      <c r="E835" s="7"/>
      <c r="F835" s="7"/>
    </row>
    <row r="836" spans="1:6" ht="13" x14ac:dyDescent="0.15">
      <c r="A836" s="13"/>
      <c r="C836" s="7"/>
      <c r="D836" s="13"/>
      <c r="E836" s="7"/>
      <c r="F836" s="7"/>
    </row>
    <row r="837" spans="1:6" ht="13" x14ac:dyDescent="0.15">
      <c r="A837" s="13"/>
      <c r="C837" s="7"/>
      <c r="D837" s="13"/>
      <c r="E837" s="7"/>
      <c r="F837" s="7"/>
    </row>
    <row r="838" spans="1:6" ht="13" x14ac:dyDescent="0.15">
      <c r="A838" s="13"/>
      <c r="C838" s="7"/>
      <c r="D838" s="13"/>
      <c r="E838" s="7"/>
      <c r="F838" s="7"/>
    </row>
    <row r="839" spans="1:6" ht="13" x14ac:dyDescent="0.15">
      <c r="A839" s="13"/>
      <c r="C839" s="7"/>
      <c r="D839" s="13"/>
      <c r="E839" s="7"/>
      <c r="F839" s="7"/>
    </row>
    <row r="840" spans="1:6" ht="13" x14ac:dyDescent="0.15">
      <c r="A840" s="13"/>
      <c r="C840" s="7"/>
      <c r="D840" s="13"/>
      <c r="E840" s="7"/>
      <c r="F840" s="7"/>
    </row>
    <row r="841" spans="1:6" ht="13" x14ac:dyDescent="0.15">
      <c r="A841" s="13"/>
      <c r="C841" s="7"/>
      <c r="D841" s="13"/>
      <c r="E841" s="7"/>
      <c r="F841" s="7"/>
    </row>
    <row r="842" spans="1:6" ht="13" x14ac:dyDescent="0.15">
      <c r="A842" s="13"/>
      <c r="C842" s="7"/>
      <c r="D842" s="13"/>
      <c r="E842" s="7"/>
      <c r="F842" s="7"/>
    </row>
    <row r="843" spans="1:6" ht="13" x14ac:dyDescent="0.15">
      <c r="A843" s="13"/>
      <c r="C843" s="7"/>
      <c r="D843" s="13"/>
      <c r="E843" s="7"/>
      <c r="F843" s="7"/>
    </row>
    <row r="844" spans="1:6" ht="13" x14ac:dyDescent="0.15">
      <c r="A844" s="13"/>
      <c r="C844" s="7"/>
      <c r="D844" s="13"/>
      <c r="E844" s="7"/>
      <c r="F844" s="7"/>
    </row>
    <row r="845" spans="1:6" ht="13" x14ac:dyDescent="0.15">
      <c r="A845" s="13"/>
      <c r="C845" s="7"/>
      <c r="D845" s="13"/>
      <c r="E845" s="7"/>
      <c r="F845" s="7"/>
    </row>
    <row r="846" spans="1:6" ht="13" x14ac:dyDescent="0.15">
      <c r="A846" s="13"/>
      <c r="C846" s="7"/>
      <c r="D846" s="13"/>
      <c r="E846" s="7"/>
      <c r="F846" s="7"/>
    </row>
    <row r="847" spans="1:6" ht="13" x14ac:dyDescent="0.15">
      <c r="A847" s="13"/>
      <c r="C847" s="7"/>
      <c r="D847" s="13"/>
      <c r="E847" s="7"/>
      <c r="F847" s="7"/>
    </row>
    <row r="848" spans="1:6" ht="13" x14ac:dyDescent="0.15">
      <c r="A848" s="13"/>
      <c r="C848" s="7"/>
      <c r="D848" s="13"/>
      <c r="E848" s="7"/>
      <c r="F848" s="7"/>
    </row>
    <row r="849" spans="1:6" ht="13" x14ac:dyDescent="0.15">
      <c r="A849" s="13"/>
      <c r="C849" s="7"/>
      <c r="D849" s="13"/>
      <c r="E849" s="7"/>
      <c r="F849" s="7"/>
    </row>
    <row r="850" spans="1:6" ht="13" x14ac:dyDescent="0.15">
      <c r="A850" s="13"/>
      <c r="C850" s="7"/>
      <c r="D850" s="13"/>
      <c r="E850" s="7"/>
      <c r="F850" s="7"/>
    </row>
    <row r="851" spans="1:6" ht="13" x14ac:dyDescent="0.15">
      <c r="A851" s="13"/>
      <c r="C851" s="7"/>
      <c r="D851" s="13"/>
      <c r="E851" s="7"/>
      <c r="F851" s="7"/>
    </row>
    <row r="852" spans="1:6" ht="13" x14ac:dyDescent="0.15">
      <c r="A852" s="13"/>
      <c r="C852" s="7"/>
      <c r="D852" s="13"/>
      <c r="E852" s="7"/>
      <c r="F852" s="7"/>
    </row>
    <row r="853" spans="1:6" ht="13" x14ac:dyDescent="0.15">
      <c r="A853" s="13"/>
      <c r="C853" s="7"/>
      <c r="D853" s="13"/>
      <c r="E853" s="7"/>
      <c r="F853" s="7"/>
    </row>
    <row r="854" spans="1:6" ht="13" x14ac:dyDescent="0.15">
      <c r="A854" s="13"/>
      <c r="C854" s="7"/>
      <c r="D854" s="13"/>
      <c r="E854" s="7"/>
      <c r="F854" s="7"/>
    </row>
    <row r="855" spans="1:6" ht="13" x14ac:dyDescent="0.15">
      <c r="A855" s="13"/>
      <c r="C855" s="7"/>
      <c r="D855" s="13"/>
      <c r="E855" s="7"/>
      <c r="F855" s="7"/>
    </row>
    <row r="856" spans="1:6" ht="13" x14ac:dyDescent="0.15">
      <c r="A856" s="13"/>
      <c r="C856" s="7"/>
      <c r="D856" s="13"/>
      <c r="E856" s="7"/>
      <c r="F856" s="7"/>
    </row>
    <row r="857" spans="1:6" ht="13" x14ac:dyDescent="0.15">
      <c r="A857" s="13"/>
      <c r="C857" s="7"/>
      <c r="D857" s="13"/>
      <c r="E857" s="7"/>
      <c r="F857" s="7"/>
    </row>
    <row r="858" spans="1:6" ht="13" x14ac:dyDescent="0.15">
      <c r="A858" s="13"/>
      <c r="C858" s="7"/>
      <c r="D858" s="13"/>
      <c r="E858" s="7"/>
      <c r="F858" s="7"/>
    </row>
    <row r="859" spans="1:6" ht="13" x14ac:dyDescent="0.15">
      <c r="A859" s="13"/>
      <c r="C859" s="7"/>
      <c r="D859" s="13"/>
      <c r="E859" s="7"/>
      <c r="F859" s="7"/>
    </row>
    <row r="860" spans="1:6" ht="13" x14ac:dyDescent="0.15">
      <c r="A860" s="13"/>
      <c r="C860" s="7"/>
      <c r="D860" s="13"/>
      <c r="E860" s="7"/>
      <c r="F860" s="7"/>
    </row>
    <row r="861" spans="1:6" ht="13" x14ac:dyDescent="0.15">
      <c r="A861" s="13"/>
      <c r="C861" s="7"/>
      <c r="D861" s="13"/>
      <c r="E861" s="7"/>
      <c r="F861" s="7"/>
    </row>
    <row r="862" spans="1:6" ht="13" x14ac:dyDescent="0.15">
      <c r="A862" s="13"/>
      <c r="C862" s="7"/>
      <c r="D862" s="13"/>
      <c r="E862" s="7"/>
      <c r="F862" s="7"/>
    </row>
    <row r="863" spans="1:6" ht="13" x14ac:dyDescent="0.15">
      <c r="A863" s="13"/>
      <c r="C863" s="7"/>
      <c r="D863" s="13"/>
      <c r="E863" s="7"/>
      <c r="F863" s="7"/>
    </row>
    <row r="864" spans="1:6" ht="13" x14ac:dyDescent="0.15">
      <c r="A864" s="13"/>
      <c r="C864" s="7"/>
      <c r="D864" s="13"/>
      <c r="E864" s="7"/>
      <c r="F864" s="7"/>
    </row>
    <row r="865" spans="1:6" ht="13" x14ac:dyDescent="0.15">
      <c r="A865" s="13"/>
      <c r="C865" s="7"/>
      <c r="D865" s="13"/>
      <c r="E865" s="7"/>
      <c r="F865" s="7"/>
    </row>
    <row r="866" spans="1:6" ht="13" x14ac:dyDescent="0.15">
      <c r="A866" s="13"/>
      <c r="C866" s="7"/>
      <c r="D866" s="13"/>
      <c r="E866" s="7"/>
      <c r="F866" s="7"/>
    </row>
    <row r="867" spans="1:6" ht="13" x14ac:dyDescent="0.15">
      <c r="A867" s="13"/>
      <c r="C867" s="7"/>
      <c r="D867" s="13"/>
      <c r="E867" s="7"/>
      <c r="F867" s="7"/>
    </row>
    <row r="868" spans="1:6" ht="13" x14ac:dyDescent="0.15">
      <c r="A868" s="13"/>
      <c r="C868" s="7"/>
      <c r="D868" s="13"/>
      <c r="E868" s="7"/>
      <c r="F868" s="7"/>
    </row>
    <row r="869" spans="1:6" ht="13" x14ac:dyDescent="0.15">
      <c r="A869" s="13"/>
      <c r="C869" s="7"/>
      <c r="D869" s="13"/>
      <c r="E869" s="7"/>
      <c r="F869" s="7"/>
    </row>
    <row r="870" spans="1:6" ht="13" x14ac:dyDescent="0.15">
      <c r="A870" s="13"/>
      <c r="C870" s="7"/>
      <c r="D870" s="13"/>
      <c r="E870" s="7"/>
      <c r="F870" s="7"/>
    </row>
    <row r="871" spans="1:6" ht="13" x14ac:dyDescent="0.15">
      <c r="A871" s="13"/>
      <c r="C871" s="7"/>
      <c r="D871" s="13"/>
      <c r="E871" s="7"/>
      <c r="F871" s="7"/>
    </row>
    <row r="872" spans="1:6" ht="13" x14ac:dyDescent="0.15">
      <c r="A872" s="13"/>
      <c r="C872" s="7"/>
      <c r="D872" s="13"/>
      <c r="E872" s="7"/>
      <c r="F872" s="7"/>
    </row>
    <row r="873" spans="1:6" ht="13" x14ac:dyDescent="0.15">
      <c r="A873" s="13"/>
      <c r="C873" s="7"/>
      <c r="D873" s="13"/>
      <c r="E873" s="7"/>
      <c r="F873" s="7"/>
    </row>
    <row r="874" spans="1:6" ht="13" x14ac:dyDescent="0.15">
      <c r="A874" s="13"/>
      <c r="C874" s="7"/>
      <c r="D874" s="13"/>
      <c r="E874" s="7"/>
      <c r="F874" s="7"/>
    </row>
    <row r="875" spans="1:6" ht="13" x14ac:dyDescent="0.15">
      <c r="A875" s="13"/>
      <c r="C875" s="7"/>
      <c r="D875" s="13"/>
      <c r="E875" s="7"/>
      <c r="F875" s="7"/>
    </row>
    <row r="876" spans="1:6" ht="13" x14ac:dyDescent="0.15">
      <c r="A876" s="13"/>
      <c r="C876" s="7"/>
      <c r="D876" s="13"/>
      <c r="E876" s="7"/>
      <c r="F876" s="7"/>
    </row>
    <row r="877" spans="1:6" ht="13" x14ac:dyDescent="0.15">
      <c r="A877" s="13"/>
      <c r="C877" s="7"/>
      <c r="D877" s="13"/>
      <c r="E877" s="7"/>
      <c r="F877" s="7"/>
    </row>
    <row r="878" spans="1:6" ht="13" x14ac:dyDescent="0.15">
      <c r="A878" s="13"/>
      <c r="C878" s="7"/>
      <c r="D878" s="13"/>
      <c r="E878" s="7"/>
      <c r="F878" s="7"/>
    </row>
    <row r="879" spans="1:6" ht="13" x14ac:dyDescent="0.15">
      <c r="A879" s="13"/>
      <c r="C879" s="7"/>
      <c r="D879" s="13"/>
      <c r="E879" s="7"/>
      <c r="F879" s="7"/>
    </row>
    <row r="880" spans="1:6" ht="13" x14ac:dyDescent="0.15">
      <c r="A880" s="13"/>
      <c r="C880" s="7"/>
      <c r="D880" s="13"/>
      <c r="E880" s="7"/>
      <c r="F880" s="7"/>
    </row>
    <row r="881" spans="1:6" ht="13" x14ac:dyDescent="0.15">
      <c r="A881" s="13"/>
      <c r="C881" s="7"/>
      <c r="D881" s="13"/>
      <c r="E881" s="7"/>
      <c r="F881" s="7"/>
    </row>
    <row r="882" spans="1:6" ht="13" x14ac:dyDescent="0.15">
      <c r="A882" s="13"/>
      <c r="C882" s="7"/>
      <c r="D882" s="13"/>
      <c r="E882" s="7"/>
      <c r="F882" s="7"/>
    </row>
    <row r="883" spans="1:6" ht="13" x14ac:dyDescent="0.15">
      <c r="A883" s="13"/>
      <c r="C883" s="7"/>
      <c r="D883" s="13"/>
      <c r="E883" s="7"/>
      <c r="F883" s="7"/>
    </row>
    <row r="884" spans="1:6" ht="13" x14ac:dyDescent="0.15">
      <c r="A884" s="13"/>
      <c r="C884" s="7"/>
      <c r="D884" s="13"/>
      <c r="E884" s="7"/>
      <c r="F884" s="7"/>
    </row>
    <row r="885" spans="1:6" ht="13" x14ac:dyDescent="0.15">
      <c r="A885" s="13"/>
      <c r="C885" s="7"/>
      <c r="D885" s="13"/>
      <c r="E885" s="7"/>
      <c r="F885" s="7"/>
    </row>
    <row r="886" spans="1:6" ht="13" x14ac:dyDescent="0.15">
      <c r="A886" s="13"/>
      <c r="C886" s="7"/>
      <c r="D886" s="13"/>
      <c r="E886" s="7"/>
      <c r="F886" s="7"/>
    </row>
    <row r="887" spans="1:6" ht="13" x14ac:dyDescent="0.15">
      <c r="A887" s="13"/>
      <c r="C887" s="7"/>
      <c r="D887" s="13"/>
      <c r="E887" s="7"/>
      <c r="F887" s="7"/>
    </row>
    <row r="888" spans="1:6" ht="13" x14ac:dyDescent="0.15">
      <c r="A888" s="13"/>
      <c r="C888" s="7"/>
      <c r="D888" s="13"/>
      <c r="E888" s="7"/>
      <c r="F888" s="7"/>
    </row>
    <row r="889" spans="1:6" ht="13" x14ac:dyDescent="0.15">
      <c r="A889" s="13"/>
      <c r="C889" s="7"/>
      <c r="D889" s="13"/>
      <c r="E889" s="7"/>
      <c r="F889" s="7"/>
    </row>
    <row r="890" spans="1:6" ht="13" x14ac:dyDescent="0.15">
      <c r="A890" s="13"/>
      <c r="C890" s="7"/>
      <c r="D890" s="13"/>
      <c r="E890" s="7"/>
      <c r="F890" s="7"/>
    </row>
    <row r="891" spans="1:6" ht="13" x14ac:dyDescent="0.15">
      <c r="A891" s="13"/>
      <c r="C891" s="7"/>
      <c r="D891" s="13"/>
      <c r="E891" s="7"/>
      <c r="F891" s="7"/>
    </row>
    <row r="892" spans="1:6" ht="13" x14ac:dyDescent="0.15">
      <c r="A892" s="13"/>
      <c r="C892" s="7"/>
      <c r="D892" s="13"/>
      <c r="E892" s="7"/>
      <c r="F892" s="7"/>
    </row>
    <row r="893" spans="1:6" ht="13" x14ac:dyDescent="0.15">
      <c r="A893" s="13"/>
      <c r="C893" s="7"/>
      <c r="D893" s="13"/>
      <c r="E893" s="7"/>
      <c r="F893" s="7"/>
    </row>
    <row r="894" spans="1:6" ht="13" x14ac:dyDescent="0.15">
      <c r="A894" s="13"/>
      <c r="C894" s="7"/>
      <c r="D894" s="13"/>
      <c r="E894" s="7"/>
      <c r="F894" s="7"/>
    </row>
    <row r="895" spans="1:6" ht="13" x14ac:dyDescent="0.15">
      <c r="A895" s="13"/>
      <c r="C895" s="7"/>
      <c r="D895" s="13"/>
      <c r="E895" s="7"/>
      <c r="F895" s="7"/>
    </row>
    <row r="896" spans="1:6" ht="13" x14ac:dyDescent="0.15">
      <c r="A896" s="13"/>
      <c r="C896" s="7"/>
      <c r="D896" s="13"/>
      <c r="E896" s="7"/>
      <c r="F896" s="7"/>
    </row>
    <row r="897" spans="1:6" ht="13" x14ac:dyDescent="0.15">
      <c r="A897" s="13"/>
      <c r="C897" s="7"/>
      <c r="D897" s="13"/>
      <c r="E897" s="7"/>
      <c r="F897" s="7"/>
    </row>
    <row r="898" spans="1:6" ht="13" x14ac:dyDescent="0.15">
      <c r="A898" s="13"/>
      <c r="C898" s="7"/>
      <c r="D898" s="13"/>
      <c r="E898" s="7"/>
      <c r="F898" s="7"/>
    </row>
    <row r="899" spans="1:6" ht="13" x14ac:dyDescent="0.15">
      <c r="A899" s="13"/>
      <c r="C899" s="7"/>
      <c r="D899" s="13"/>
      <c r="E899" s="7"/>
      <c r="F899" s="7"/>
    </row>
    <row r="900" spans="1:6" ht="13" x14ac:dyDescent="0.15">
      <c r="A900" s="13"/>
      <c r="C900" s="7"/>
      <c r="D900" s="13"/>
      <c r="E900" s="7"/>
      <c r="F900" s="7"/>
    </row>
    <row r="901" spans="1:6" ht="13" x14ac:dyDescent="0.15">
      <c r="A901" s="13"/>
      <c r="C901" s="7"/>
      <c r="D901" s="13"/>
      <c r="E901" s="7"/>
      <c r="F901" s="7"/>
    </row>
    <row r="902" spans="1:6" ht="13" x14ac:dyDescent="0.15">
      <c r="A902" s="13"/>
      <c r="C902" s="7"/>
      <c r="D902" s="13"/>
      <c r="E902" s="7"/>
      <c r="F902" s="7"/>
    </row>
    <row r="903" spans="1:6" ht="13" x14ac:dyDescent="0.15">
      <c r="A903" s="13"/>
      <c r="C903" s="7"/>
      <c r="D903" s="13"/>
      <c r="E903" s="7"/>
      <c r="F903" s="7"/>
    </row>
    <row r="904" spans="1:6" ht="13" x14ac:dyDescent="0.15">
      <c r="A904" s="13"/>
      <c r="C904" s="7"/>
      <c r="D904" s="13"/>
      <c r="E904" s="7"/>
      <c r="F904" s="7"/>
    </row>
    <row r="905" spans="1:6" ht="13" x14ac:dyDescent="0.15">
      <c r="A905" s="13"/>
      <c r="C905" s="7"/>
      <c r="D905" s="13"/>
      <c r="E905" s="7"/>
      <c r="F905" s="7"/>
    </row>
    <row r="906" spans="1:6" ht="13" x14ac:dyDescent="0.15">
      <c r="A906" s="13"/>
      <c r="C906" s="7"/>
      <c r="D906" s="13"/>
      <c r="E906" s="7"/>
      <c r="F906" s="7"/>
    </row>
    <row r="907" spans="1:6" ht="13" x14ac:dyDescent="0.15">
      <c r="A907" s="13"/>
      <c r="C907" s="7"/>
      <c r="D907" s="13"/>
      <c r="E907" s="7"/>
      <c r="F907" s="7"/>
    </row>
    <row r="908" spans="1:6" ht="13" x14ac:dyDescent="0.15">
      <c r="A908" s="13"/>
      <c r="C908" s="7"/>
      <c r="D908" s="13"/>
      <c r="E908" s="7"/>
      <c r="F908" s="7"/>
    </row>
    <row r="909" spans="1:6" ht="13" x14ac:dyDescent="0.15">
      <c r="A909" s="13"/>
      <c r="C909" s="7"/>
      <c r="D909" s="13"/>
      <c r="E909" s="7"/>
      <c r="F909" s="7"/>
    </row>
    <row r="910" spans="1:6" ht="13" x14ac:dyDescent="0.15">
      <c r="A910" s="13"/>
      <c r="C910" s="7"/>
      <c r="D910" s="13"/>
      <c r="E910" s="7"/>
      <c r="F910" s="7"/>
    </row>
    <row r="911" spans="1:6" ht="13" x14ac:dyDescent="0.15">
      <c r="A911" s="13"/>
      <c r="C911" s="7"/>
      <c r="D911" s="13"/>
      <c r="E911" s="7"/>
      <c r="F911" s="7"/>
    </row>
    <row r="912" spans="1:6" ht="13" x14ac:dyDescent="0.15">
      <c r="A912" s="13"/>
      <c r="C912" s="7"/>
      <c r="D912" s="13"/>
      <c r="E912" s="7"/>
      <c r="F912" s="7"/>
    </row>
    <row r="913" spans="1:6" ht="13" x14ac:dyDescent="0.15">
      <c r="A913" s="13"/>
      <c r="C913" s="7"/>
      <c r="D913" s="13"/>
      <c r="E913" s="7"/>
      <c r="F913" s="7"/>
    </row>
    <row r="914" spans="1:6" ht="13" x14ac:dyDescent="0.15">
      <c r="A914" s="13"/>
      <c r="C914" s="7"/>
      <c r="D914" s="13"/>
      <c r="E914" s="7"/>
      <c r="F914" s="7"/>
    </row>
    <row r="915" spans="1:6" ht="13" x14ac:dyDescent="0.15">
      <c r="A915" s="13"/>
      <c r="C915" s="7"/>
      <c r="D915" s="13"/>
      <c r="E915" s="7"/>
      <c r="F915" s="7"/>
    </row>
    <row r="916" spans="1:6" ht="13" x14ac:dyDescent="0.15">
      <c r="A916" s="13"/>
      <c r="C916" s="7"/>
      <c r="D916" s="13"/>
      <c r="E916" s="7"/>
      <c r="F916" s="7"/>
    </row>
    <row r="917" spans="1:6" ht="13" x14ac:dyDescent="0.15">
      <c r="A917" s="13"/>
      <c r="C917" s="7"/>
      <c r="D917" s="13"/>
      <c r="E917" s="7"/>
      <c r="F917" s="7"/>
    </row>
    <row r="918" spans="1:6" ht="13" x14ac:dyDescent="0.15">
      <c r="A918" s="13"/>
      <c r="C918" s="7"/>
      <c r="D918" s="13"/>
      <c r="E918" s="7"/>
      <c r="F918" s="7"/>
    </row>
    <row r="919" spans="1:6" ht="13" x14ac:dyDescent="0.15">
      <c r="A919" s="13"/>
      <c r="C919" s="7"/>
      <c r="D919" s="13"/>
      <c r="E919" s="7"/>
      <c r="F919" s="7"/>
    </row>
    <row r="920" spans="1:6" ht="13" x14ac:dyDescent="0.15">
      <c r="A920" s="13"/>
      <c r="C920" s="7"/>
      <c r="D920" s="13"/>
      <c r="E920" s="7"/>
      <c r="F920" s="7"/>
    </row>
    <row r="921" spans="1:6" ht="13" x14ac:dyDescent="0.15">
      <c r="A921" s="13"/>
      <c r="C921" s="7"/>
      <c r="D921" s="13"/>
      <c r="E921" s="7"/>
      <c r="F921" s="7"/>
    </row>
    <row r="922" spans="1:6" ht="13" x14ac:dyDescent="0.15">
      <c r="A922" s="13"/>
      <c r="C922" s="7"/>
      <c r="D922" s="13"/>
      <c r="E922" s="7"/>
      <c r="F922" s="7"/>
    </row>
    <row r="923" spans="1:6" ht="13" x14ac:dyDescent="0.15">
      <c r="A923" s="13"/>
      <c r="C923" s="7"/>
      <c r="D923" s="13"/>
      <c r="E923" s="7"/>
      <c r="F923" s="7"/>
    </row>
    <row r="924" spans="1:6" ht="13" x14ac:dyDescent="0.15">
      <c r="A924" s="13"/>
      <c r="C924" s="7"/>
      <c r="D924" s="13"/>
      <c r="E924" s="7"/>
      <c r="F924" s="7"/>
    </row>
    <row r="925" spans="1:6" ht="13" x14ac:dyDescent="0.15">
      <c r="A925" s="13"/>
      <c r="C925" s="7"/>
      <c r="D925" s="13"/>
      <c r="E925" s="7"/>
      <c r="F925" s="7"/>
    </row>
    <row r="926" spans="1:6" ht="13" x14ac:dyDescent="0.15">
      <c r="A926" s="13"/>
      <c r="C926" s="7"/>
      <c r="D926" s="13"/>
      <c r="E926" s="7"/>
      <c r="F926" s="7"/>
    </row>
    <row r="927" spans="1:6" ht="13" x14ac:dyDescent="0.15">
      <c r="A927" s="13"/>
      <c r="C927" s="7"/>
      <c r="D927" s="13"/>
      <c r="E927" s="7"/>
      <c r="F927" s="7"/>
    </row>
    <row r="928" spans="1:6" ht="13" x14ac:dyDescent="0.15">
      <c r="A928" s="13"/>
      <c r="C928" s="7"/>
      <c r="D928" s="13"/>
      <c r="E928" s="7"/>
      <c r="F928" s="7"/>
    </row>
    <row r="929" spans="1:6" ht="13" x14ac:dyDescent="0.15">
      <c r="A929" s="13"/>
      <c r="C929" s="7"/>
      <c r="D929" s="13"/>
      <c r="E929" s="7"/>
      <c r="F929" s="7"/>
    </row>
    <row r="930" spans="1:6" ht="13" x14ac:dyDescent="0.15">
      <c r="A930" s="13"/>
      <c r="C930" s="7"/>
      <c r="D930" s="13"/>
      <c r="E930" s="7"/>
      <c r="F930" s="7"/>
    </row>
    <row r="931" spans="1:6" ht="13" x14ac:dyDescent="0.15">
      <c r="A931" s="13"/>
      <c r="C931" s="7"/>
      <c r="D931" s="13"/>
      <c r="E931" s="7"/>
      <c r="F931" s="7"/>
    </row>
    <row r="932" spans="1:6" ht="13" x14ac:dyDescent="0.15">
      <c r="A932" s="13"/>
      <c r="C932" s="7"/>
      <c r="D932" s="13"/>
      <c r="E932" s="7"/>
      <c r="F932" s="7"/>
    </row>
    <row r="933" spans="1:6" ht="13" x14ac:dyDescent="0.15">
      <c r="A933" s="13"/>
      <c r="C933" s="7"/>
      <c r="D933" s="13"/>
      <c r="E933" s="7"/>
      <c r="F933" s="7"/>
    </row>
    <row r="934" spans="1:6" ht="13" x14ac:dyDescent="0.15">
      <c r="A934" s="13"/>
      <c r="C934" s="7"/>
      <c r="D934" s="13"/>
      <c r="E934" s="7"/>
      <c r="F934" s="7"/>
    </row>
    <row r="935" spans="1:6" ht="13" x14ac:dyDescent="0.15">
      <c r="A935" s="13"/>
      <c r="C935" s="7"/>
      <c r="D935" s="13"/>
      <c r="E935" s="7"/>
      <c r="F935" s="7"/>
    </row>
    <row r="936" spans="1:6" ht="13" x14ac:dyDescent="0.15">
      <c r="A936" s="13"/>
      <c r="C936" s="7"/>
      <c r="D936" s="13"/>
      <c r="E936" s="7"/>
      <c r="F936" s="7"/>
    </row>
    <row r="937" spans="1:6" ht="13" x14ac:dyDescent="0.15">
      <c r="A937" s="13"/>
      <c r="C937" s="7"/>
      <c r="D937" s="13"/>
      <c r="E937" s="7"/>
      <c r="F937" s="7"/>
    </row>
    <row r="938" spans="1:6" ht="13" x14ac:dyDescent="0.15">
      <c r="A938" s="13"/>
      <c r="C938" s="7"/>
      <c r="D938" s="13"/>
      <c r="E938" s="7"/>
      <c r="F938" s="7"/>
    </row>
    <row r="939" spans="1:6" ht="13" x14ac:dyDescent="0.15">
      <c r="A939" s="13"/>
      <c r="C939" s="7"/>
      <c r="D939" s="13"/>
      <c r="E939" s="7"/>
      <c r="F939" s="7"/>
    </row>
    <row r="940" spans="1:6" ht="13" x14ac:dyDescent="0.15">
      <c r="A940" s="13"/>
      <c r="C940" s="7"/>
      <c r="D940" s="13"/>
      <c r="E940" s="7"/>
      <c r="F940" s="7"/>
    </row>
    <row r="941" spans="1:6" ht="13" x14ac:dyDescent="0.15">
      <c r="A941" s="13"/>
      <c r="C941" s="7"/>
      <c r="D941" s="13"/>
      <c r="E941" s="7"/>
      <c r="F941" s="7"/>
    </row>
    <row r="942" spans="1:6" ht="13" x14ac:dyDescent="0.15">
      <c r="A942" s="13"/>
      <c r="C942" s="7"/>
      <c r="D942" s="13"/>
      <c r="E942" s="7"/>
      <c r="F942" s="7"/>
    </row>
    <row r="943" spans="1:6" ht="13" x14ac:dyDescent="0.15">
      <c r="A943" s="13"/>
      <c r="C943" s="7"/>
      <c r="D943" s="13"/>
      <c r="E943" s="7"/>
      <c r="F943" s="7"/>
    </row>
    <row r="944" spans="1:6" ht="13" x14ac:dyDescent="0.15">
      <c r="A944" s="13"/>
      <c r="C944" s="7"/>
      <c r="D944" s="13"/>
      <c r="E944" s="7"/>
      <c r="F944" s="7"/>
    </row>
    <row r="945" spans="1:6" ht="13" x14ac:dyDescent="0.15">
      <c r="A945" s="13"/>
      <c r="C945" s="7"/>
      <c r="D945" s="13"/>
      <c r="E945" s="7"/>
      <c r="F945" s="7"/>
    </row>
    <row r="946" spans="1:6" ht="13" x14ac:dyDescent="0.15">
      <c r="A946" s="13"/>
      <c r="C946" s="7"/>
      <c r="D946" s="13"/>
      <c r="E946" s="7"/>
      <c r="F946" s="7"/>
    </row>
    <row r="947" spans="1:6" ht="13" x14ac:dyDescent="0.15">
      <c r="A947" s="13"/>
      <c r="C947" s="7"/>
      <c r="D947" s="13"/>
      <c r="E947" s="7"/>
      <c r="F947" s="7"/>
    </row>
    <row r="948" spans="1:6" ht="13" x14ac:dyDescent="0.15">
      <c r="A948" s="13"/>
      <c r="C948" s="7"/>
      <c r="D948" s="13"/>
      <c r="E948" s="7"/>
      <c r="F948" s="7"/>
    </row>
    <row r="949" spans="1:6" ht="13" x14ac:dyDescent="0.15">
      <c r="A949" s="13"/>
      <c r="C949" s="7"/>
      <c r="D949" s="13"/>
      <c r="E949" s="7"/>
      <c r="F949" s="7"/>
    </row>
    <row r="950" spans="1:6" ht="13" x14ac:dyDescent="0.15">
      <c r="A950" s="13"/>
      <c r="C950" s="7"/>
      <c r="D950" s="13"/>
      <c r="E950" s="7"/>
      <c r="F950" s="7"/>
    </row>
    <row r="951" spans="1:6" ht="13" x14ac:dyDescent="0.15">
      <c r="A951" s="13"/>
      <c r="C951" s="7"/>
      <c r="D951" s="13"/>
      <c r="E951" s="7"/>
      <c r="F951" s="7"/>
    </row>
    <row r="952" spans="1:6" ht="13" x14ac:dyDescent="0.15">
      <c r="A952" s="13"/>
      <c r="C952" s="7"/>
      <c r="D952" s="13"/>
      <c r="E952" s="7"/>
      <c r="F952" s="7"/>
    </row>
    <row r="953" spans="1:6" ht="13" x14ac:dyDescent="0.15">
      <c r="A953" s="13"/>
      <c r="C953" s="7"/>
      <c r="D953" s="13"/>
      <c r="E953" s="7"/>
      <c r="F953" s="7"/>
    </row>
    <row r="954" spans="1:6" ht="13" x14ac:dyDescent="0.15">
      <c r="A954" s="13"/>
      <c r="C954" s="7"/>
      <c r="D954" s="13"/>
      <c r="E954" s="7"/>
      <c r="F954" s="7"/>
    </row>
    <row r="955" spans="1:6" ht="13" x14ac:dyDescent="0.15">
      <c r="A955" s="13"/>
      <c r="C955" s="7"/>
      <c r="D955" s="13"/>
      <c r="E955" s="7"/>
      <c r="F955" s="7"/>
    </row>
    <row r="956" spans="1:6" ht="13" x14ac:dyDescent="0.15">
      <c r="A956" s="13"/>
      <c r="C956" s="7"/>
      <c r="D956" s="13"/>
      <c r="E956" s="7"/>
      <c r="F956" s="7"/>
    </row>
    <row r="957" spans="1:6" ht="13" x14ac:dyDescent="0.15">
      <c r="A957" s="13"/>
      <c r="C957" s="7"/>
      <c r="D957" s="13"/>
      <c r="E957" s="7"/>
      <c r="F957" s="7"/>
    </row>
    <row r="958" spans="1:6" ht="13" x14ac:dyDescent="0.15">
      <c r="A958" s="13"/>
      <c r="C958" s="7"/>
      <c r="D958" s="13"/>
      <c r="E958" s="7"/>
      <c r="F958" s="7"/>
    </row>
    <row r="959" spans="1:6" ht="13" x14ac:dyDescent="0.15">
      <c r="A959" s="13"/>
      <c r="C959" s="7"/>
      <c r="D959" s="13"/>
      <c r="E959" s="7"/>
      <c r="F959" s="7"/>
    </row>
    <row r="960" spans="1:6" ht="13" x14ac:dyDescent="0.15">
      <c r="A960" s="13"/>
      <c r="C960" s="7"/>
      <c r="D960" s="13"/>
      <c r="E960" s="7"/>
      <c r="F960" s="7"/>
    </row>
    <row r="961" spans="1:6" ht="13" x14ac:dyDescent="0.15">
      <c r="A961" s="13"/>
      <c r="C961" s="7"/>
      <c r="D961" s="13"/>
      <c r="E961" s="7"/>
      <c r="F961" s="7"/>
    </row>
    <row r="962" spans="1:6" ht="13" x14ac:dyDescent="0.15">
      <c r="A962" s="13"/>
      <c r="C962" s="7"/>
      <c r="D962" s="13"/>
      <c r="E962" s="7"/>
      <c r="F962" s="7"/>
    </row>
    <row r="963" spans="1:6" ht="13" x14ac:dyDescent="0.15">
      <c r="A963" s="13"/>
      <c r="C963" s="7"/>
      <c r="D963" s="13"/>
      <c r="E963" s="7"/>
      <c r="F963" s="7"/>
    </row>
    <row r="964" spans="1:6" ht="13" x14ac:dyDescent="0.15">
      <c r="A964" s="13"/>
      <c r="C964" s="7"/>
      <c r="D964" s="13"/>
      <c r="E964" s="7"/>
      <c r="F964" s="7"/>
    </row>
    <row r="965" spans="1:6" ht="13" x14ac:dyDescent="0.15">
      <c r="A965" s="13"/>
      <c r="C965" s="7"/>
      <c r="D965" s="13"/>
      <c r="E965" s="7"/>
      <c r="F965" s="7"/>
    </row>
    <row r="966" spans="1:6" ht="13" x14ac:dyDescent="0.15">
      <c r="A966" s="13"/>
      <c r="C966" s="7"/>
      <c r="D966" s="13"/>
      <c r="E966" s="7"/>
      <c r="F966" s="7"/>
    </row>
    <row r="967" spans="1:6" ht="13" x14ac:dyDescent="0.15">
      <c r="A967" s="13"/>
      <c r="C967" s="7"/>
      <c r="D967" s="13"/>
      <c r="E967" s="7"/>
      <c r="F967" s="7"/>
    </row>
    <row r="968" spans="1:6" ht="13" x14ac:dyDescent="0.15">
      <c r="A968" s="13"/>
      <c r="C968" s="7"/>
      <c r="D968" s="13"/>
      <c r="E968" s="7"/>
      <c r="F968" s="7"/>
    </row>
    <row r="969" spans="1:6" ht="13" x14ac:dyDescent="0.15">
      <c r="A969" s="13"/>
      <c r="C969" s="7"/>
      <c r="D969" s="13"/>
      <c r="E969" s="7"/>
      <c r="F969" s="7"/>
    </row>
    <row r="970" spans="1:6" ht="13" x14ac:dyDescent="0.15">
      <c r="A970" s="13"/>
      <c r="C970" s="7"/>
      <c r="D970" s="13"/>
      <c r="E970" s="7"/>
      <c r="F970" s="7"/>
    </row>
    <row r="971" spans="1:6" ht="13" x14ac:dyDescent="0.15">
      <c r="A971" s="13"/>
      <c r="C971" s="7"/>
      <c r="D971" s="13"/>
      <c r="E971" s="7"/>
      <c r="F971" s="7"/>
    </row>
    <row r="972" spans="1:6" ht="13" x14ac:dyDescent="0.15">
      <c r="A972" s="13"/>
      <c r="C972" s="7"/>
      <c r="D972" s="13"/>
      <c r="E972" s="7"/>
      <c r="F972" s="7"/>
    </row>
    <row r="973" spans="1:6" ht="13" x14ac:dyDescent="0.15">
      <c r="A973" s="13"/>
      <c r="C973" s="7"/>
      <c r="D973" s="13"/>
      <c r="E973" s="7"/>
      <c r="F973" s="7"/>
    </row>
    <row r="974" spans="1:6" ht="13" x14ac:dyDescent="0.15">
      <c r="A974" s="13"/>
      <c r="C974" s="7"/>
      <c r="D974" s="13"/>
      <c r="E974" s="7"/>
      <c r="F974" s="7"/>
    </row>
  </sheetData>
  <dataValidations count="4">
    <dataValidation type="list" allowBlank="1" sqref="F2:F58" xr:uid="{00000000-0002-0000-0100-000000000000}">
      <formula1>"Anglais,Arts Plastiques,Éducation musicale,EPS,Espagnol,Français,HGEMC,Mathématiques,Physique-chimie,SVT,Aucune,Technologie,Orientation"</formula1>
    </dataValidation>
    <dataValidation type="list" allowBlank="1" sqref="C2:C58" xr:uid="{00000000-0002-0000-0100-000001000000}">
      <formula1>"Parcours santé,Histoire des arts,PEAC,Parcours citoyen,Parcours avenir,?,Histoire des arts / Citoyen,Parcours Avenir"</formula1>
    </dataValidation>
    <dataValidation type="list" allowBlank="1" sqref="B2:B58" xr:uid="{00000000-0002-0000-0100-000002000000}">
      <formula1>"3EME1,3EME2"</formula1>
    </dataValidation>
    <dataValidation type="list" allowBlank="1" sqref="E2:E58" xr:uid="{00000000-0002-0000-0100-000003000000}">
      <formula1>"Anglais,Arts Plastiques,Éducation musicale,EPS,Espagnol,Français,HGEMC,Mathématiques,Physique-chimie,SVT,Technologie,Orientation"</formula1>
    </dataValidation>
  </dataValidations>
  <printOptions horizontalCentered="1" gridLines="1"/>
  <pageMargins left="0.7" right="0.7" top="0.75" bottom="0.75" header="0" footer="0"/>
  <pageSetup paperSize="9" pageOrder="overThenDown" orientation="landscape" cellComments="atEnd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0.5" customWidth="1"/>
    <col min="2" max="2" width="19.6640625" customWidth="1"/>
    <col min="3" max="3" width="11.33203125" customWidth="1"/>
    <col min="4" max="4" width="50.6640625" customWidth="1"/>
    <col min="5" max="5" width="31.5" customWidth="1"/>
  </cols>
  <sheetData>
    <row r="1" spans="1:5" ht="22.5" customHeight="1" x14ac:dyDescent="0.15">
      <c r="A1" s="14" t="s">
        <v>175</v>
      </c>
      <c r="B1" s="14" t="s">
        <v>176</v>
      </c>
      <c r="C1" s="14" t="s">
        <v>177</v>
      </c>
      <c r="D1" s="14" t="s">
        <v>178</v>
      </c>
      <c r="E1" s="14" t="s">
        <v>179</v>
      </c>
    </row>
    <row r="2" spans="1:5" ht="22.5" customHeight="1" x14ac:dyDescent="0.15">
      <c r="A2" s="9" t="s">
        <v>180</v>
      </c>
      <c r="B2" s="9" t="s">
        <v>181</v>
      </c>
      <c r="C2" s="9" t="s">
        <v>182</v>
      </c>
      <c r="D2" s="9" t="s">
        <v>183</v>
      </c>
      <c r="E2" s="9" t="s">
        <v>184</v>
      </c>
    </row>
    <row r="3" spans="1:5" ht="22.5" customHeight="1" x14ac:dyDescent="0.15">
      <c r="A3" s="9" t="s">
        <v>180</v>
      </c>
      <c r="B3" s="9" t="s">
        <v>185</v>
      </c>
      <c r="C3" s="9" t="s">
        <v>186</v>
      </c>
      <c r="D3" s="9" t="s">
        <v>187</v>
      </c>
      <c r="E3" s="9" t="s">
        <v>188</v>
      </c>
    </row>
    <row r="4" spans="1:5" ht="22.5" customHeight="1" x14ac:dyDescent="0.15">
      <c r="A4" s="9" t="s">
        <v>189</v>
      </c>
      <c r="B4" s="9" t="s">
        <v>190</v>
      </c>
      <c r="C4" s="9" t="s">
        <v>191</v>
      </c>
      <c r="D4" s="9" t="s">
        <v>192</v>
      </c>
      <c r="E4" s="9" t="s">
        <v>193</v>
      </c>
    </row>
    <row r="5" spans="1:5" ht="22.5" customHeight="1" x14ac:dyDescent="0.15">
      <c r="A5" s="9" t="s">
        <v>189</v>
      </c>
      <c r="B5" s="9" t="s">
        <v>194</v>
      </c>
      <c r="C5" s="9" t="s">
        <v>195</v>
      </c>
      <c r="D5" s="9" t="s">
        <v>196</v>
      </c>
      <c r="E5" s="9" t="s">
        <v>197</v>
      </c>
    </row>
    <row r="6" spans="1:5" ht="22.5" customHeight="1" x14ac:dyDescent="0.15">
      <c r="A6" s="9" t="s">
        <v>189</v>
      </c>
      <c r="B6" s="9" t="s">
        <v>198</v>
      </c>
      <c r="C6" s="9" t="s">
        <v>199</v>
      </c>
      <c r="D6" s="9" t="s">
        <v>200</v>
      </c>
      <c r="E6" s="9" t="s">
        <v>201</v>
      </c>
    </row>
    <row r="7" spans="1:5" ht="22.5" customHeight="1" x14ac:dyDescent="0.15">
      <c r="A7" s="9" t="s">
        <v>189</v>
      </c>
      <c r="B7" s="9" t="s">
        <v>202</v>
      </c>
      <c r="C7" s="9" t="s">
        <v>203</v>
      </c>
      <c r="D7" s="9" t="s">
        <v>204</v>
      </c>
      <c r="E7" s="9" t="s">
        <v>205</v>
      </c>
    </row>
    <row r="8" spans="1:5" ht="22.5" customHeight="1" x14ac:dyDescent="0.15">
      <c r="A8" s="9" t="s">
        <v>180</v>
      </c>
      <c r="B8" s="9" t="s">
        <v>206</v>
      </c>
      <c r="C8" s="9" t="s">
        <v>207</v>
      </c>
      <c r="D8" s="9" t="s">
        <v>208</v>
      </c>
      <c r="E8" s="9" t="s">
        <v>209</v>
      </c>
    </row>
    <row r="9" spans="1:5" ht="22.5" customHeight="1" x14ac:dyDescent="0.15">
      <c r="A9" s="9" t="s">
        <v>180</v>
      </c>
      <c r="B9" s="9" t="s">
        <v>210</v>
      </c>
      <c r="C9" s="9" t="s">
        <v>211</v>
      </c>
      <c r="D9" s="9" t="s">
        <v>212</v>
      </c>
      <c r="E9" s="9" t="s">
        <v>213</v>
      </c>
    </row>
    <row r="10" spans="1:5" ht="22.5" customHeight="1" x14ac:dyDescent="0.15">
      <c r="A10" s="9" t="s">
        <v>189</v>
      </c>
      <c r="B10" s="9" t="s">
        <v>214</v>
      </c>
      <c r="C10" s="9" t="s">
        <v>191</v>
      </c>
      <c r="D10" s="9" t="s">
        <v>215</v>
      </c>
      <c r="E10" s="9" t="s">
        <v>216</v>
      </c>
    </row>
    <row r="11" spans="1:5" ht="22.5" customHeight="1" x14ac:dyDescent="0.15">
      <c r="A11" s="9" t="s">
        <v>189</v>
      </c>
      <c r="B11" s="9" t="s">
        <v>217</v>
      </c>
      <c r="C11" s="9" t="s">
        <v>218</v>
      </c>
      <c r="D11" s="9" t="s">
        <v>200</v>
      </c>
      <c r="E11" s="9" t="s">
        <v>219</v>
      </c>
    </row>
    <row r="12" spans="1:5" ht="22.5" customHeight="1" x14ac:dyDescent="0.15">
      <c r="A12" s="9" t="s">
        <v>180</v>
      </c>
      <c r="B12" s="9" t="s">
        <v>220</v>
      </c>
      <c r="C12" s="9" t="s">
        <v>221</v>
      </c>
      <c r="D12" s="9" t="s">
        <v>222</v>
      </c>
      <c r="E12" s="9" t="s">
        <v>223</v>
      </c>
    </row>
    <row r="13" spans="1:5" ht="22.5" customHeight="1" x14ac:dyDescent="0.15">
      <c r="A13" s="9" t="s">
        <v>189</v>
      </c>
      <c r="B13" s="9" t="s">
        <v>220</v>
      </c>
      <c r="C13" s="9" t="s">
        <v>224</v>
      </c>
      <c r="D13" s="9" t="s">
        <v>187</v>
      </c>
      <c r="E13" s="9" t="s">
        <v>225</v>
      </c>
    </row>
    <row r="14" spans="1:5" ht="22.5" customHeight="1" x14ac:dyDescent="0.15">
      <c r="A14" s="9" t="s">
        <v>180</v>
      </c>
      <c r="B14" s="9" t="s">
        <v>226</v>
      </c>
      <c r="C14" s="9" t="s">
        <v>227</v>
      </c>
      <c r="D14" s="9" t="s">
        <v>228</v>
      </c>
      <c r="E14" s="9" t="s">
        <v>229</v>
      </c>
    </row>
    <row r="15" spans="1:5" ht="22.5" customHeight="1" x14ac:dyDescent="0.15">
      <c r="A15" s="9" t="s">
        <v>180</v>
      </c>
      <c r="B15" s="9" t="s">
        <v>230</v>
      </c>
      <c r="C15" s="9" t="s">
        <v>211</v>
      </c>
      <c r="D15" s="9" t="s">
        <v>231</v>
      </c>
      <c r="E15" s="9" t="s">
        <v>232</v>
      </c>
    </row>
    <row r="16" spans="1:5" ht="22.5" customHeight="1" x14ac:dyDescent="0.15">
      <c r="A16" s="9" t="s">
        <v>189</v>
      </c>
      <c r="B16" s="9" t="s">
        <v>233</v>
      </c>
      <c r="C16" s="9" t="s">
        <v>234</v>
      </c>
      <c r="D16" s="9" t="s">
        <v>235</v>
      </c>
      <c r="E16" s="9" t="s">
        <v>236</v>
      </c>
    </row>
    <row r="17" spans="1:5" ht="22.5" customHeight="1" x14ac:dyDescent="0.15">
      <c r="A17" s="9" t="s">
        <v>180</v>
      </c>
      <c r="B17" s="9" t="s">
        <v>237</v>
      </c>
      <c r="C17" s="9" t="s">
        <v>238</v>
      </c>
      <c r="D17" s="9" t="s">
        <v>239</v>
      </c>
      <c r="E17" s="9" t="s">
        <v>240</v>
      </c>
    </row>
    <row r="18" spans="1:5" ht="22.5" customHeight="1" x14ac:dyDescent="0.15">
      <c r="A18" s="9" t="s">
        <v>189</v>
      </c>
      <c r="B18" s="9" t="s">
        <v>241</v>
      </c>
      <c r="C18" s="9" t="s">
        <v>242</v>
      </c>
      <c r="D18" s="9" t="s">
        <v>228</v>
      </c>
      <c r="E18" s="9" t="s">
        <v>243</v>
      </c>
    </row>
    <row r="19" spans="1:5" ht="22.5" customHeight="1" x14ac:dyDescent="0.15">
      <c r="A19" s="9" t="s">
        <v>189</v>
      </c>
      <c r="B19" s="9" t="s">
        <v>244</v>
      </c>
      <c r="C19" s="9" t="s">
        <v>245</v>
      </c>
      <c r="D19" s="9" t="s">
        <v>208</v>
      </c>
      <c r="E19" s="9" t="s">
        <v>246</v>
      </c>
    </row>
    <row r="20" spans="1:5" ht="22.5" customHeight="1" x14ac:dyDescent="0.15">
      <c r="A20" s="9" t="s">
        <v>189</v>
      </c>
      <c r="B20" s="9" t="s">
        <v>247</v>
      </c>
      <c r="C20" s="9" t="s">
        <v>248</v>
      </c>
      <c r="D20" s="9" t="s">
        <v>249</v>
      </c>
      <c r="E20" s="9" t="s">
        <v>250</v>
      </c>
    </row>
    <row r="21" spans="1:5" ht="22.5" customHeight="1" x14ac:dyDescent="0.15">
      <c r="A21" s="9" t="s">
        <v>189</v>
      </c>
      <c r="B21" s="9" t="s">
        <v>251</v>
      </c>
      <c r="C21" s="9" t="s">
        <v>252</v>
      </c>
      <c r="D21" s="9" t="s">
        <v>187</v>
      </c>
      <c r="E21" s="9" t="s">
        <v>253</v>
      </c>
    </row>
    <row r="22" spans="1:5" ht="22.5" customHeight="1" x14ac:dyDescent="0.15">
      <c r="A22" s="9" t="s">
        <v>180</v>
      </c>
      <c r="B22" s="9" t="s">
        <v>254</v>
      </c>
      <c r="C22" s="9" t="s">
        <v>255</v>
      </c>
      <c r="D22" s="9" t="s">
        <v>222</v>
      </c>
      <c r="E22" s="9" t="s">
        <v>256</v>
      </c>
    </row>
    <row r="23" spans="1:5" ht="22.5" customHeight="1" x14ac:dyDescent="0.15">
      <c r="A23" s="9" t="s">
        <v>180</v>
      </c>
      <c r="B23" s="9" t="s">
        <v>257</v>
      </c>
      <c r="C23" s="9" t="s">
        <v>182</v>
      </c>
      <c r="D23" s="9" t="s">
        <v>215</v>
      </c>
      <c r="E23" s="9" t="s">
        <v>258</v>
      </c>
    </row>
    <row r="24" spans="1:5" ht="22.5" customHeight="1" x14ac:dyDescent="0.15">
      <c r="A24" s="9" t="s">
        <v>180</v>
      </c>
      <c r="B24" s="9" t="s">
        <v>259</v>
      </c>
      <c r="C24" s="9" t="s">
        <v>260</v>
      </c>
      <c r="D24" s="9" t="s">
        <v>200</v>
      </c>
      <c r="E24" s="9" t="s">
        <v>261</v>
      </c>
    </row>
    <row r="25" spans="1:5" ht="22.5" customHeight="1" x14ac:dyDescent="0.15">
      <c r="A25" s="9" t="s">
        <v>180</v>
      </c>
      <c r="B25" s="9" t="s">
        <v>262</v>
      </c>
      <c r="C25" s="9" t="s">
        <v>263</v>
      </c>
      <c r="D25" s="9" t="s">
        <v>235</v>
      </c>
      <c r="E25" s="9" t="s">
        <v>264</v>
      </c>
    </row>
    <row r="26" spans="1:5" ht="22.5" customHeight="1" x14ac:dyDescent="0.15">
      <c r="A26" s="9" t="s">
        <v>189</v>
      </c>
      <c r="B26" s="9" t="s">
        <v>265</v>
      </c>
      <c r="C26" s="9" t="s">
        <v>266</v>
      </c>
      <c r="D26" s="9" t="s">
        <v>228</v>
      </c>
      <c r="E26" s="9" t="s">
        <v>267</v>
      </c>
    </row>
    <row r="27" spans="1:5" ht="22.5" customHeight="1" x14ac:dyDescent="0.15">
      <c r="A27" s="9" t="s">
        <v>180</v>
      </c>
      <c r="B27" s="9" t="s">
        <v>268</v>
      </c>
      <c r="C27" s="9" t="s">
        <v>269</v>
      </c>
      <c r="D27" s="9" t="s">
        <v>200</v>
      </c>
      <c r="E27" s="9" t="s">
        <v>270</v>
      </c>
    </row>
    <row r="28" spans="1:5" ht="22.5" customHeight="1" x14ac:dyDescent="0.15">
      <c r="A28" s="9" t="s">
        <v>180</v>
      </c>
      <c r="B28" s="9" t="s">
        <v>271</v>
      </c>
      <c r="C28" s="9" t="s">
        <v>272</v>
      </c>
      <c r="D28" s="9" t="s">
        <v>249</v>
      </c>
      <c r="E28" s="9" t="s">
        <v>273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1"/>
  <sheetViews>
    <sheetView workbookViewId="0"/>
  </sheetViews>
  <sheetFormatPr baseColWidth="10" defaultColWidth="12.6640625" defaultRowHeight="15.75" customHeight="1" x14ac:dyDescent="0.15"/>
  <cols>
    <col min="1" max="1" width="15.5" customWidth="1"/>
    <col min="2" max="2" width="6.6640625" customWidth="1"/>
  </cols>
  <sheetData>
    <row r="1" spans="1:7" ht="15.75" customHeight="1" x14ac:dyDescent="0.15">
      <c r="A1" s="1" t="s">
        <v>19</v>
      </c>
      <c r="B1" s="1">
        <f>COUNTIF(SUJETS!E:F,A1)</f>
        <v>18</v>
      </c>
    </row>
    <row r="2" spans="1:7" ht="15.75" customHeight="1" x14ac:dyDescent="0.15">
      <c r="A2" s="1" t="s">
        <v>27</v>
      </c>
      <c r="B2" s="1">
        <f>COUNTIF(SUJETS!E:F,A2)</f>
        <v>15</v>
      </c>
    </row>
    <row r="3" spans="1:7" ht="15.75" customHeight="1" x14ac:dyDescent="0.15">
      <c r="A3" s="1" t="s">
        <v>33</v>
      </c>
      <c r="B3" s="1">
        <f>COUNTIF(SUJETS!E:F,A3)</f>
        <v>8</v>
      </c>
    </row>
    <row r="4" spans="1:7" ht="15.75" customHeight="1" x14ac:dyDescent="0.15">
      <c r="A4" s="1" t="s">
        <v>47</v>
      </c>
      <c r="B4" s="1">
        <f>COUNTIF(SUJETS!E:F,A4)</f>
        <v>19</v>
      </c>
    </row>
    <row r="5" spans="1:7" ht="15.75" customHeight="1" x14ac:dyDescent="0.15">
      <c r="A5" s="1" t="s">
        <v>117</v>
      </c>
      <c r="B5" s="1">
        <f>COUNTIF(SUJETS!E:F,A5)</f>
        <v>1</v>
      </c>
      <c r="C5" s="15"/>
    </row>
    <row r="6" spans="1:7" ht="15.75" customHeight="1" x14ac:dyDescent="0.15">
      <c r="A6" s="1" t="s">
        <v>77</v>
      </c>
      <c r="B6" s="1">
        <f>COUNTIF(SUJETS!E:F,A6)</f>
        <v>4</v>
      </c>
    </row>
    <row r="7" spans="1:7" ht="15.75" customHeight="1" x14ac:dyDescent="0.15">
      <c r="A7" s="1" t="s">
        <v>152</v>
      </c>
      <c r="B7" s="1">
        <f>COUNTIF(SUJETS!E:F,A7)</f>
        <v>1</v>
      </c>
    </row>
    <row r="8" spans="1:7" ht="15.75" customHeight="1" x14ac:dyDescent="0.15">
      <c r="A8" s="1" t="s">
        <v>81</v>
      </c>
      <c r="B8" s="1">
        <f>COUNTIF(SUJETS!E:F,A8)</f>
        <v>5</v>
      </c>
    </row>
    <row r="9" spans="1:7" ht="15.75" customHeight="1" x14ac:dyDescent="0.15">
      <c r="A9" s="1" t="s">
        <v>162</v>
      </c>
      <c r="B9" s="1">
        <f>COUNTIF(SUJETS!E:F,A9)</f>
        <v>1</v>
      </c>
    </row>
    <row r="10" spans="1:7" ht="15.75" customHeight="1" x14ac:dyDescent="0.15">
      <c r="A10" s="1" t="s">
        <v>8</v>
      </c>
      <c r="B10" s="1">
        <f>COUNTIF(SUJETS!E:F,A10)</f>
        <v>20</v>
      </c>
      <c r="G10" s="15"/>
    </row>
    <row r="11" spans="1:7" ht="15.75" customHeight="1" x14ac:dyDescent="0.15">
      <c r="A11" s="1" t="s">
        <v>34</v>
      </c>
      <c r="B11" s="1">
        <f>COUNTIF(SUJETS!E:F,A11)</f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000"/>
  <sheetViews>
    <sheetView showGridLines="0" workbookViewId="0"/>
  </sheetViews>
  <sheetFormatPr baseColWidth="10" defaultColWidth="12.6640625" defaultRowHeight="15.75" customHeight="1" x14ac:dyDescent="0.15"/>
  <cols>
    <col min="1" max="1" width="15.6640625" customWidth="1"/>
  </cols>
  <sheetData>
    <row r="1" spans="1:12" ht="15.75" customHeight="1" x14ac:dyDescent="0.15">
      <c r="A1" s="18" t="s">
        <v>279</v>
      </c>
      <c r="B1" s="18" t="s">
        <v>5</v>
      </c>
      <c r="C1" s="19"/>
      <c r="D1" s="19"/>
      <c r="E1" s="19"/>
      <c r="F1" s="19"/>
      <c r="G1" s="19"/>
      <c r="H1" s="19"/>
      <c r="I1" s="19"/>
      <c r="J1" s="19"/>
      <c r="K1" s="20"/>
      <c r="L1" s="7"/>
    </row>
    <row r="2" spans="1:12" ht="15.75" customHeight="1" x14ac:dyDescent="0.15">
      <c r="A2" s="18" t="s">
        <v>4</v>
      </c>
      <c r="B2" s="21" t="s">
        <v>8</v>
      </c>
      <c r="C2" s="22" t="s">
        <v>34</v>
      </c>
      <c r="D2" s="22" t="s">
        <v>33</v>
      </c>
      <c r="E2" s="22" t="s">
        <v>9</v>
      </c>
      <c r="F2" s="22" t="s">
        <v>27</v>
      </c>
      <c r="G2" s="22" t="s">
        <v>47</v>
      </c>
      <c r="H2" s="22" t="s">
        <v>117</v>
      </c>
      <c r="I2" s="22" t="s">
        <v>89</v>
      </c>
      <c r="J2" s="22" t="s">
        <v>152</v>
      </c>
      <c r="K2" s="23" t="s">
        <v>274</v>
      </c>
      <c r="L2" s="7"/>
    </row>
    <row r="3" spans="1:12" ht="15.75" customHeight="1" x14ac:dyDescent="0.15">
      <c r="A3" s="21" t="s">
        <v>77</v>
      </c>
      <c r="B3" s="24">
        <v>3</v>
      </c>
      <c r="C3" s="25"/>
      <c r="D3" s="25"/>
      <c r="E3" s="25"/>
      <c r="F3" s="25"/>
      <c r="G3" s="25">
        <v>1</v>
      </c>
      <c r="H3" s="25"/>
      <c r="I3" s="25"/>
      <c r="J3" s="25"/>
      <c r="K3" s="26">
        <v>4</v>
      </c>
      <c r="L3" s="16"/>
    </row>
    <row r="4" spans="1:12" ht="15.75" customHeight="1" x14ac:dyDescent="0.15">
      <c r="A4" s="27" t="s">
        <v>162</v>
      </c>
      <c r="B4" s="28">
        <v>1</v>
      </c>
      <c r="C4" s="29"/>
      <c r="D4" s="29"/>
      <c r="E4" s="29"/>
      <c r="F4" s="29"/>
      <c r="G4" s="29"/>
      <c r="H4" s="29"/>
      <c r="I4" s="29"/>
      <c r="J4" s="29"/>
      <c r="K4" s="30">
        <v>1</v>
      </c>
      <c r="L4" s="16"/>
    </row>
    <row r="5" spans="1:12" ht="15.75" customHeight="1" x14ac:dyDescent="0.15">
      <c r="A5" s="27" t="s">
        <v>33</v>
      </c>
      <c r="B5" s="28">
        <v>1</v>
      </c>
      <c r="C5" s="29">
        <v>1</v>
      </c>
      <c r="D5" s="29"/>
      <c r="E5" s="29"/>
      <c r="F5" s="29"/>
      <c r="G5" s="29">
        <v>1</v>
      </c>
      <c r="H5" s="29"/>
      <c r="I5" s="29"/>
      <c r="J5" s="29"/>
      <c r="K5" s="30">
        <v>3</v>
      </c>
      <c r="L5" s="16"/>
    </row>
    <row r="6" spans="1:12" ht="15.75" customHeight="1" x14ac:dyDescent="0.15">
      <c r="A6" s="27" t="s">
        <v>27</v>
      </c>
      <c r="B6" s="28">
        <v>4</v>
      </c>
      <c r="C6" s="29">
        <v>2</v>
      </c>
      <c r="D6" s="29"/>
      <c r="E6" s="29"/>
      <c r="F6" s="29"/>
      <c r="G6" s="29">
        <v>1</v>
      </c>
      <c r="H6" s="29"/>
      <c r="I6" s="29">
        <v>2</v>
      </c>
      <c r="J6" s="29"/>
      <c r="K6" s="30">
        <v>9</v>
      </c>
      <c r="L6" s="16"/>
    </row>
    <row r="7" spans="1:12" ht="15.75" customHeight="1" x14ac:dyDescent="0.15">
      <c r="A7" s="27" t="s">
        <v>47</v>
      </c>
      <c r="B7" s="28">
        <v>5</v>
      </c>
      <c r="C7" s="29">
        <v>2</v>
      </c>
      <c r="D7" s="29"/>
      <c r="E7" s="29">
        <v>2</v>
      </c>
      <c r="F7" s="29">
        <v>3</v>
      </c>
      <c r="G7" s="29"/>
      <c r="H7" s="29"/>
      <c r="I7" s="29"/>
      <c r="J7" s="29"/>
      <c r="K7" s="30">
        <v>12</v>
      </c>
      <c r="L7" s="16"/>
    </row>
    <row r="8" spans="1:12" ht="15.75" customHeight="1" x14ac:dyDescent="0.15">
      <c r="A8" s="27" t="s">
        <v>89</v>
      </c>
      <c r="B8" s="28">
        <v>2</v>
      </c>
      <c r="C8" s="29"/>
      <c r="D8" s="29"/>
      <c r="E8" s="29">
        <v>1</v>
      </c>
      <c r="F8" s="29"/>
      <c r="G8" s="29"/>
      <c r="H8" s="29">
        <v>1</v>
      </c>
      <c r="I8" s="29"/>
      <c r="J8" s="29">
        <v>1</v>
      </c>
      <c r="K8" s="30">
        <v>5</v>
      </c>
      <c r="L8" s="16"/>
    </row>
    <row r="9" spans="1:12" ht="15.75" customHeight="1" x14ac:dyDescent="0.15">
      <c r="A9" s="27" t="s">
        <v>19</v>
      </c>
      <c r="B9" s="28">
        <v>2</v>
      </c>
      <c r="C9" s="29">
        <v>6</v>
      </c>
      <c r="D9" s="29">
        <v>4</v>
      </c>
      <c r="E9" s="29">
        <v>1</v>
      </c>
      <c r="F9" s="29">
        <v>2</v>
      </c>
      <c r="G9" s="29">
        <v>3</v>
      </c>
      <c r="H9" s="29"/>
      <c r="I9" s="29"/>
      <c r="J9" s="29"/>
      <c r="K9" s="30">
        <v>18</v>
      </c>
      <c r="L9" s="16"/>
    </row>
    <row r="10" spans="1:12" ht="15.75" customHeight="1" x14ac:dyDescent="0.15">
      <c r="A10" s="27" t="s">
        <v>81</v>
      </c>
      <c r="B10" s="28">
        <v>2</v>
      </c>
      <c r="C10" s="29"/>
      <c r="D10" s="29">
        <v>1</v>
      </c>
      <c r="E10" s="29"/>
      <c r="F10" s="29">
        <v>1</v>
      </c>
      <c r="G10" s="29">
        <v>1</v>
      </c>
      <c r="H10" s="29"/>
      <c r="I10" s="29"/>
      <c r="J10" s="29"/>
      <c r="K10" s="30">
        <v>5</v>
      </c>
      <c r="L10" s="16"/>
    </row>
    <row r="11" spans="1:12" ht="15.75" customHeight="1" x14ac:dyDescent="0.15">
      <c r="A11" s="31" t="s">
        <v>274</v>
      </c>
      <c r="B11" s="32">
        <v>20</v>
      </c>
      <c r="C11" s="33">
        <v>11</v>
      </c>
      <c r="D11" s="33">
        <v>5</v>
      </c>
      <c r="E11" s="33">
        <v>4</v>
      </c>
      <c r="F11" s="33">
        <v>6</v>
      </c>
      <c r="G11" s="33">
        <v>7</v>
      </c>
      <c r="H11" s="33">
        <v>1</v>
      </c>
      <c r="I11" s="33">
        <v>2</v>
      </c>
      <c r="J11" s="33">
        <v>1</v>
      </c>
      <c r="K11" s="34">
        <v>57</v>
      </c>
      <c r="L11" s="16"/>
    </row>
    <row r="12" spans="1:12" ht="15.75" customHeight="1" x14ac:dyDescent="0.1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15.75" customHeight="1" x14ac:dyDescent="0.1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15.75" customHeight="1" x14ac:dyDescent="0.1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ht="15.75" customHeight="1" x14ac:dyDescent="0.1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ht="15.75" customHeight="1" x14ac:dyDescent="0.1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2:12" ht="15.75" customHeight="1" x14ac:dyDescent="0.1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2:12" ht="15.75" customHeight="1" x14ac:dyDescent="0.1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2:12" ht="15.75" customHeight="1" x14ac:dyDescent="0.1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2:12" ht="15.75" customHeight="1" x14ac:dyDescent="0.1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2:12" ht="15.75" customHeight="1" x14ac:dyDescent="0.1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2:12" ht="15.75" customHeight="1" x14ac:dyDescent="0.1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2:12" ht="15.75" customHeight="1" x14ac:dyDescent="0.1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2:12" ht="15.75" customHeight="1" x14ac:dyDescent="0.1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2:12" ht="15.75" customHeight="1" x14ac:dyDescent="0.1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2:12" ht="15.75" customHeight="1" x14ac:dyDescent="0.1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12" ht="15.75" customHeight="1" x14ac:dyDescent="0.1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2:12" ht="15.75" customHeight="1" x14ac:dyDescent="0.1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2:12" ht="15.75" customHeight="1" x14ac:dyDescent="0.1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2:12" ht="15.75" customHeight="1" x14ac:dyDescent="0.1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2:12" ht="15.75" customHeight="1" x14ac:dyDescent="0.1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2:12" ht="15.75" customHeight="1" x14ac:dyDescent="0.1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2:12" ht="15.75" customHeight="1" x14ac:dyDescent="0.1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2:12" ht="15.75" customHeight="1" x14ac:dyDescent="0.1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2:12" ht="15.75" customHeight="1" x14ac:dyDescent="0.1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2:12" ht="15.75" customHeight="1" x14ac:dyDescent="0.1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2:12" ht="15.75" customHeight="1" x14ac:dyDescent="0.1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ht="15.75" customHeight="1" x14ac:dyDescent="0.1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2:12" ht="15.75" customHeight="1" x14ac:dyDescent="0.1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2:12" ht="15.75" customHeight="1" x14ac:dyDescent="0.1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2:12" ht="15.75" customHeight="1" x14ac:dyDescent="0.1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2:12" ht="15.75" customHeight="1" x14ac:dyDescent="0.1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2:12" ht="15.75" customHeight="1" x14ac:dyDescent="0.1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ht="15.75" customHeight="1" x14ac:dyDescent="0.1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2:12" ht="15.75" customHeight="1" x14ac:dyDescent="0.1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2:12" ht="15.75" customHeight="1" x14ac:dyDescent="0.1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2:12" ht="15.75" customHeight="1" x14ac:dyDescent="0.1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2:12" ht="15.75" customHeight="1" x14ac:dyDescent="0.1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2:12" ht="15.75" customHeight="1" x14ac:dyDescent="0.1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2:12" ht="15.75" customHeight="1" x14ac:dyDescent="0.1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2:12" ht="15.75" customHeight="1" x14ac:dyDescent="0.1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2:12" ht="15.75" customHeight="1" x14ac:dyDescent="0.1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2:12" ht="15.75" customHeight="1" x14ac:dyDescent="0.1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2:12" ht="15.75" customHeight="1" x14ac:dyDescent="0.1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2:12" ht="15.75" customHeight="1" x14ac:dyDescent="0.1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2:12" ht="15.75" customHeight="1" x14ac:dyDescent="0.1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2:12" ht="15.75" customHeight="1" x14ac:dyDescent="0.1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2:12" ht="15.75" customHeight="1" x14ac:dyDescent="0.1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2:12" ht="15.75" customHeight="1" x14ac:dyDescent="0.1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2:12" ht="15.75" customHeight="1" x14ac:dyDescent="0.1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2:12" ht="15.75" customHeight="1" x14ac:dyDescent="0.1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2:12" ht="15.75" customHeight="1" x14ac:dyDescent="0.1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2:12" ht="15.75" customHeight="1" x14ac:dyDescent="0.1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2:12" ht="15.75" customHeight="1" x14ac:dyDescent="0.1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2:12" ht="15.75" customHeight="1" x14ac:dyDescent="0.1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2:12" ht="15.75" customHeight="1" x14ac:dyDescent="0.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2:12" ht="15.75" customHeight="1" x14ac:dyDescent="0.1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2:12" ht="15.75" customHeight="1" x14ac:dyDescent="0.1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2:12" ht="15.75" customHeight="1" x14ac:dyDescent="0.1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2:12" ht="15.75" customHeight="1" x14ac:dyDescent="0.1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2:12" ht="15.75" customHeight="1" x14ac:dyDescent="0.1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2:12" ht="15.75" customHeight="1" x14ac:dyDescent="0.1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spans="2:12" ht="15.75" customHeight="1" x14ac:dyDescent="0.1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2:12" ht="15.75" customHeight="1" x14ac:dyDescent="0.1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2:12" ht="15.75" customHeight="1" x14ac:dyDescent="0.1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spans="2:12" ht="15.75" customHeight="1" x14ac:dyDescent="0.1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spans="2:12" ht="15.75" customHeight="1" x14ac:dyDescent="0.1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spans="2:12" ht="15.75" customHeight="1" x14ac:dyDescent="0.1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spans="2:12" ht="15.75" customHeight="1" x14ac:dyDescent="0.1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spans="2:12" ht="15.75" customHeight="1" x14ac:dyDescent="0.1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spans="2:12" ht="15.75" customHeight="1" x14ac:dyDescent="0.1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spans="2:12" ht="15.75" customHeight="1" x14ac:dyDescent="0.1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2:12" ht="15.75" customHeight="1" x14ac:dyDescent="0.1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2:12" ht="15.75" customHeight="1" x14ac:dyDescent="0.1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2:12" ht="15.75" customHeight="1" x14ac:dyDescent="0.1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2:12" ht="15.75" customHeight="1" x14ac:dyDescent="0.1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2:12" ht="15.75" customHeight="1" x14ac:dyDescent="0.1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2:12" ht="15.75" customHeight="1" x14ac:dyDescent="0.1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spans="2:12" ht="15.75" customHeight="1" x14ac:dyDescent="0.1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2:12" ht="15.75" customHeight="1" x14ac:dyDescent="0.1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spans="2:12" ht="15.75" customHeight="1" x14ac:dyDescent="0.1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2:12" ht="15.75" customHeight="1" x14ac:dyDescent="0.1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spans="2:12" ht="15.75" customHeight="1" x14ac:dyDescent="0.1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spans="2:12" ht="15.75" customHeight="1" x14ac:dyDescent="0.1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spans="2:12" ht="15.75" customHeight="1" x14ac:dyDescent="0.1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spans="2:12" ht="15.75" customHeight="1" x14ac:dyDescent="0.1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spans="2:12" ht="13" x14ac:dyDescent="0.1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spans="2:12" ht="13" x14ac:dyDescent="0.1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ht="13" x14ac:dyDescent="0.1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spans="2:12" ht="13" x14ac:dyDescent="0.1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spans="2:12" ht="13" x14ac:dyDescent="0.1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spans="2:12" ht="13" x14ac:dyDescent="0.1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2:12" ht="13" x14ac:dyDescent="0.1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spans="2:12" ht="13" x14ac:dyDescent="0.1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spans="2:12" ht="13" x14ac:dyDescent="0.1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spans="2:12" ht="13" x14ac:dyDescent="0.1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2:12" ht="13" x14ac:dyDescent="0.1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spans="2:12" ht="13" x14ac:dyDescent="0.1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spans="2:12" ht="13" x14ac:dyDescent="0.1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spans="2:12" ht="13" x14ac:dyDescent="0.1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spans="2:12" ht="13" x14ac:dyDescent="0.1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spans="2:12" ht="13" x14ac:dyDescent="0.1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spans="2:12" ht="13" x14ac:dyDescent="0.1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spans="2:12" ht="13" x14ac:dyDescent="0.1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spans="2:12" ht="13" x14ac:dyDescent="0.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spans="2:12" ht="13" x14ac:dyDescent="0.1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spans="2:12" ht="13" x14ac:dyDescent="0.1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spans="2:12" ht="13" x14ac:dyDescent="0.1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spans="2:12" ht="13" x14ac:dyDescent="0.1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 spans="2:12" ht="13" x14ac:dyDescent="0.1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spans="2:12" ht="13" x14ac:dyDescent="0.1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 spans="2:12" ht="13" x14ac:dyDescent="0.1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spans="2:12" ht="13" x14ac:dyDescent="0.1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spans="2:12" ht="13" x14ac:dyDescent="0.1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spans="2:12" ht="13" x14ac:dyDescent="0.1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spans="2:12" ht="13" x14ac:dyDescent="0.1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spans="2:12" ht="13" x14ac:dyDescent="0.1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spans="2:12" ht="13" x14ac:dyDescent="0.1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 spans="2:12" ht="13" x14ac:dyDescent="0.1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spans="2:12" ht="13" x14ac:dyDescent="0.1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spans="2:12" ht="13" x14ac:dyDescent="0.1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spans="2:12" ht="13" x14ac:dyDescent="0.1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spans="2:12" ht="13" x14ac:dyDescent="0.1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spans="2:12" ht="13" x14ac:dyDescent="0.1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spans="2:12" ht="13" x14ac:dyDescent="0.1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 spans="2:12" ht="13" x14ac:dyDescent="0.1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 spans="2:12" ht="13" x14ac:dyDescent="0.1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 spans="2:12" ht="13" x14ac:dyDescent="0.1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spans="2:12" ht="13" x14ac:dyDescent="0.1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 spans="2:12" ht="13" x14ac:dyDescent="0.1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 spans="2:12" ht="13" x14ac:dyDescent="0.1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 spans="2:12" ht="13" x14ac:dyDescent="0.1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 spans="2:12" ht="13" x14ac:dyDescent="0.1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spans="2:12" ht="13" x14ac:dyDescent="0.1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 spans="2:12" ht="13" x14ac:dyDescent="0.1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spans="2:12" ht="13" x14ac:dyDescent="0.1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 spans="2:12" ht="13" x14ac:dyDescent="0.1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spans="2:12" ht="13" x14ac:dyDescent="0.1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spans="2:12" ht="13" x14ac:dyDescent="0.1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spans="2:12" ht="13" x14ac:dyDescent="0.1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spans="2:12" ht="13" x14ac:dyDescent="0.1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 spans="2:12" ht="13" x14ac:dyDescent="0.1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spans="2:12" ht="13" x14ac:dyDescent="0.1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spans="2:12" ht="13" x14ac:dyDescent="0.1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spans="2:12" ht="13" x14ac:dyDescent="0.1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spans="2:12" ht="13" x14ac:dyDescent="0.1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spans="2:12" ht="13" x14ac:dyDescent="0.1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spans="2:12" ht="13" x14ac:dyDescent="0.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spans="2:12" ht="13" x14ac:dyDescent="0.1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spans="2:12" ht="13" x14ac:dyDescent="0.1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 spans="2:12" ht="13" x14ac:dyDescent="0.1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 spans="2:12" ht="13" x14ac:dyDescent="0.1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 spans="2:12" ht="13" x14ac:dyDescent="0.1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 spans="2:12" ht="13" x14ac:dyDescent="0.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spans="2:12" ht="13" x14ac:dyDescent="0.1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spans="2:12" ht="13" x14ac:dyDescent="0.1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spans="2:12" ht="13" x14ac:dyDescent="0.1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spans="2:12" ht="13" x14ac:dyDescent="0.1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spans="2:12" ht="13" x14ac:dyDescent="0.1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spans="2:12" ht="13" x14ac:dyDescent="0.1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 spans="2:12" ht="13" x14ac:dyDescent="0.1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 spans="2:12" ht="13" x14ac:dyDescent="0.1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spans="2:12" ht="13" x14ac:dyDescent="0.1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spans="2:12" ht="13" x14ac:dyDescent="0.1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spans="2:12" ht="13" x14ac:dyDescent="0.1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spans="2:12" ht="13" x14ac:dyDescent="0.1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spans="2:12" ht="13" x14ac:dyDescent="0.1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spans="2:12" ht="13" x14ac:dyDescent="0.1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spans="2:12" ht="13" x14ac:dyDescent="0.1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spans="2:12" ht="13" x14ac:dyDescent="0.1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spans="2:12" ht="13" x14ac:dyDescent="0.1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spans="2:12" ht="13" x14ac:dyDescent="0.1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spans="2:12" ht="13" x14ac:dyDescent="0.1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spans="2:12" ht="13" x14ac:dyDescent="0.1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spans="2:12" ht="13" x14ac:dyDescent="0.1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spans="2:12" ht="13" x14ac:dyDescent="0.1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spans="2:12" ht="13" x14ac:dyDescent="0.1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spans="2:12" ht="13" x14ac:dyDescent="0.1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spans="2:12" ht="13" x14ac:dyDescent="0.1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spans="2:12" ht="13" x14ac:dyDescent="0.1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spans="2:12" ht="13" x14ac:dyDescent="0.1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spans="2:12" ht="13" x14ac:dyDescent="0.1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spans="2:12" ht="13" x14ac:dyDescent="0.1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spans="2:12" ht="13" x14ac:dyDescent="0.1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spans="2:12" ht="13" x14ac:dyDescent="0.1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spans="2:12" ht="13" x14ac:dyDescent="0.1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spans="2:12" ht="13" x14ac:dyDescent="0.1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spans="2:12" ht="13" x14ac:dyDescent="0.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spans="2:12" ht="13" x14ac:dyDescent="0.1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spans="2:12" ht="13" x14ac:dyDescent="0.1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spans="2:12" ht="13" x14ac:dyDescent="0.1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spans="2:12" ht="13" x14ac:dyDescent="0.1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spans="2:12" ht="13" x14ac:dyDescent="0.1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spans="2:12" ht="13" x14ac:dyDescent="0.1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spans="2:12" ht="13" x14ac:dyDescent="0.1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spans="2:12" ht="13" x14ac:dyDescent="0.1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spans="2:12" ht="13" x14ac:dyDescent="0.1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spans="2:12" ht="13" x14ac:dyDescent="0.1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spans="2:12" ht="13" x14ac:dyDescent="0.1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spans="2:12" ht="13" x14ac:dyDescent="0.1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spans="2:12" ht="13" x14ac:dyDescent="0.1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 spans="2:12" ht="13" x14ac:dyDescent="0.1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spans="2:12" ht="13" x14ac:dyDescent="0.1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spans="2:12" ht="13" x14ac:dyDescent="0.1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spans="2:12" ht="13" x14ac:dyDescent="0.1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spans="2:12" ht="13" x14ac:dyDescent="0.1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spans="2:12" ht="13" x14ac:dyDescent="0.1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spans="2:12" ht="13" x14ac:dyDescent="0.1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spans="2:12" ht="13" x14ac:dyDescent="0.1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 spans="2:12" ht="13" x14ac:dyDescent="0.1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 spans="2:12" ht="13" x14ac:dyDescent="0.1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 spans="2:12" ht="13" x14ac:dyDescent="0.1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spans="2:12" ht="13" x14ac:dyDescent="0.1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 spans="2:12" ht="13" x14ac:dyDescent="0.1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spans="2:12" ht="13" x14ac:dyDescent="0.1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 spans="2:12" ht="13" x14ac:dyDescent="0.1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 spans="2:12" ht="13" x14ac:dyDescent="0.1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spans="2:12" ht="13" x14ac:dyDescent="0.1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 spans="2:12" ht="13" x14ac:dyDescent="0.1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spans="2:12" ht="13" x14ac:dyDescent="0.1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spans="2:12" ht="13" x14ac:dyDescent="0.1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spans="2:12" ht="13" x14ac:dyDescent="0.1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spans="2:12" ht="13" x14ac:dyDescent="0.1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spans="2:12" ht="13" x14ac:dyDescent="0.1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spans="2:12" ht="13" x14ac:dyDescent="0.1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 spans="2:12" ht="13" x14ac:dyDescent="0.1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 spans="2:12" ht="13" x14ac:dyDescent="0.1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 spans="2:12" ht="13" x14ac:dyDescent="0.1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 spans="2:12" ht="13" x14ac:dyDescent="0.1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 spans="2:12" ht="13" x14ac:dyDescent="0.1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 spans="2:12" ht="13" x14ac:dyDescent="0.1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 spans="2:12" ht="13" x14ac:dyDescent="0.1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spans="2:12" ht="13" x14ac:dyDescent="0.1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 spans="2:12" ht="13" x14ac:dyDescent="0.1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 spans="2:12" ht="13" x14ac:dyDescent="0.1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 spans="2:12" ht="13" x14ac:dyDescent="0.1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 spans="2:12" ht="13" x14ac:dyDescent="0.1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</row>
    <row r="248" spans="2:12" ht="13" x14ac:dyDescent="0.1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 spans="2:12" ht="13" x14ac:dyDescent="0.1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 spans="2:12" ht="13" x14ac:dyDescent="0.1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</row>
    <row r="251" spans="2:12" ht="13" x14ac:dyDescent="0.1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</row>
    <row r="252" spans="2:12" ht="13" x14ac:dyDescent="0.1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 spans="2:12" ht="13" x14ac:dyDescent="0.1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 spans="2:12" ht="13" x14ac:dyDescent="0.1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</row>
    <row r="255" spans="2:12" ht="13" x14ac:dyDescent="0.1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 spans="2:12" ht="13" x14ac:dyDescent="0.1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</row>
    <row r="257" spans="2:12" ht="13" x14ac:dyDescent="0.1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 spans="2:12" ht="13" x14ac:dyDescent="0.1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</row>
    <row r="259" spans="2:12" ht="13" x14ac:dyDescent="0.1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</row>
    <row r="260" spans="2:12" ht="13" x14ac:dyDescent="0.1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 spans="2:12" ht="13" x14ac:dyDescent="0.1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</row>
    <row r="262" spans="2:12" ht="13" x14ac:dyDescent="0.1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 spans="2:12" ht="13" x14ac:dyDescent="0.1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</row>
    <row r="264" spans="2:12" ht="13" x14ac:dyDescent="0.1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</row>
    <row r="265" spans="2:12" ht="13" x14ac:dyDescent="0.1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 spans="2:12" ht="13" x14ac:dyDescent="0.1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 spans="2:12" ht="13" x14ac:dyDescent="0.1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 spans="2:12" ht="13" x14ac:dyDescent="0.1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 spans="2:12" ht="13" x14ac:dyDescent="0.1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 spans="2:12" ht="13" x14ac:dyDescent="0.1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 spans="2:12" ht="13" x14ac:dyDescent="0.1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 spans="2:12" ht="13" x14ac:dyDescent="0.1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</row>
    <row r="273" spans="2:12" ht="13" x14ac:dyDescent="0.1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 spans="2:12" ht="13" x14ac:dyDescent="0.1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</row>
    <row r="275" spans="2:12" ht="13" x14ac:dyDescent="0.1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</row>
    <row r="276" spans="2:12" ht="13" x14ac:dyDescent="0.1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77" spans="2:12" ht="13" x14ac:dyDescent="0.1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</row>
    <row r="278" spans="2:12" ht="13" x14ac:dyDescent="0.1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</row>
    <row r="279" spans="2:12" ht="13" x14ac:dyDescent="0.1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 spans="2:12" ht="13" x14ac:dyDescent="0.1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 spans="2:12" ht="13" x14ac:dyDescent="0.1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 spans="2:12" ht="13" x14ac:dyDescent="0.1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</row>
    <row r="283" spans="2:12" ht="13" x14ac:dyDescent="0.1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</row>
    <row r="284" spans="2:12" ht="13" x14ac:dyDescent="0.1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</row>
    <row r="285" spans="2:12" ht="13" x14ac:dyDescent="0.1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</row>
    <row r="286" spans="2:12" ht="13" x14ac:dyDescent="0.1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</row>
    <row r="287" spans="2:12" ht="13" x14ac:dyDescent="0.1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</row>
    <row r="288" spans="2:12" ht="13" x14ac:dyDescent="0.1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</row>
    <row r="289" spans="2:12" ht="13" x14ac:dyDescent="0.1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</row>
    <row r="290" spans="2:12" ht="13" x14ac:dyDescent="0.1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</row>
    <row r="291" spans="2:12" ht="13" x14ac:dyDescent="0.1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</row>
    <row r="292" spans="2:12" ht="13" x14ac:dyDescent="0.1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</row>
    <row r="293" spans="2:12" ht="13" x14ac:dyDescent="0.1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</row>
    <row r="294" spans="2:12" ht="13" x14ac:dyDescent="0.1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</row>
    <row r="295" spans="2:12" ht="13" x14ac:dyDescent="0.1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</row>
    <row r="296" spans="2:12" ht="13" x14ac:dyDescent="0.1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</row>
    <row r="297" spans="2:12" ht="13" x14ac:dyDescent="0.1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</row>
    <row r="298" spans="2:12" ht="13" x14ac:dyDescent="0.1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</row>
    <row r="299" spans="2:12" ht="13" x14ac:dyDescent="0.1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</row>
    <row r="300" spans="2:12" ht="13" x14ac:dyDescent="0.1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</row>
    <row r="301" spans="2:12" ht="13" x14ac:dyDescent="0.1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</row>
    <row r="302" spans="2:12" ht="13" x14ac:dyDescent="0.1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</row>
    <row r="303" spans="2:12" ht="13" x14ac:dyDescent="0.1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</row>
    <row r="304" spans="2:12" ht="13" x14ac:dyDescent="0.1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</row>
    <row r="305" spans="2:12" ht="13" x14ac:dyDescent="0.1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</row>
    <row r="306" spans="2:12" ht="13" x14ac:dyDescent="0.1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</row>
    <row r="307" spans="2:12" ht="13" x14ac:dyDescent="0.1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</row>
    <row r="308" spans="2:12" ht="13" x14ac:dyDescent="0.1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</row>
    <row r="309" spans="2:12" ht="13" x14ac:dyDescent="0.1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</row>
    <row r="310" spans="2:12" ht="13" x14ac:dyDescent="0.1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</row>
    <row r="311" spans="2:12" ht="13" x14ac:dyDescent="0.1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</row>
    <row r="312" spans="2:12" ht="13" x14ac:dyDescent="0.1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</row>
    <row r="313" spans="2:12" ht="13" x14ac:dyDescent="0.1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</row>
    <row r="314" spans="2:12" ht="13" x14ac:dyDescent="0.1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</row>
    <row r="315" spans="2:12" ht="13" x14ac:dyDescent="0.1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</row>
    <row r="316" spans="2:12" ht="13" x14ac:dyDescent="0.1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</row>
    <row r="317" spans="2:12" ht="13" x14ac:dyDescent="0.1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</row>
    <row r="318" spans="2:12" ht="13" x14ac:dyDescent="0.1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</row>
    <row r="319" spans="2:12" ht="13" x14ac:dyDescent="0.1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</row>
    <row r="320" spans="2:12" ht="13" x14ac:dyDescent="0.1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</row>
    <row r="321" spans="2:12" ht="13" x14ac:dyDescent="0.1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</row>
    <row r="322" spans="2:12" ht="13" x14ac:dyDescent="0.1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 spans="2:12" ht="13" x14ac:dyDescent="0.1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</row>
    <row r="324" spans="2:12" ht="13" x14ac:dyDescent="0.1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</row>
    <row r="325" spans="2:12" ht="13" x14ac:dyDescent="0.1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</row>
    <row r="326" spans="2:12" ht="13" x14ac:dyDescent="0.1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</row>
    <row r="327" spans="2:12" ht="13" x14ac:dyDescent="0.1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</row>
    <row r="328" spans="2:12" ht="13" x14ac:dyDescent="0.1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</row>
    <row r="329" spans="2:12" ht="13" x14ac:dyDescent="0.1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</row>
    <row r="330" spans="2:12" ht="13" x14ac:dyDescent="0.1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</row>
    <row r="331" spans="2:12" ht="13" x14ac:dyDescent="0.1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</row>
    <row r="332" spans="2:12" ht="13" x14ac:dyDescent="0.1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</row>
    <row r="333" spans="2:12" ht="13" x14ac:dyDescent="0.1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</row>
    <row r="334" spans="2:12" ht="13" x14ac:dyDescent="0.1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</row>
    <row r="335" spans="2:12" ht="13" x14ac:dyDescent="0.1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</row>
    <row r="336" spans="2:12" ht="13" x14ac:dyDescent="0.1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</row>
    <row r="337" spans="2:12" ht="13" x14ac:dyDescent="0.1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</row>
    <row r="338" spans="2:12" ht="13" x14ac:dyDescent="0.1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</row>
    <row r="339" spans="2:12" ht="13" x14ac:dyDescent="0.1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</row>
    <row r="340" spans="2:12" ht="13" x14ac:dyDescent="0.1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</row>
    <row r="341" spans="2:12" ht="13" x14ac:dyDescent="0.1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</row>
    <row r="342" spans="2:12" ht="13" x14ac:dyDescent="0.1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</row>
    <row r="343" spans="2:12" ht="13" x14ac:dyDescent="0.1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</row>
    <row r="344" spans="2:12" ht="13" x14ac:dyDescent="0.1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</row>
    <row r="345" spans="2:12" ht="13" x14ac:dyDescent="0.1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</row>
    <row r="346" spans="2:12" ht="13" x14ac:dyDescent="0.1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</row>
    <row r="347" spans="2:12" ht="13" x14ac:dyDescent="0.1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</row>
    <row r="348" spans="2:12" ht="13" x14ac:dyDescent="0.1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</row>
    <row r="349" spans="2:12" ht="13" x14ac:dyDescent="0.1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</row>
    <row r="350" spans="2:12" ht="13" x14ac:dyDescent="0.1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</row>
    <row r="351" spans="2:12" ht="13" x14ac:dyDescent="0.1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</row>
    <row r="352" spans="2:12" ht="13" x14ac:dyDescent="0.1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</row>
    <row r="353" spans="2:12" ht="13" x14ac:dyDescent="0.1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</row>
    <row r="354" spans="2:12" ht="13" x14ac:dyDescent="0.1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</row>
    <row r="355" spans="2:12" ht="13" x14ac:dyDescent="0.1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</row>
    <row r="356" spans="2:12" ht="13" x14ac:dyDescent="0.1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</row>
    <row r="357" spans="2:12" ht="13" x14ac:dyDescent="0.1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 spans="2:12" ht="13" x14ac:dyDescent="0.1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</row>
    <row r="359" spans="2:12" ht="13" x14ac:dyDescent="0.1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</row>
    <row r="360" spans="2:12" ht="13" x14ac:dyDescent="0.1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</row>
    <row r="361" spans="2:12" ht="13" x14ac:dyDescent="0.1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</row>
    <row r="362" spans="2:12" ht="13" x14ac:dyDescent="0.1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</row>
    <row r="363" spans="2:12" ht="13" x14ac:dyDescent="0.1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</row>
    <row r="364" spans="2:12" ht="13" x14ac:dyDescent="0.1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</row>
    <row r="365" spans="2:12" ht="13" x14ac:dyDescent="0.1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</row>
    <row r="366" spans="2:12" ht="13" x14ac:dyDescent="0.1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</row>
    <row r="367" spans="2:12" ht="13" x14ac:dyDescent="0.1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</row>
    <row r="368" spans="2:12" ht="13" x14ac:dyDescent="0.1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</row>
    <row r="369" spans="2:12" ht="13" x14ac:dyDescent="0.1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</row>
    <row r="370" spans="2:12" ht="13" x14ac:dyDescent="0.1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</row>
    <row r="371" spans="2:12" ht="13" x14ac:dyDescent="0.1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</row>
    <row r="372" spans="2:12" ht="13" x14ac:dyDescent="0.1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</row>
    <row r="373" spans="2:12" ht="13" x14ac:dyDescent="0.1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</row>
    <row r="374" spans="2:12" ht="13" x14ac:dyDescent="0.1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</row>
    <row r="375" spans="2:12" ht="13" x14ac:dyDescent="0.1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</row>
    <row r="376" spans="2:12" ht="13" x14ac:dyDescent="0.1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</row>
    <row r="377" spans="2:12" ht="13" x14ac:dyDescent="0.1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</row>
    <row r="378" spans="2:12" ht="13" x14ac:dyDescent="0.1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</row>
    <row r="379" spans="2:12" ht="13" x14ac:dyDescent="0.1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</row>
    <row r="380" spans="2:12" ht="13" x14ac:dyDescent="0.1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</row>
    <row r="381" spans="2:12" ht="13" x14ac:dyDescent="0.1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</row>
    <row r="382" spans="2:12" ht="13" x14ac:dyDescent="0.1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</row>
    <row r="383" spans="2:12" ht="13" x14ac:dyDescent="0.1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</row>
    <row r="384" spans="2:12" ht="13" x14ac:dyDescent="0.1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</row>
    <row r="385" spans="2:12" ht="13" x14ac:dyDescent="0.1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</row>
    <row r="386" spans="2:12" ht="13" x14ac:dyDescent="0.1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</row>
    <row r="387" spans="2:12" ht="13" x14ac:dyDescent="0.1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</row>
    <row r="388" spans="2:12" ht="13" x14ac:dyDescent="0.1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</row>
    <row r="389" spans="2:12" ht="13" x14ac:dyDescent="0.1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</row>
    <row r="390" spans="2:12" ht="13" x14ac:dyDescent="0.1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</row>
    <row r="391" spans="2:12" ht="13" x14ac:dyDescent="0.1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</row>
    <row r="392" spans="2:12" ht="13" x14ac:dyDescent="0.1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</row>
    <row r="393" spans="2:12" ht="13" x14ac:dyDescent="0.1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</row>
    <row r="394" spans="2:12" ht="13" x14ac:dyDescent="0.1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</row>
    <row r="395" spans="2:12" ht="13" x14ac:dyDescent="0.1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</row>
    <row r="396" spans="2:12" ht="13" x14ac:dyDescent="0.1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</row>
    <row r="397" spans="2:12" ht="13" x14ac:dyDescent="0.1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</row>
    <row r="398" spans="2:12" ht="13" x14ac:dyDescent="0.1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</row>
    <row r="399" spans="2:12" ht="13" x14ac:dyDescent="0.1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</row>
    <row r="400" spans="2:12" ht="13" x14ac:dyDescent="0.1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</row>
    <row r="401" spans="2:12" ht="13" x14ac:dyDescent="0.1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</row>
    <row r="402" spans="2:12" ht="13" x14ac:dyDescent="0.1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</row>
    <row r="403" spans="2:12" ht="13" x14ac:dyDescent="0.1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</row>
    <row r="404" spans="2:12" ht="13" x14ac:dyDescent="0.1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</row>
    <row r="405" spans="2:12" ht="13" x14ac:dyDescent="0.1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</row>
    <row r="406" spans="2:12" ht="13" x14ac:dyDescent="0.1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</row>
    <row r="407" spans="2:12" ht="13" x14ac:dyDescent="0.1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</row>
    <row r="408" spans="2:12" ht="13" x14ac:dyDescent="0.1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</row>
    <row r="409" spans="2:12" ht="13" x14ac:dyDescent="0.1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</row>
    <row r="410" spans="2:12" ht="13" x14ac:dyDescent="0.1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</row>
    <row r="411" spans="2:12" ht="13" x14ac:dyDescent="0.1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</row>
    <row r="412" spans="2:12" ht="13" x14ac:dyDescent="0.1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</row>
    <row r="413" spans="2:12" ht="13" x14ac:dyDescent="0.1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</row>
    <row r="414" spans="2:12" ht="13" x14ac:dyDescent="0.1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</row>
    <row r="415" spans="2:12" ht="13" x14ac:dyDescent="0.1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</row>
    <row r="416" spans="2:12" ht="13" x14ac:dyDescent="0.1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</row>
    <row r="417" spans="2:12" ht="13" x14ac:dyDescent="0.1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</row>
    <row r="418" spans="2:12" ht="13" x14ac:dyDescent="0.1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</row>
    <row r="419" spans="2:12" ht="13" x14ac:dyDescent="0.1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</row>
    <row r="420" spans="2:12" ht="13" x14ac:dyDescent="0.1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</row>
    <row r="421" spans="2:12" ht="13" x14ac:dyDescent="0.1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</row>
    <row r="422" spans="2:12" ht="13" x14ac:dyDescent="0.1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</row>
    <row r="423" spans="2:12" ht="13" x14ac:dyDescent="0.1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</row>
    <row r="424" spans="2:12" ht="13" x14ac:dyDescent="0.1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</row>
    <row r="425" spans="2:12" ht="13" x14ac:dyDescent="0.1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</row>
    <row r="426" spans="2:12" ht="13" x14ac:dyDescent="0.1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</row>
    <row r="427" spans="2:12" ht="13" x14ac:dyDescent="0.1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 spans="2:12" ht="13" x14ac:dyDescent="0.1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</row>
    <row r="429" spans="2:12" ht="13" x14ac:dyDescent="0.1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</row>
    <row r="430" spans="2:12" ht="13" x14ac:dyDescent="0.1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</row>
    <row r="431" spans="2:12" ht="13" x14ac:dyDescent="0.1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</row>
    <row r="432" spans="2:12" ht="13" x14ac:dyDescent="0.1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</row>
    <row r="433" spans="2:12" ht="13" x14ac:dyDescent="0.1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</row>
    <row r="434" spans="2:12" ht="13" x14ac:dyDescent="0.1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</row>
    <row r="435" spans="2:12" ht="13" x14ac:dyDescent="0.1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</row>
    <row r="436" spans="2:12" ht="13" x14ac:dyDescent="0.1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</row>
    <row r="437" spans="2:12" ht="13" x14ac:dyDescent="0.1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</row>
    <row r="438" spans="2:12" ht="13" x14ac:dyDescent="0.1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</row>
    <row r="439" spans="2:12" ht="13" x14ac:dyDescent="0.1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 spans="2:12" ht="13" x14ac:dyDescent="0.1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</row>
    <row r="441" spans="2:12" ht="13" x14ac:dyDescent="0.1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</row>
    <row r="442" spans="2:12" ht="13" x14ac:dyDescent="0.1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</row>
    <row r="443" spans="2:12" ht="13" x14ac:dyDescent="0.1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</row>
    <row r="444" spans="2:12" ht="13" x14ac:dyDescent="0.1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</row>
    <row r="445" spans="2:12" ht="13" x14ac:dyDescent="0.1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</row>
    <row r="446" spans="2:12" ht="13" x14ac:dyDescent="0.1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</row>
    <row r="447" spans="2:12" ht="13" x14ac:dyDescent="0.1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</row>
    <row r="448" spans="2:12" ht="13" x14ac:dyDescent="0.1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</row>
    <row r="449" spans="2:12" ht="13" x14ac:dyDescent="0.1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</row>
    <row r="450" spans="2:12" ht="13" x14ac:dyDescent="0.1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</row>
    <row r="451" spans="2:12" ht="13" x14ac:dyDescent="0.1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</row>
    <row r="452" spans="2:12" ht="13" x14ac:dyDescent="0.1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</row>
    <row r="453" spans="2:12" ht="13" x14ac:dyDescent="0.1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</row>
    <row r="454" spans="2:12" ht="13" x14ac:dyDescent="0.1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</row>
    <row r="455" spans="2:12" ht="13" x14ac:dyDescent="0.1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</row>
    <row r="456" spans="2:12" ht="13" x14ac:dyDescent="0.1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</row>
    <row r="457" spans="2:12" ht="13" x14ac:dyDescent="0.1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</row>
    <row r="458" spans="2:12" ht="13" x14ac:dyDescent="0.1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</row>
    <row r="459" spans="2:12" ht="13" x14ac:dyDescent="0.1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</row>
    <row r="460" spans="2:12" ht="13" x14ac:dyDescent="0.1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</row>
    <row r="461" spans="2:12" ht="13" x14ac:dyDescent="0.1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</row>
    <row r="462" spans="2:12" ht="13" x14ac:dyDescent="0.1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</row>
    <row r="463" spans="2:12" ht="13" x14ac:dyDescent="0.1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</row>
    <row r="464" spans="2:12" ht="13" x14ac:dyDescent="0.1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</row>
    <row r="465" spans="2:12" ht="13" x14ac:dyDescent="0.1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</row>
    <row r="466" spans="2:12" ht="13" x14ac:dyDescent="0.1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</row>
    <row r="467" spans="2:12" ht="13" x14ac:dyDescent="0.1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</row>
    <row r="468" spans="2:12" ht="13" x14ac:dyDescent="0.1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</row>
    <row r="469" spans="2:12" ht="13" x14ac:dyDescent="0.1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</row>
    <row r="470" spans="2:12" ht="13" x14ac:dyDescent="0.1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</row>
    <row r="471" spans="2:12" ht="13" x14ac:dyDescent="0.1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</row>
    <row r="472" spans="2:12" ht="13" x14ac:dyDescent="0.1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</row>
    <row r="473" spans="2:12" ht="13" x14ac:dyDescent="0.1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</row>
    <row r="474" spans="2:12" ht="13" x14ac:dyDescent="0.1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</row>
    <row r="475" spans="2:12" ht="13" x14ac:dyDescent="0.1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</row>
    <row r="476" spans="2:12" ht="13" x14ac:dyDescent="0.1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</row>
    <row r="477" spans="2:12" ht="13" x14ac:dyDescent="0.1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</row>
    <row r="478" spans="2:12" ht="13" x14ac:dyDescent="0.1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</row>
    <row r="479" spans="2:12" ht="13" x14ac:dyDescent="0.1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</row>
    <row r="480" spans="2:12" ht="13" x14ac:dyDescent="0.1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</row>
    <row r="481" spans="2:12" ht="13" x14ac:dyDescent="0.1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</row>
    <row r="482" spans="2:12" ht="13" x14ac:dyDescent="0.1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</row>
    <row r="483" spans="2:12" ht="13" x14ac:dyDescent="0.1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</row>
    <row r="484" spans="2:12" ht="13" x14ac:dyDescent="0.1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</row>
    <row r="485" spans="2:12" ht="13" x14ac:dyDescent="0.1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</row>
    <row r="486" spans="2:12" ht="13" x14ac:dyDescent="0.1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</row>
    <row r="487" spans="2:12" ht="13" x14ac:dyDescent="0.1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</row>
    <row r="488" spans="2:12" ht="13" x14ac:dyDescent="0.1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</row>
    <row r="489" spans="2:12" ht="13" x14ac:dyDescent="0.1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 spans="2:12" ht="13" x14ac:dyDescent="0.1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</row>
    <row r="491" spans="2:12" ht="13" x14ac:dyDescent="0.1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</row>
    <row r="492" spans="2:12" ht="13" x14ac:dyDescent="0.1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</row>
    <row r="493" spans="2:12" ht="13" x14ac:dyDescent="0.1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</row>
    <row r="494" spans="2:12" ht="13" x14ac:dyDescent="0.1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</row>
    <row r="495" spans="2:12" ht="13" x14ac:dyDescent="0.1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</row>
    <row r="496" spans="2:12" ht="13" x14ac:dyDescent="0.1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</row>
    <row r="497" spans="2:12" ht="13" x14ac:dyDescent="0.1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 spans="2:12" ht="13" x14ac:dyDescent="0.1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</row>
    <row r="499" spans="2:12" ht="13" x14ac:dyDescent="0.1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</row>
    <row r="500" spans="2:12" ht="13" x14ac:dyDescent="0.1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</row>
    <row r="501" spans="2:12" ht="13" x14ac:dyDescent="0.1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</row>
    <row r="502" spans="2:12" ht="13" x14ac:dyDescent="0.1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</row>
    <row r="503" spans="2:12" ht="13" x14ac:dyDescent="0.1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</row>
    <row r="504" spans="2:12" ht="13" x14ac:dyDescent="0.1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</row>
    <row r="505" spans="2:12" ht="13" x14ac:dyDescent="0.1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</row>
    <row r="506" spans="2:12" ht="13" x14ac:dyDescent="0.1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</row>
    <row r="507" spans="2:12" ht="13" x14ac:dyDescent="0.1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</row>
    <row r="508" spans="2:12" ht="13" x14ac:dyDescent="0.1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</row>
    <row r="509" spans="2:12" ht="13" x14ac:dyDescent="0.1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</row>
    <row r="510" spans="2:12" ht="13" x14ac:dyDescent="0.1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</row>
    <row r="511" spans="2:12" ht="13" x14ac:dyDescent="0.1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</row>
    <row r="512" spans="2:12" ht="13" x14ac:dyDescent="0.1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</row>
    <row r="513" spans="2:12" ht="13" x14ac:dyDescent="0.1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</row>
    <row r="514" spans="2:12" ht="13" x14ac:dyDescent="0.1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</row>
    <row r="515" spans="2:12" ht="13" x14ac:dyDescent="0.1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</row>
    <row r="516" spans="2:12" ht="13" x14ac:dyDescent="0.1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</row>
    <row r="517" spans="2:12" ht="13" x14ac:dyDescent="0.1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</row>
    <row r="518" spans="2:12" ht="13" x14ac:dyDescent="0.1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</row>
    <row r="519" spans="2:12" ht="13" x14ac:dyDescent="0.1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</row>
    <row r="520" spans="2:12" ht="13" x14ac:dyDescent="0.1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</row>
    <row r="521" spans="2:12" ht="13" x14ac:dyDescent="0.1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</row>
    <row r="522" spans="2:12" ht="13" x14ac:dyDescent="0.1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</row>
    <row r="523" spans="2:12" ht="13" x14ac:dyDescent="0.1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</row>
    <row r="524" spans="2:12" ht="13" x14ac:dyDescent="0.1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</row>
    <row r="525" spans="2:12" ht="13" x14ac:dyDescent="0.1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</row>
    <row r="526" spans="2:12" ht="13" x14ac:dyDescent="0.1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</row>
    <row r="527" spans="2:12" ht="13" x14ac:dyDescent="0.1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</row>
    <row r="528" spans="2:12" ht="13" x14ac:dyDescent="0.1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</row>
    <row r="529" spans="2:12" ht="13" x14ac:dyDescent="0.1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</row>
    <row r="530" spans="2:12" ht="13" x14ac:dyDescent="0.1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</row>
    <row r="531" spans="2:12" ht="13" x14ac:dyDescent="0.1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</row>
    <row r="532" spans="2:12" ht="13" x14ac:dyDescent="0.1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</row>
    <row r="533" spans="2:12" ht="13" x14ac:dyDescent="0.1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</row>
    <row r="534" spans="2:12" ht="13" x14ac:dyDescent="0.1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</row>
    <row r="535" spans="2:12" ht="13" x14ac:dyDescent="0.1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</row>
    <row r="536" spans="2:12" ht="13" x14ac:dyDescent="0.1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</row>
    <row r="537" spans="2:12" ht="13" x14ac:dyDescent="0.1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</row>
    <row r="538" spans="2:12" ht="13" x14ac:dyDescent="0.1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</row>
    <row r="539" spans="2:12" ht="13" x14ac:dyDescent="0.1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</row>
    <row r="540" spans="2:12" ht="13" x14ac:dyDescent="0.1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</row>
    <row r="541" spans="2:12" ht="13" x14ac:dyDescent="0.1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</row>
    <row r="542" spans="2:12" ht="13" x14ac:dyDescent="0.1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</row>
    <row r="543" spans="2:12" ht="13" x14ac:dyDescent="0.1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</row>
    <row r="544" spans="2:12" ht="13" x14ac:dyDescent="0.1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</row>
    <row r="545" spans="2:12" ht="13" x14ac:dyDescent="0.1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</row>
    <row r="546" spans="2:12" ht="13" x14ac:dyDescent="0.1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</row>
    <row r="547" spans="2:12" ht="13" x14ac:dyDescent="0.1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</row>
    <row r="548" spans="2:12" ht="13" x14ac:dyDescent="0.1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</row>
    <row r="549" spans="2:12" ht="13" x14ac:dyDescent="0.1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</row>
    <row r="550" spans="2:12" ht="13" x14ac:dyDescent="0.1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</row>
    <row r="551" spans="2:12" ht="13" x14ac:dyDescent="0.1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</row>
    <row r="552" spans="2:12" ht="13" x14ac:dyDescent="0.1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</row>
    <row r="553" spans="2:12" ht="13" x14ac:dyDescent="0.1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</row>
    <row r="554" spans="2:12" ht="13" x14ac:dyDescent="0.1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</row>
    <row r="555" spans="2:12" ht="13" x14ac:dyDescent="0.1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</row>
    <row r="556" spans="2:12" ht="13" x14ac:dyDescent="0.1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</row>
    <row r="557" spans="2:12" ht="13" x14ac:dyDescent="0.1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</row>
    <row r="558" spans="2:12" ht="13" x14ac:dyDescent="0.1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</row>
    <row r="559" spans="2:12" ht="13" x14ac:dyDescent="0.1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</row>
    <row r="560" spans="2:12" ht="13" x14ac:dyDescent="0.1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</row>
    <row r="561" spans="2:12" ht="13" x14ac:dyDescent="0.1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</row>
    <row r="562" spans="2:12" ht="13" x14ac:dyDescent="0.1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</row>
    <row r="563" spans="2:12" ht="13" x14ac:dyDescent="0.1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</row>
    <row r="564" spans="2:12" ht="13" x14ac:dyDescent="0.1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</row>
    <row r="565" spans="2:12" ht="13" x14ac:dyDescent="0.1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</row>
    <row r="566" spans="2:12" ht="13" x14ac:dyDescent="0.1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</row>
    <row r="567" spans="2:12" ht="13" x14ac:dyDescent="0.1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</row>
    <row r="568" spans="2:12" ht="13" x14ac:dyDescent="0.1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</row>
    <row r="569" spans="2:12" ht="13" x14ac:dyDescent="0.1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</row>
    <row r="570" spans="2:12" ht="13" x14ac:dyDescent="0.1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</row>
    <row r="571" spans="2:12" ht="13" x14ac:dyDescent="0.1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</row>
    <row r="572" spans="2:12" ht="13" x14ac:dyDescent="0.1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</row>
    <row r="573" spans="2:12" ht="13" x14ac:dyDescent="0.1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</row>
    <row r="574" spans="2:12" ht="13" x14ac:dyDescent="0.1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</row>
    <row r="575" spans="2:12" ht="13" x14ac:dyDescent="0.1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</row>
    <row r="576" spans="2:12" ht="13" x14ac:dyDescent="0.1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</row>
    <row r="577" spans="2:12" ht="13" x14ac:dyDescent="0.1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</row>
    <row r="578" spans="2:12" ht="13" x14ac:dyDescent="0.1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</row>
    <row r="579" spans="2:12" ht="13" x14ac:dyDescent="0.1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</row>
    <row r="580" spans="2:12" ht="13" x14ac:dyDescent="0.1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</row>
    <row r="581" spans="2:12" ht="13" x14ac:dyDescent="0.1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</row>
    <row r="582" spans="2:12" ht="13" x14ac:dyDescent="0.1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</row>
    <row r="583" spans="2:12" ht="13" x14ac:dyDescent="0.1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</row>
    <row r="584" spans="2:12" ht="13" x14ac:dyDescent="0.1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</row>
    <row r="585" spans="2:12" ht="13" x14ac:dyDescent="0.1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</row>
    <row r="586" spans="2:12" ht="13" x14ac:dyDescent="0.1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</row>
    <row r="587" spans="2:12" ht="13" x14ac:dyDescent="0.1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</row>
    <row r="588" spans="2:12" ht="13" x14ac:dyDescent="0.1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</row>
    <row r="589" spans="2:12" ht="13" x14ac:dyDescent="0.1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</row>
    <row r="590" spans="2:12" ht="13" x14ac:dyDescent="0.1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</row>
    <row r="591" spans="2:12" ht="13" x14ac:dyDescent="0.1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</row>
    <row r="592" spans="2:12" ht="13" x14ac:dyDescent="0.1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</row>
    <row r="593" spans="2:12" ht="13" x14ac:dyDescent="0.1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</row>
    <row r="594" spans="2:12" ht="13" x14ac:dyDescent="0.1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</row>
    <row r="595" spans="2:12" ht="13" x14ac:dyDescent="0.1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</row>
    <row r="596" spans="2:12" ht="13" x14ac:dyDescent="0.1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</row>
    <row r="597" spans="2:12" ht="13" x14ac:dyDescent="0.1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</row>
    <row r="598" spans="2:12" ht="13" x14ac:dyDescent="0.1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</row>
    <row r="599" spans="2:12" ht="13" x14ac:dyDescent="0.1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</row>
    <row r="600" spans="2:12" ht="13" x14ac:dyDescent="0.1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</row>
    <row r="601" spans="2:12" ht="13" x14ac:dyDescent="0.1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</row>
    <row r="602" spans="2:12" ht="13" x14ac:dyDescent="0.1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</row>
    <row r="603" spans="2:12" ht="13" x14ac:dyDescent="0.1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</row>
    <row r="604" spans="2:12" ht="13" x14ac:dyDescent="0.1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</row>
    <row r="605" spans="2:12" ht="13" x14ac:dyDescent="0.1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</row>
    <row r="606" spans="2:12" ht="13" x14ac:dyDescent="0.1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</row>
    <row r="607" spans="2:12" ht="13" x14ac:dyDescent="0.1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</row>
    <row r="608" spans="2:12" ht="13" x14ac:dyDescent="0.1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</row>
    <row r="609" spans="2:12" ht="13" x14ac:dyDescent="0.1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</row>
    <row r="610" spans="2:12" ht="13" x14ac:dyDescent="0.1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</row>
    <row r="611" spans="2:12" ht="13" x14ac:dyDescent="0.1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</row>
    <row r="612" spans="2:12" ht="13" x14ac:dyDescent="0.1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</row>
    <row r="613" spans="2:12" ht="13" x14ac:dyDescent="0.1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</row>
    <row r="614" spans="2:12" ht="13" x14ac:dyDescent="0.1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</row>
    <row r="615" spans="2:12" ht="13" x14ac:dyDescent="0.1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</row>
    <row r="616" spans="2:12" ht="13" x14ac:dyDescent="0.1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</row>
    <row r="617" spans="2:12" ht="13" x14ac:dyDescent="0.1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</row>
    <row r="618" spans="2:12" ht="13" x14ac:dyDescent="0.1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</row>
    <row r="619" spans="2:12" ht="13" x14ac:dyDescent="0.1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</row>
    <row r="620" spans="2:12" ht="13" x14ac:dyDescent="0.1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</row>
    <row r="621" spans="2:12" ht="13" x14ac:dyDescent="0.1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</row>
    <row r="622" spans="2:12" ht="13" x14ac:dyDescent="0.1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</row>
    <row r="623" spans="2:12" ht="13" x14ac:dyDescent="0.1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</row>
    <row r="624" spans="2:12" ht="13" x14ac:dyDescent="0.1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</row>
    <row r="625" spans="2:12" ht="13" x14ac:dyDescent="0.1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</row>
    <row r="626" spans="2:12" ht="13" x14ac:dyDescent="0.1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</row>
    <row r="627" spans="2:12" ht="13" x14ac:dyDescent="0.1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</row>
    <row r="628" spans="2:12" ht="13" x14ac:dyDescent="0.1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</row>
    <row r="629" spans="2:12" ht="13" x14ac:dyDescent="0.1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</row>
    <row r="630" spans="2:12" ht="13" x14ac:dyDescent="0.1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</row>
    <row r="631" spans="2:12" ht="13" x14ac:dyDescent="0.1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</row>
    <row r="632" spans="2:12" ht="13" x14ac:dyDescent="0.1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</row>
    <row r="633" spans="2:12" ht="13" x14ac:dyDescent="0.1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</row>
    <row r="634" spans="2:12" ht="13" x14ac:dyDescent="0.1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</row>
    <row r="635" spans="2:12" ht="13" x14ac:dyDescent="0.1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</row>
    <row r="636" spans="2:12" ht="13" x14ac:dyDescent="0.1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</row>
    <row r="637" spans="2:12" ht="13" x14ac:dyDescent="0.1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</row>
    <row r="638" spans="2:12" ht="13" x14ac:dyDescent="0.1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</row>
    <row r="639" spans="2:12" ht="13" x14ac:dyDescent="0.1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</row>
    <row r="640" spans="2:12" ht="13" x14ac:dyDescent="0.1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</row>
    <row r="641" spans="2:12" ht="13" x14ac:dyDescent="0.1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</row>
    <row r="642" spans="2:12" ht="13" x14ac:dyDescent="0.1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</row>
    <row r="643" spans="2:12" ht="13" x14ac:dyDescent="0.1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</row>
    <row r="644" spans="2:12" ht="13" x14ac:dyDescent="0.1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</row>
    <row r="645" spans="2:12" ht="13" x14ac:dyDescent="0.1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</row>
    <row r="646" spans="2:12" ht="13" x14ac:dyDescent="0.1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</row>
    <row r="647" spans="2:12" ht="13" x14ac:dyDescent="0.1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</row>
    <row r="648" spans="2:12" ht="13" x14ac:dyDescent="0.1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</row>
    <row r="649" spans="2:12" ht="13" x14ac:dyDescent="0.1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</row>
    <row r="650" spans="2:12" ht="13" x14ac:dyDescent="0.1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</row>
    <row r="651" spans="2:12" ht="13" x14ac:dyDescent="0.1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</row>
    <row r="652" spans="2:12" ht="13" x14ac:dyDescent="0.1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</row>
    <row r="653" spans="2:12" ht="13" x14ac:dyDescent="0.1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</row>
    <row r="654" spans="2:12" ht="13" x14ac:dyDescent="0.1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</row>
    <row r="655" spans="2:12" ht="13" x14ac:dyDescent="0.1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</row>
    <row r="656" spans="2:12" ht="13" x14ac:dyDescent="0.1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</row>
    <row r="657" spans="2:12" ht="13" x14ac:dyDescent="0.1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</row>
    <row r="658" spans="2:12" ht="13" x14ac:dyDescent="0.1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</row>
    <row r="659" spans="2:12" ht="13" x14ac:dyDescent="0.1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</row>
    <row r="660" spans="2:12" ht="13" x14ac:dyDescent="0.1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</row>
    <row r="661" spans="2:12" ht="13" x14ac:dyDescent="0.1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</row>
    <row r="662" spans="2:12" ht="13" x14ac:dyDescent="0.1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</row>
    <row r="663" spans="2:12" ht="13" x14ac:dyDescent="0.1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</row>
    <row r="664" spans="2:12" ht="13" x14ac:dyDescent="0.1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</row>
    <row r="665" spans="2:12" ht="13" x14ac:dyDescent="0.1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</row>
    <row r="666" spans="2:12" ht="13" x14ac:dyDescent="0.1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</row>
    <row r="667" spans="2:12" ht="13" x14ac:dyDescent="0.1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</row>
    <row r="668" spans="2:12" ht="13" x14ac:dyDescent="0.1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</row>
    <row r="669" spans="2:12" ht="13" x14ac:dyDescent="0.1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</row>
    <row r="670" spans="2:12" ht="13" x14ac:dyDescent="0.1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</row>
    <row r="671" spans="2:12" ht="13" x14ac:dyDescent="0.1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</row>
    <row r="672" spans="2:12" ht="13" x14ac:dyDescent="0.1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</row>
    <row r="673" spans="2:12" ht="13" x14ac:dyDescent="0.1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</row>
    <row r="674" spans="2:12" ht="13" x14ac:dyDescent="0.1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</row>
    <row r="675" spans="2:12" ht="13" x14ac:dyDescent="0.1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</row>
    <row r="676" spans="2:12" ht="13" x14ac:dyDescent="0.1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</row>
    <row r="677" spans="2:12" ht="13" x14ac:dyDescent="0.1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</row>
    <row r="678" spans="2:12" ht="13" x14ac:dyDescent="0.1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</row>
    <row r="679" spans="2:12" ht="13" x14ac:dyDescent="0.1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</row>
    <row r="680" spans="2:12" ht="13" x14ac:dyDescent="0.1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</row>
    <row r="681" spans="2:12" ht="13" x14ac:dyDescent="0.1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</row>
    <row r="682" spans="2:12" ht="13" x14ac:dyDescent="0.1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</row>
    <row r="683" spans="2:12" ht="13" x14ac:dyDescent="0.1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</row>
    <row r="684" spans="2:12" ht="13" x14ac:dyDescent="0.1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</row>
    <row r="685" spans="2:12" ht="13" x14ac:dyDescent="0.1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</row>
    <row r="686" spans="2:12" ht="13" x14ac:dyDescent="0.1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</row>
    <row r="687" spans="2:12" ht="13" x14ac:dyDescent="0.1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</row>
    <row r="688" spans="2:12" ht="13" x14ac:dyDescent="0.1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</row>
    <row r="689" spans="2:12" ht="13" x14ac:dyDescent="0.1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</row>
    <row r="690" spans="2:12" ht="13" x14ac:dyDescent="0.1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</row>
    <row r="691" spans="2:12" ht="13" x14ac:dyDescent="0.1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</row>
    <row r="692" spans="2:12" ht="13" x14ac:dyDescent="0.1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</row>
    <row r="693" spans="2:12" ht="13" x14ac:dyDescent="0.1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</row>
    <row r="694" spans="2:12" ht="13" x14ac:dyDescent="0.1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</row>
    <row r="695" spans="2:12" ht="13" x14ac:dyDescent="0.1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</row>
    <row r="696" spans="2:12" ht="13" x14ac:dyDescent="0.1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</row>
    <row r="697" spans="2:12" ht="13" x14ac:dyDescent="0.1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</row>
    <row r="698" spans="2:12" ht="13" x14ac:dyDescent="0.1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</row>
    <row r="699" spans="2:12" ht="13" x14ac:dyDescent="0.1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</row>
    <row r="700" spans="2:12" ht="13" x14ac:dyDescent="0.1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</row>
    <row r="701" spans="2:12" ht="13" x14ac:dyDescent="0.1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</row>
    <row r="702" spans="2:12" ht="13" x14ac:dyDescent="0.1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</row>
    <row r="703" spans="2:12" ht="13" x14ac:dyDescent="0.1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</row>
    <row r="704" spans="2:12" ht="13" x14ac:dyDescent="0.1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</row>
    <row r="705" spans="2:12" ht="13" x14ac:dyDescent="0.1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</row>
    <row r="706" spans="2:12" ht="13" x14ac:dyDescent="0.1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</row>
    <row r="707" spans="2:12" ht="13" x14ac:dyDescent="0.1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</row>
    <row r="708" spans="2:12" ht="13" x14ac:dyDescent="0.1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</row>
    <row r="709" spans="2:12" ht="13" x14ac:dyDescent="0.1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</row>
    <row r="710" spans="2:12" ht="13" x14ac:dyDescent="0.1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</row>
    <row r="711" spans="2:12" ht="13" x14ac:dyDescent="0.1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</row>
    <row r="712" spans="2:12" ht="13" x14ac:dyDescent="0.1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</row>
    <row r="713" spans="2:12" ht="13" x14ac:dyDescent="0.1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</row>
    <row r="714" spans="2:12" ht="13" x14ac:dyDescent="0.1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</row>
    <row r="715" spans="2:12" ht="13" x14ac:dyDescent="0.1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</row>
    <row r="716" spans="2:12" ht="13" x14ac:dyDescent="0.1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</row>
    <row r="717" spans="2:12" ht="13" x14ac:dyDescent="0.1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</row>
    <row r="718" spans="2:12" ht="13" x14ac:dyDescent="0.1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</row>
    <row r="719" spans="2:12" ht="13" x14ac:dyDescent="0.1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</row>
    <row r="720" spans="2:12" ht="13" x14ac:dyDescent="0.1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</row>
    <row r="721" spans="2:12" ht="13" x14ac:dyDescent="0.1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</row>
    <row r="722" spans="2:12" ht="13" x14ac:dyDescent="0.1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</row>
    <row r="723" spans="2:12" ht="13" x14ac:dyDescent="0.1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</row>
    <row r="724" spans="2:12" ht="13" x14ac:dyDescent="0.1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</row>
    <row r="725" spans="2:12" ht="13" x14ac:dyDescent="0.1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</row>
    <row r="726" spans="2:12" ht="13" x14ac:dyDescent="0.1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</row>
    <row r="727" spans="2:12" ht="13" x14ac:dyDescent="0.1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</row>
    <row r="728" spans="2:12" ht="13" x14ac:dyDescent="0.1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</row>
    <row r="729" spans="2:12" ht="13" x14ac:dyDescent="0.1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</row>
    <row r="730" spans="2:12" ht="13" x14ac:dyDescent="0.1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</row>
    <row r="731" spans="2:12" ht="13" x14ac:dyDescent="0.1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</row>
    <row r="732" spans="2:12" ht="13" x14ac:dyDescent="0.1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</row>
    <row r="733" spans="2:12" ht="13" x14ac:dyDescent="0.1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</row>
    <row r="734" spans="2:12" ht="13" x14ac:dyDescent="0.1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</row>
    <row r="735" spans="2:12" ht="13" x14ac:dyDescent="0.1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</row>
    <row r="736" spans="2:12" ht="13" x14ac:dyDescent="0.1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</row>
    <row r="737" spans="2:12" ht="13" x14ac:dyDescent="0.1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</row>
    <row r="738" spans="2:12" ht="13" x14ac:dyDescent="0.1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</row>
    <row r="739" spans="2:12" ht="13" x14ac:dyDescent="0.1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</row>
    <row r="740" spans="2:12" ht="13" x14ac:dyDescent="0.1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</row>
    <row r="741" spans="2:12" ht="13" x14ac:dyDescent="0.1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</row>
    <row r="742" spans="2:12" ht="13" x14ac:dyDescent="0.1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</row>
    <row r="743" spans="2:12" ht="13" x14ac:dyDescent="0.1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</row>
    <row r="744" spans="2:12" ht="13" x14ac:dyDescent="0.1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</row>
    <row r="745" spans="2:12" ht="13" x14ac:dyDescent="0.1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</row>
    <row r="746" spans="2:12" ht="13" x14ac:dyDescent="0.1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</row>
    <row r="747" spans="2:12" ht="13" x14ac:dyDescent="0.1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</row>
    <row r="748" spans="2:12" ht="13" x14ac:dyDescent="0.1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</row>
    <row r="749" spans="2:12" ht="13" x14ac:dyDescent="0.1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</row>
    <row r="750" spans="2:12" ht="13" x14ac:dyDescent="0.1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</row>
    <row r="751" spans="2:12" ht="13" x14ac:dyDescent="0.1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</row>
    <row r="752" spans="2:12" ht="13" x14ac:dyDescent="0.1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</row>
    <row r="753" spans="2:12" ht="13" x14ac:dyDescent="0.1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</row>
    <row r="754" spans="2:12" ht="13" x14ac:dyDescent="0.1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</row>
    <row r="755" spans="2:12" ht="13" x14ac:dyDescent="0.1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</row>
    <row r="756" spans="2:12" ht="13" x14ac:dyDescent="0.1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</row>
    <row r="757" spans="2:12" ht="13" x14ac:dyDescent="0.1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</row>
    <row r="758" spans="2:12" ht="13" x14ac:dyDescent="0.1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</row>
    <row r="759" spans="2:12" ht="13" x14ac:dyDescent="0.1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</row>
    <row r="760" spans="2:12" ht="13" x14ac:dyDescent="0.1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</row>
    <row r="761" spans="2:12" ht="13" x14ac:dyDescent="0.1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</row>
    <row r="762" spans="2:12" ht="13" x14ac:dyDescent="0.1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</row>
    <row r="763" spans="2:12" ht="13" x14ac:dyDescent="0.1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</row>
    <row r="764" spans="2:12" ht="13" x14ac:dyDescent="0.1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</row>
    <row r="765" spans="2:12" ht="13" x14ac:dyDescent="0.1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</row>
    <row r="766" spans="2:12" ht="13" x14ac:dyDescent="0.1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</row>
    <row r="767" spans="2:12" ht="13" x14ac:dyDescent="0.1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</row>
    <row r="768" spans="2:12" ht="13" x14ac:dyDescent="0.1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</row>
    <row r="769" spans="2:12" ht="13" x14ac:dyDescent="0.1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</row>
    <row r="770" spans="2:12" ht="13" x14ac:dyDescent="0.1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</row>
    <row r="771" spans="2:12" ht="13" x14ac:dyDescent="0.1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</row>
    <row r="772" spans="2:12" ht="13" x14ac:dyDescent="0.1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</row>
    <row r="773" spans="2:12" ht="13" x14ac:dyDescent="0.1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</row>
    <row r="774" spans="2:12" ht="13" x14ac:dyDescent="0.1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</row>
    <row r="775" spans="2:12" ht="13" x14ac:dyDescent="0.1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</row>
    <row r="776" spans="2:12" ht="13" x14ac:dyDescent="0.1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</row>
    <row r="777" spans="2:12" ht="13" x14ac:dyDescent="0.1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</row>
    <row r="778" spans="2:12" ht="13" x14ac:dyDescent="0.1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</row>
    <row r="779" spans="2:12" ht="13" x14ac:dyDescent="0.1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</row>
    <row r="780" spans="2:12" ht="13" x14ac:dyDescent="0.1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</row>
    <row r="781" spans="2:12" ht="13" x14ac:dyDescent="0.1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</row>
    <row r="782" spans="2:12" ht="13" x14ac:dyDescent="0.1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</row>
    <row r="783" spans="2:12" ht="13" x14ac:dyDescent="0.1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</row>
    <row r="784" spans="2:12" ht="13" x14ac:dyDescent="0.1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</row>
    <row r="785" spans="2:12" ht="13" x14ac:dyDescent="0.1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</row>
    <row r="786" spans="2:12" ht="13" x14ac:dyDescent="0.1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</row>
    <row r="787" spans="2:12" ht="13" x14ac:dyDescent="0.1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</row>
    <row r="788" spans="2:12" ht="13" x14ac:dyDescent="0.1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</row>
    <row r="789" spans="2:12" ht="13" x14ac:dyDescent="0.1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</row>
    <row r="790" spans="2:12" ht="13" x14ac:dyDescent="0.1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</row>
    <row r="791" spans="2:12" ht="13" x14ac:dyDescent="0.1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</row>
    <row r="792" spans="2:12" ht="13" x14ac:dyDescent="0.1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</row>
    <row r="793" spans="2:12" ht="13" x14ac:dyDescent="0.1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</row>
    <row r="794" spans="2:12" ht="13" x14ac:dyDescent="0.1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</row>
    <row r="795" spans="2:12" ht="13" x14ac:dyDescent="0.1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</row>
    <row r="796" spans="2:12" ht="13" x14ac:dyDescent="0.1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</row>
    <row r="797" spans="2:12" ht="13" x14ac:dyDescent="0.1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</row>
    <row r="798" spans="2:12" ht="13" x14ac:dyDescent="0.1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</row>
    <row r="799" spans="2:12" ht="13" x14ac:dyDescent="0.1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</row>
    <row r="800" spans="2:12" ht="13" x14ac:dyDescent="0.1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</row>
    <row r="801" spans="2:12" ht="13" x14ac:dyDescent="0.1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</row>
    <row r="802" spans="2:12" ht="13" x14ac:dyDescent="0.1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</row>
    <row r="803" spans="2:12" ht="13" x14ac:dyDescent="0.1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</row>
    <row r="804" spans="2:12" ht="13" x14ac:dyDescent="0.1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</row>
    <row r="805" spans="2:12" ht="13" x14ac:dyDescent="0.1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</row>
    <row r="806" spans="2:12" ht="13" x14ac:dyDescent="0.1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</row>
    <row r="807" spans="2:12" ht="13" x14ac:dyDescent="0.1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</row>
    <row r="808" spans="2:12" ht="13" x14ac:dyDescent="0.1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</row>
    <row r="809" spans="2:12" ht="13" x14ac:dyDescent="0.1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</row>
    <row r="810" spans="2:12" ht="13" x14ac:dyDescent="0.1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</row>
    <row r="811" spans="2:12" ht="13" x14ac:dyDescent="0.1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</row>
    <row r="812" spans="2:12" ht="13" x14ac:dyDescent="0.1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</row>
    <row r="813" spans="2:12" ht="13" x14ac:dyDescent="0.1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</row>
    <row r="814" spans="2:12" ht="13" x14ac:dyDescent="0.1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</row>
    <row r="815" spans="2:12" ht="13" x14ac:dyDescent="0.1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</row>
    <row r="816" spans="2:12" ht="13" x14ac:dyDescent="0.1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</row>
    <row r="817" spans="2:12" ht="13" x14ac:dyDescent="0.1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</row>
    <row r="818" spans="2:12" ht="13" x14ac:dyDescent="0.1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</row>
    <row r="819" spans="2:12" ht="13" x14ac:dyDescent="0.1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</row>
    <row r="820" spans="2:12" ht="13" x14ac:dyDescent="0.1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</row>
    <row r="821" spans="2:12" ht="13" x14ac:dyDescent="0.1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</row>
    <row r="822" spans="2:12" ht="13" x14ac:dyDescent="0.1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</row>
    <row r="823" spans="2:12" ht="13" x14ac:dyDescent="0.1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</row>
    <row r="824" spans="2:12" ht="13" x14ac:dyDescent="0.1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</row>
    <row r="825" spans="2:12" ht="13" x14ac:dyDescent="0.1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</row>
    <row r="826" spans="2:12" ht="13" x14ac:dyDescent="0.1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</row>
    <row r="827" spans="2:12" ht="13" x14ac:dyDescent="0.1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</row>
    <row r="828" spans="2:12" ht="13" x14ac:dyDescent="0.1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</row>
    <row r="829" spans="2:12" ht="13" x14ac:dyDescent="0.1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</row>
    <row r="830" spans="2:12" ht="13" x14ac:dyDescent="0.1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</row>
    <row r="831" spans="2:12" ht="13" x14ac:dyDescent="0.1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</row>
    <row r="832" spans="2:12" ht="13" x14ac:dyDescent="0.1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</row>
    <row r="833" spans="2:12" ht="13" x14ac:dyDescent="0.1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</row>
    <row r="834" spans="2:12" ht="13" x14ac:dyDescent="0.1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</row>
    <row r="835" spans="2:12" ht="13" x14ac:dyDescent="0.1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</row>
    <row r="836" spans="2:12" ht="13" x14ac:dyDescent="0.1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</row>
    <row r="837" spans="2:12" ht="13" x14ac:dyDescent="0.1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</row>
    <row r="838" spans="2:12" ht="13" x14ac:dyDescent="0.1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</row>
    <row r="839" spans="2:12" ht="13" x14ac:dyDescent="0.1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</row>
    <row r="840" spans="2:12" ht="13" x14ac:dyDescent="0.1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</row>
    <row r="841" spans="2:12" ht="13" x14ac:dyDescent="0.1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</row>
    <row r="842" spans="2:12" ht="13" x14ac:dyDescent="0.1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</row>
    <row r="843" spans="2:12" ht="13" x14ac:dyDescent="0.1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</row>
    <row r="844" spans="2:12" ht="13" x14ac:dyDescent="0.1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</row>
    <row r="845" spans="2:12" ht="13" x14ac:dyDescent="0.1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</row>
    <row r="846" spans="2:12" ht="13" x14ac:dyDescent="0.1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</row>
    <row r="847" spans="2:12" ht="13" x14ac:dyDescent="0.1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</row>
    <row r="848" spans="2:12" ht="13" x14ac:dyDescent="0.1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</row>
    <row r="849" spans="2:12" ht="13" x14ac:dyDescent="0.1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</row>
    <row r="850" spans="2:12" ht="13" x14ac:dyDescent="0.1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</row>
    <row r="851" spans="2:12" ht="13" x14ac:dyDescent="0.1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</row>
    <row r="852" spans="2:12" ht="13" x14ac:dyDescent="0.1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</row>
    <row r="853" spans="2:12" ht="13" x14ac:dyDescent="0.1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</row>
    <row r="854" spans="2:12" ht="13" x14ac:dyDescent="0.1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</row>
    <row r="855" spans="2:12" ht="13" x14ac:dyDescent="0.1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</row>
    <row r="856" spans="2:12" ht="13" x14ac:dyDescent="0.1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</row>
    <row r="857" spans="2:12" ht="13" x14ac:dyDescent="0.1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</row>
    <row r="858" spans="2:12" ht="13" x14ac:dyDescent="0.1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</row>
    <row r="859" spans="2:12" ht="13" x14ac:dyDescent="0.1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</row>
    <row r="860" spans="2:12" ht="13" x14ac:dyDescent="0.1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</row>
    <row r="861" spans="2:12" ht="13" x14ac:dyDescent="0.1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spans="2:12" ht="13" x14ac:dyDescent="0.1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</row>
    <row r="863" spans="2:12" ht="13" x14ac:dyDescent="0.1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</row>
    <row r="864" spans="2:12" ht="13" x14ac:dyDescent="0.1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</row>
    <row r="865" spans="2:12" ht="13" x14ac:dyDescent="0.1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</row>
    <row r="866" spans="2:12" ht="13" x14ac:dyDescent="0.1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</row>
    <row r="867" spans="2:12" ht="13" x14ac:dyDescent="0.1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</row>
    <row r="868" spans="2:12" ht="13" x14ac:dyDescent="0.1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</row>
    <row r="869" spans="2:12" ht="13" x14ac:dyDescent="0.1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</row>
    <row r="870" spans="2:12" ht="13" x14ac:dyDescent="0.1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</row>
    <row r="871" spans="2:12" ht="13" x14ac:dyDescent="0.1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</row>
    <row r="872" spans="2:12" ht="13" x14ac:dyDescent="0.1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</row>
    <row r="873" spans="2:12" ht="13" x14ac:dyDescent="0.1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</row>
    <row r="874" spans="2:12" ht="13" x14ac:dyDescent="0.1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</row>
    <row r="875" spans="2:12" ht="13" x14ac:dyDescent="0.1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</row>
    <row r="876" spans="2:12" ht="13" x14ac:dyDescent="0.1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</row>
    <row r="877" spans="2:12" ht="13" x14ac:dyDescent="0.1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</row>
    <row r="878" spans="2:12" ht="13" x14ac:dyDescent="0.1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</row>
    <row r="879" spans="2:12" ht="13" x14ac:dyDescent="0.1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</row>
    <row r="880" spans="2:12" ht="13" x14ac:dyDescent="0.1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</row>
    <row r="881" spans="2:12" ht="13" x14ac:dyDescent="0.1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</row>
    <row r="882" spans="2:12" ht="13" x14ac:dyDescent="0.1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</row>
    <row r="883" spans="2:12" ht="13" x14ac:dyDescent="0.1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</row>
    <row r="884" spans="2:12" ht="13" x14ac:dyDescent="0.1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</row>
    <row r="885" spans="2:12" ht="13" x14ac:dyDescent="0.1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</row>
    <row r="886" spans="2:12" ht="13" x14ac:dyDescent="0.1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</row>
    <row r="887" spans="2:12" ht="13" x14ac:dyDescent="0.1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</row>
    <row r="888" spans="2:12" ht="13" x14ac:dyDescent="0.1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</row>
    <row r="889" spans="2:12" ht="13" x14ac:dyDescent="0.1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</row>
    <row r="890" spans="2:12" ht="13" x14ac:dyDescent="0.1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</row>
    <row r="891" spans="2:12" ht="13" x14ac:dyDescent="0.1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</row>
    <row r="892" spans="2:12" ht="13" x14ac:dyDescent="0.1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</row>
    <row r="893" spans="2:12" ht="13" x14ac:dyDescent="0.1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</row>
    <row r="894" spans="2:12" ht="13" x14ac:dyDescent="0.1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</row>
    <row r="895" spans="2:12" ht="13" x14ac:dyDescent="0.1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</row>
    <row r="896" spans="2:12" ht="13" x14ac:dyDescent="0.1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</row>
    <row r="897" spans="2:12" ht="13" x14ac:dyDescent="0.1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</row>
    <row r="898" spans="2:12" ht="13" x14ac:dyDescent="0.1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</row>
    <row r="899" spans="2:12" ht="13" x14ac:dyDescent="0.1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</row>
    <row r="900" spans="2:12" ht="13" x14ac:dyDescent="0.1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</row>
    <row r="901" spans="2:12" ht="13" x14ac:dyDescent="0.1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</row>
    <row r="902" spans="2:12" ht="13" x14ac:dyDescent="0.1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</row>
    <row r="903" spans="2:12" ht="13" x14ac:dyDescent="0.1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</row>
    <row r="904" spans="2:12" ht="13" x14ac:dyDescent="0.1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</row>
    <row r="905" spans="2:12" ht="13" x14ac:dyDescent="0.1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</row>
    <row r="906" spans="2:12" ht="13" x14ac:dyDescent="0.1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</row>
    <row r="907" spans="2:12" ht="13" x14ac:dyDescent="0.1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</row>
    <row r="908" spans="2:12" ht="13" x14ac:dyDescent="0.1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</row>
    <row r="909" spans="2:12" ht="13" x14ac:dyDescent="0.1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</row>
    <row r="910" spans="2:12" ht="13" x14ac:dyDescent="0.1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</row>
    <row r="911" spans="2:12" ht="13" x14ac:dyDescent="0.1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</row>
    <row r="912" spans="2:12" ht="13" x14ac:dyDescent="0.1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</row>
    <row r="913" spans="2:12" ht="13" x14ac:dyDescent="0.1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</row>
    <row r="914" spans="2:12" ht="13" x14ac:dyDescent="0.1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</row>
    <row r="915" spans="2:12" ht="13" x14ac:dyDescent="0.1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</row>
    <row r="916" spans="2:12" ht="13" x14ac:dyDescent="0.1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</row>
    <row r="917" spans="2:12" ht="13" x14ac:dyDescent="0.1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</row>
    <row r="918" spans="2:12" ht="13" x14ac:dyDescent="0.1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</row>
    <row r="919" spans="2:12" ht="13" x14ac:dyDescent="0.1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</row>
    <row r="920" spans="2:12" ht="13" x14ac:dyDescent="0.1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</row>
    <row r="921" spans="2:12" ht="13" x14ac:dyDescent="0.1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</row>
    <row r="922" spans="2:12" ht="13" x14ac:dyDescent="0.1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</row>
    <row r="923" spans="2:12" ht="13" x14ac:dyDescent="0.1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</row>
    <row r="924" spans="2:12" ht="13" x14ac:dyDescent="0.1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</row>
    <row r="925" spans="2:12" ht="13" x14ac:dyDescent="0.1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</row>
    <row r="926" spans="2:12" ht="13" x14ac:dyDescent="0.1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</row>
    <row r="927" spans="2:12" ht="13" x14ac:dyDescent="0.1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</row>
    <row r="928" spans="2:12" ht="13" x14ac:dyDescent="0.1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</row>
    <row r="929" spans="2:12" ht="13" x14ac:dyDescent="0.1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</row>
    <row r="930" spans="2:12" ht="13" x14ac:dyDescent="0.1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</row>
    <row r="931" spans="2:12" ht="13" x14ac:dyDescent="0.1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</row>
    <row r="932" spans="2:12" ht="13" x14ac:dyDescent="0.1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</row>
    <row r="933" spans="2:12" ht="13" x14ac:dyDescent="0.1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</row>
    <row r="934" spans="2:12" ht="13" x14ac:dyDescent="0.1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</row>
    <row r="935" spans="2:12" ht="13" x14ac:dyDescent="0.1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</row>
    <row r="936" spans="2:12" ht="13" x14ac:dyDescent="0.1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</row>
    <row r="937" spans="2:12" ht="13" x14ac:dyDescent="0.1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</row>
    <row r="938" spans="2:12" ht="13" x14ac:dyDescent="0.1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</row>
    <row r="939" spans="2:12" ht="13" x14ac:dyDescent="0.1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</row>
    <row r="940" spans="2:12" ht="13" x14ac:dyDescent="0.1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</row>
    <row r="941" spans="2:12" ht="13" x14ac:dyDescent="0.1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</row>
    <row r="942" spans="2:12" ht="13" x14ac:dyDescent="0.1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</row>
    <row r="943" spans="2:12" ht="13" x14ac:dyDescent="0.1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</row>
    <row r="944" spans="2:12" ht="13" x14ac:dyDescent="0.1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</row>
    <row r="945" spans="2:12" ht="13" x14ac:dyDescent="0.1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</row>
    <row r="946" spans="2:12" ht="13" x14ac:dyDescent="0.1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 spans="2:12" ht="13" x14ac:dyDescent="0.1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</row>
    <row r="948" spans="2:12" ht="13" x14ac:dyDescent="0.1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</row>
    <row r="949" spans="2:12" ht="13" x14ac:dyDescent="0.1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 spans="2:12" ht="13" x14ac:dyDescent="0.1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 spans="2:12" ht="13" x14ac:dyDescent="0.1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 spans="2:12" ht="13" x14ac:dyDescent="0.1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 spans="2:12" ht="13" x14ac:dyDescent="0.1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spans="2:12" ht="13" x14ac:dyDescent="0.1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spans="2:12" ht="13" x14ac:dyDescent="0.1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 spans="2:12" ht="13" x14ac:dyDescent="0.1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 spans="2:12" ht="13" x14ac:dyDescent="0.1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 spans="2:12" ht="13" x14ac:dyDescent="0.1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 spans="2:12" ht="13" x14ac:dyDescent="0.1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 spans="2:12" ht="13" x14ac:dyDescent="0.1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 spans="2:12" ht="13" x14ac:dyDescent="0.1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 spans="2:12" ht="13" x14ac:dyDescent="0.1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 spans="2:12" ht="13" x14ac:dyDescent="0.1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 spans="2:12" ht="13" x14ac:dyDescent="0.1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 spans="2:12" ht="13" x14ac:dyDescent="0.1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 spans="2:12" ht="13" x14ac:dyDescent="0.1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 spans="2:12" ht="13" x14ac:dyDescent="0.1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 spans="2:12" ht="13" x14ac:dyDescent="0.1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 spans="2:12" ht="13" x14ac:dyDescent="0.1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 spans="2:12" ht="13" x14ac:dyDescent="0.1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 spans="2:12" ht="13" x14ac:dyDescent="0.1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 spans="2:12" ht="13" x14ac:dyDescent="0.1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 spans="2:12" ht="13" x14ac:dyDescent="0.1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 spans="2:12" ht="13" x14ac:dyDescent="0.1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 spans="2:12" ht="13" x14ac:dyDescent="0.1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 spans="2:12" ht="13" x14ac:dyDescent="0.1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 spans="2:12" ht="13" x14ac:dyDescent="0.1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</row>
    <row r="978" spans="2:12" ht="13" x14ac:dyDescent="0.1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</row>
    <row r="979" spans="2:12" ht="13" x14ac:dyDescent="0.1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</row>
    <row r="980" spans="2:12" ht="13" x14ac:dyDescent="0.1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</row>
    <row r="981" spans="2:12" ht="13" x14ac:dyDescent="0.1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</row>
    <row r="982" spans="2:12" ht="13" x14ac:dyDescent="0.1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</row>
    <row r="983" spans="2:12" ht="13" x14ac:dyDescent="0.1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</row>
    <row r="984" spans="2:12" ht="13" x14ac:dyDescent="0.1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</row>
    <row r="985" spans="2:12" ht="13" x14ac:dyDescent="0.1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</row>
    <row r="986" spans="2:12" ht="13" x14ac:dyDescent="0.1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</row>
    <row r="987" spans="2:12" ht="13" x14ac:dyDescent="0.1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</row>
    <row r="988" spans="2:12" ht="13" x14ac:dyDescent="0.1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</row>
    <row r="989" spans="2:12" ht="13" x14ac:dyDescent="0.1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</row>
    <row r="990" spans="2:12" ht="13" x14ac:dyDescent="0.1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</row>
    <row r="991" spans="2:12" ht="13" x14ac:dyDescent="0.1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</row>
    <row r="992" spans="2:12" ht="13" x14ac:dyDescent="0.1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</row>
    <row r="993" spans="2:12" ht="13" x14ac:dyDescent="0.1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</row>
    <row r="994" spans="2:12" ht="13" x14ac:dyDescent="0.1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</row>
    <row r="995" spans="2:12" ht="13" x14ac:dyDescent="0.1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</row>
    <row r="996" spans="2:12" ht="13" x14ac:dyDescent="0.1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</row>
    <row r="997" spans="2:12" ht="13" x14ac:dyDescent="0.1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</row>
    <row r="998" spans="2:12" ht="13" x14ac:dyDescent="0.1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</row>
    <row r="999" spans="2:12" ht="13" x14ac:dyDescent="0.1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</row>
    <row r="1000" spans="2:12" ht="13" x14ac:dyDescent="0.1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5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2" width="22.6640625" customWidth="1"/>
    <col min="3" max="4" width="22.6640625" hidden="1" customWidth="1"/>
    <col min="5" max="5" width="22.6640625" customWidth="1"/>
  </cols>
  <sheetData>
    <row r="1" spans="1:5" ht="22.5" customHeight="1" x14ac:dyDescent="0.15">
      <c r="A1" s="17" t="s">
        <v>275</v>
      </c>
      <c r="B1" s="17" t="s">
        <v>1</v>
      </c>
      <c r="C1" s="17" t="s">
        <v>276</v>
      </c>
      <c r="D1" s="17" t="s">
        <v>277</v>
      </c>
      <c r="E1" s="17" t="s">
        <v>278</v>
      </c>
    </row>
    <row r="2" spans="1:5" ht="22.5" customHeight="1" x14ac:dyDescent="0.15">
      <c r="A2" s="8" t="s">
        <v>15</v>
      </c>
      <c r="B2" s="9" t="s">
        <v>16</v>
      </c>
      <c r="C2" s="9" t="s">
        <v>20</v>
      </c>
      <c r="D2" s="9" t="s">
        <v>21</v>
      </c>
      <c r="E2" s="9">
        <v>19.5</v>
      </c>
    </row>
    <row r="3" spans="1:5" ht="22.5" customHeight="1" x14ac:dyDescent="0.15">
      <c r="A3" s="8" t="s">
        <v>23</v>
      </c>
      <c r="B3" s="9" t="s">
        <v>24</v>
      </c>
      <c r="C3" s="9" t="s">
        <v>28</v>
      </c>
      <c r="D3" s="9" t="s">
        <v>29</v>
      </c>
      <c r="E3" s="9">
        <v>16</v>
      </c>
    </row>
    <row r="4" spans="1:5" ht="22.5" customHeight="1" x14ac:dyDescent="0.15">
      <c r="A4" s="8" t="s">
        <v>31</v>
      </c>
      <c r="B4" s="9" t="s">
        <v>24</v>
      </c>
      <c r="C4" s="9" t="s">
        <v>35</v>
      </c>
      <c r="D4" s="9" t="s">
        <v>36</v>
      </c>
      <c r="E4" s="9">
        <v>15</v>
      </c>
    </row>
    <row r="5" spans="1:5" ht="22.5" customHeight="1" x14ac:dyDescent="0.15">
      <c r="A5" s="8" t="s">
        <v>38</v>
      </c>
      <c r="B5" s="9" t="s">
        <v>24</v>
      </c>
      <c r="C5" s="9" t="s">
        <v>40</v>
      </c>
      <c r="D5" s="9" t="s">
        <v>36</v>
      </c>
      <c r="E5" s="9">
        <v>16.5</v>
      </c>
    </row>
    <row r="6" spans="1:5" ht="22.5" customHeight="1" x14ac:dyDescent="0.15">
      <c r="A6" s="8" t="s">
        <v>42</v>
      </c>
      <c r="B6" s="9" t="s">
        <v>16</v>
      </c>
      <c r="C6" s="9" t="s">
        <v>20</v>
      </c>
      <c r="D6" s="9" t="s">
        <v>35</v>
      </c>
      <c r="E6" s="9">
        <v>17.5</v>
      </c>
    </row>
    <row r="7" spans="1:5" ht="22.5" customHeight="1" x14ac:dyDescent="0.15">
      <c r="A7" s="8" t="s">
        <v>45</v>
      </c>
      <c r="B7" s="9" t="s">
        <v>24</v>
      </c>
      <c r="C7" s="9" t="s">
        <v>40</v>
      </c>
      <c r="D7" s="9" t="s">
        <v>48</v>
      </c>
      <c r="E7" s="9">
        <v>15</v>
      </c>
    </row>
    <row r="8" spans="1:5" ht="22.5" customHeight="1" x14ac:dyDescent="0.15">
      <c r="A8" s="8" t="s">
        <v>49</v>
      </c>
      <c r="B8" s="9" t="s">
        <v>24</v>
      </c>
      <c r="C8" s="9" t="s">
        <v>51</v>
      </c>
      <c r="D8" s="9" t="s">
        <v>52</v>
      </c>
      <c r="E8" s="9">
        <v>20</v>
      </c>
    </row>
    <row r="9" spans="1:5" ht="22.5" customHeight="1" x14ac:dyDescent="0.15">
      <c r="A9" s="8" t="s">
        <v>53</v>
      </c>
      <c r="B9" s="9" t="s">
        <v>16</v>
      </c>
      <c r="C9" s="9" t="s">
        <v>20</v>
      </c>
      <c r="D9" s="9" t="s">
        <v>55</v>
      </c>
      <c r="E9" s="9">
        <v>19.5</v>
      </c>
    </row>
    <row r="10" spans="1:5" ht="22.5" customHeight="1" x14ac:dyDescent="0.15">
      <c r="A10" s="8" t="s">
        <v>56</v>
      </c>
      <c r="B10" s="9" t="s">
        <v>24</v>
      </c>
      <c r="C10" s="9" t="s">
        <v>58</v>
      </c>
      <c r="D10" s="9" t="s">
        <v>59</v>
      </c>
      <c r="E10" s="9">
        <v>17.5</v>
      </c>
    </row>
    <row r="11" spans="1:5" ht="22.5" customHeight="1" x14ac:dyDescent="0.15">
      <c r="A11" s="8" t="s">
        <v>60</v>
      </c>
      <c r="B11" s="9" t="s">
        <v>24</v>
      </c>
      <c r="C11" s="9" t="s">
        <v>62</v>
      </c>
      <c r="D11" s="9" t="s">
        <v>63</v>
      </c>
      <c r="E11" s="9">
        <v>13</v>
      </c>
    </row>
    <row r="12" spans="1:5" ht="22.5" customHeight="1" x14ac:dyDescent="0.15">
      <c r="A12" s="8" t="s">
        <v>64</v>
      </c>
      <c r="B12" s="9" t="s">
        <v>24</v>
      </c>
      <c r="C12" s="9" t="s">
        <v>48</v>
      </c>
      <c r="D12" s="9" t="s">
        <v>21</v>
      </c>
      <c r="E12" s="9">
        <v>9.5</v>
      </c>
    </row>
    <row r="13" spans="1:5" ht="22.5" customHeight="1" x14ac:dyDescent="0.15">
      <c r="A13" s="8" t="s">
        <v>67</v>
      </c>
      <c r="B13" s="9" t="s">
        <v>24</v>
      </c>
      <c r="C13" s="9" t="s">
        <v>36</v>
      </c>
      <c r="D13" s="9" t="s">
        <v>58</v>
      </c>
      <c r="E13" s="9">
        <v>8</v>
      </c>
    </row>
    <row r="14" spans="1:5" ht="22.5" customHeight="1" x14ac:dyDescent="0.15">
      <c r="A14" s="8" t="s">
        <v>69</v>
      </c>
      <c r="B14" s="9" t="s">
        <v>16</v>
      </c>
      <c r="C14" s="9" t="s">
        <v>62</v>
      </c>
      <c r="D14" s="9" t="s">
        <v>71</v>
      </c>
      <c r="E14" s="9">
        <v>19</v>
      </c>
    </row>
    <row r="15" spans="1:5" ht="22.5" customHeight="1" x14ac:dyDescent="0.15">
      <c r="A15" s="8" t="s">
        <v>72</v>
      </c>
      <c r="B15" s="9" t="s">
        <v>16</v>
      </c>
      <c r="C15" s="9" t="s">
        <v>58</v>
      </c>
      <c r="D15" s="9" t="s">
        <v>29</v>
      </c>
      <c r="E15" s="9">
        <v>12.5</v>
      </c>
    </row>
    <row r="16" spans="1:5" ht="22.5" customHeight="1" x14ac:dyDescent="0.15">
      <c r="A16" s="8" t="s">
        <v>75</v>
      </c>
      <c r="B16" s="9" t="s">
        <v>16</v>
      </c>
      <c r="C16" s="9" t="s">
        <v>78</v>
      </c>
      <c r="D16" s="9" t="s">
        <v>62</v>
      </c>
      <c r="E16" s="9">
        <v>19</v>
      </c>
    </row>
    <row r="17" spans="1:5" ht="22.5" customHeight="1" x14ac:dyDescent="0.15">
      <c r="A17" s="8" t="s">
        <v>79</v>
      </c>
      <c r="B17" s="9" t="s">
        <v>16</v>
      </c>
      <c r="C17" s="9" t="s">
        <v>82</v>
      </c>
      <c r="D17" s="9" t="s">
        <v>52</v>
      </c>
      <c r="E17" s="9">
        <v>19</v>
      </c>
    </row>
    <row r="18" spans="1:5" ht="22.5" customHeight="1" x14ac:dyDescent="0.15">
      <c r="A18" s="8" t="s">
        <v>83</v>
      </c>
      <c r="B18" s="9" t="s">
        <v>24</v>
      </c>
      <c r="C18" s="9" t="s">
        <v>82</v>
      </c>
      <c r="D18" s="9" t="s">
        <v>21</v>
      </c>
      <c r="E18" s="9">
        <v>20</v>
      </c>
    </row>
    <row r="19" spans="1:5" ht="22.5" customHeight="1" x14ac:dyDescent="0.15">
      <c r="A19" s="8" t="s">
        <v>85</v>
      </c>
      <c r="B19" s="9" t="s">
        <v>16</v>
      </c>
      <c r="C19" s="9" t="s">
        <v>78</v>
      </c>
      <c r="D19" s="9" t="s">
        <v>29</v>
      </c>
      <c r="E19" s="9">
        <v>20</v>
      </c>
    </row>
    <row r="20" spans="1:5" ht="22.5" customHeight="1" x14ac:dyDescent="0.15">
      <c r="A20" s="8" t="s">
        <v>87</v>
      </c>
      <c r="B20" s="9" t="s">
        <v>24</v>
      </c>
      <c r="C20" s="9" t="s">
        <v>55</v>
      </c>
      <c r="D20" s="9" t="s">
        <v>52</v>
      </c>
      <c r="E20" s="9">
        <v>17.5</v>
      </c>
    </row>
    <row r="21" spans="1:5" ht="22.5" customHeight="1" x14ac:dyDescent="0.15">
      <c r="A21" s="8" t="s">
        <v>90</v>
      </c>
      <c r="B21" s="9" t="s">
        <v>16</v>
      </c>
      <c r="C21" s="9" t="s">
        <v>20</v>
      </c>
      <c r="D21" s="9" t="s">
        <v>35</v>
      </c>
      <c r="E21" s="9">
        <v>16.5</v>
      </c>
    </row>
    <row r="22" spans="1:5" ht="22.5" customHeight="1" x14ac:dyDescent="0.15">
      <c r="A22" s="8" t="s">
        <v>92</v>
      </c>
      <c r="B22" s="9" t="s">
        <v>24</v>
      </c>
      <c r="C22" s="9" t="s">
        <v>48</v>
      </c>
      <c r="D22" s="9" t="s">
        <v>63</v>
      </c>
      <c r="E22" s="9">
        <v>14</v>
      </c>
    </row>
    <row r="23" spans="1:5" ht="22.5" customHeight="1" x14ac:dyDescent="0.15">
      <c r="A23" s="8" t="s">
        <v>94</v>
      </c>
      <c r="B23" s="9" t="s">
        <v>16</v>
      </c>
      <c r="C23" s="9" t="s">
        <v>40</v>
      </c>
      <c r="D23" s="9" t="s">
        <v>62</v>
      </c>
      <c r="E23" s="9">
        <v>15</v>
      </c>
    </row>
    <row r="24" spans="1:5" ht="22.5" customHeight="1" x14ac:dyDescent="0.15">
      <c r="A24" s="8" t="s">
        <v>96</v>
      </c>
      <c r="B24" s="9" t="s">
        <v>16</v>
      </c>
      <c r="C24" s="9" t="s">
        <v>20</v>
      </c>
      <c r="D24" s="9" t="s">
        <v>59</v>
      </c>
      <c r="E24" s="9">
        <v>17</v>
      </c>
    </row>
    <row r="25" spans="1:5" ht="22.5" customHeight="1" x14ac:dyDescent="0.15">
      <c r="A25" s="8" t="s">
        <v>98</v>
      </c>
      <c r="B25" s="9" t="s">
        <v>16</v>
      </c>
      <c r="C25" s="9" t="s">
        <v>40</v>
      </c>
      <c r="D25" s="9" t="s">
        <v>100</v>
      </c>
      <c r="E25" s="9">
        <v>16.5</v>
      </c>
    </row>
    <row r="26" spans="1:5" ht="22.5" customHeight="1" x14ac:dyDescent="0.15">
      <c r="A26" s="8" t="s">
        <v>101</v>
      </c>
      <c r="B26" s="9" t="s">
        <v>24</v>
      </c>
      <c r="C26" s="9" t="s">
        <v>78</v>
      </c>
      <c r="D26" s="9" t="s">
        <v>21</v>
      </c>
      <c r="E26" s="9">
        <v>20</v>
      </c>
    </row>
    <row r="27" spans="1:5" ht="22.5" customHeight="1" x14ac:dyDescent="0.15">
      <c r="A27" s="8" t="s">
        <v>103</v>
      </c>
      <c r="B27" s="9" t="s">
        <v>16</v>
      </c>
      <c r="C27" s="9" t="s">
        <v>28</v>
      </c>
      <c r="D27" s="9" t="s">
        <v>63</v>
      </c>
      <c r="E27" s="9">
        <v>15</v>
      </c>
    </row>
    <row r="28" spans="1:5" ht="22.5" customHeight="1" x14ac:dyDescent="0.15">
      <c r="A28" s="8" t="s">
        <v>105</v>
      </c>
      <c r="B28" s="9" t="s">
        <v>24</v>
      </c>
      <c r="C28" s="9" t="s">
        <v>40</v>
      </c>
      <c r="D28" s="9" t="s">
        <v>55</v>
      </c>
      <c r="E28" s="9">
        <v>14</v>
      </c>
    </row>
    <row r="29" spans="1:5" ht="22.5" customHeight="1" x14ac:dyDescent="0.15">
      <c r="A29" s="8" t="s">
        <v>107</v>
      </c>
      <c r="B29" s="9" t="s">
        <v>24</v>
      </c>
      <c r="C29" s="9" t="s">
        <v>20</v>
      </c>
      <c r="D29" s="9" t="s">
        <v>36</v>
      </c>
      <c r="E29" s="9">
        <v>10.5</v>
      </c>
    </row>
    <row r="30" spans="1:5" ht="22.5" customHeight="1" x14ac:dyDescent="0.15">
      <c r="A30" s="8" t="s">
        <v>109</v>
      </c>
      <c r="B30" s="9" t="s">
        <v>24</v>
      </c>
      <c r="C30" s="9" t="s">
        <v>40</v>
      </c>
      <c r="D30" s="9" t="s">
        <v>63</v>
      </c>
      <c r="E30" s="9">
        <v>10</v>
      </c>
    </row>
    <row r="31" spans="1:5" ht="22.5" customHeight="1" x14ac:dyDescent="0.15">
      <c r="A31" s="8" t="s">
        <v>111</v>
      </c>
      <c r="B31" s="9" t="s">
        <v>24</v>
      </c>
      <c r="C31" s="9" t="s">
        <v>20</v>
      </c>
      <c r="D31" s="9" t="s">
        <v>55</v>
      </c>
      <c r="E31" s="9">
        <v>14</v>
      </c>
    </row>
    <row r="32" spans="1:5" ht="22.5" customHeight="1" x14ac:dyDescent="0.15">
      <c r="A32" s="8" t="s">
        <v>113</v>
      </c>
      <c r="B32" s="9" t="s">
        <v>24</v>
      </c>
      <c r="C32" s="9" t="s">
        <v>40</v>
      </c>
      <c r="D32" s="9" t="s">
        <v>36</v>
      </c>
      <c r="E32" s="9">
        <v>16.5</v>
      </c>
    </row>
    <row r="33" spans="1:5" ht="22.5" customHeight="1" x14ac:dyDescent="0.15">
      <c r="A33" s="8" t="s">
        <v>115</v>
      </c>
      <c r="B33" s="9" t="s">
        <v>16</v>
      </c>
      <c r="C33" s="9" t="s">
        <v>55</v>
      </c>
      <c r="D33" s="9" t="s">
        <v>118</v>
      </c>
      <c r="E33" s="9">
        <v>14</v>
      </c>
    </row>
    <row r="34" spans="1:5" ht="22.5" customHeight="1" x14ac:dyDescent="0.15">
      <c r="A34" s="8" t="s">
        <v>119</v>
      </c>
      <c r="B34" s="9" t="s">
        <v>16</v>
      </c>
      <c r="C34" s="9" t="s">
        <v>20</v>
      </c>
      <c r="D34" s="9" t="s">
        <v>51</v>
      </c>
      <c r="E34" s="9">
        <v>11.5</v>
      </c>
    </row>
    <row r="35" spans="1:5" ht="22.5" customHeight="1" x14ac:dyDescent="0.15">
      <c r="A35" s="8" t="s">
        <v>121</v>
      </c>
      <c r="B35" s="9" t="s">
        <v>16</v>
      </c>
      <c r="C35" s="9" t="s">
        <v>82</v>
      </c>
      <c r="D35" s="9" t="s">
        <v>35</v>
      </c>
      <c r="E35" s="9">
        <v>17.5</v>
      </c>
    </row>
    <row r="36" spans="1:5" ht="22.5" customHeight="1" x14ac:dyDescent="0.15">
      <c r="A36" s="8" t="s">
        <v>123</v>
      </c>
      <c r="B36" s="9" t="s">
        <v>24</v>
      </c>
      <c r="C36" s="9" t="s">
        <v>59</v>
      </c>
      <c r="D36" s="9" t="s">
        <v>52</v>
      </c>
      <c r="E36" s="9">
        <v>17.5</v>
      </c>
    </row>
    <row r="37" spans="1:5" ht="22.5" customHeight="1" x14ac:dyDescent="0.15">
      <c r="A37" s="8" t="s">
        <v>125</v>
      </c>
      <c r="B37" s="9" t="s">
        <v>24</v>
      </c>
      <c r="C37" s="9" t="s">
        <v>28</v>
      </c>
      <c r="D37" s="9" t="s">
        <v>63</v>
      </c>
      <c r="E37" s="9">
        <v>13</v>
      </c>
    </row>
    <row r="38" spans="1:5" ht="22.5" customHeight="1" x14ac:dyDescent="0.15">
      <c r="A38" s="8" t="s">
        <v>127</v>
      </c>
      <c r="B38" s="9" t="s">
        <v>16</v>
      </c>
      <c r="C38" s="9" t="s">
        <v>48</v>
      </c>
      <c r="D38" s="9" t="s">
        <v>51</v>
      </c>
      <c r="E38" s="9">
        <v>17</v>
      </c>
    </row>
    <row r="39" spans="1:5" ht="22.5" customHeight="1" x14ac:dyDescent="0.15">
      <c r="A39" s="8" t="s">
        <v>129</v>
      </c>
      <c r="B39" s="9" t="s">
        <v>16</v>
      </c>
      <c r="C39" s="9" t="s">
        <v>59</v>
      </c>
      <c r="D39" s="9" t="s">
        <v>21</v>
      </c>
      <c r="E39" s="9">
        <v>20</v>
      </c>
    </row>
    <row r="40" spans="1:5" ht="22.5" customHeight="1" x14ac:dyDescent="0.15">
      <c r="A40" s="8" t="s">
        <v>131</v>
      </c>
      <c r="B40" s="9" t="s">
        <v>24</v>
      </c>
      <c r="C40" s="9" t="s">
        <v>58</v>
      </c>
      <c r="D40" s="9" t="s">
        <v>52</v>
      </c>
      <c r="E40" s="9">
        <v>19.5</v>
      </c>
    </row>
    <row r="41" spans="1:5" ht="22.5" customHeight="1" x14ac:dyDescent="0.15">
      <c r="A41" s="8" t="s">
        <v>133</v>
      </c>
      <c r="B41" s="9" t="s">
        <v>16</v>
      </c>
      <c r="C41" s="9" t="s">
        <v>55</v>
      </c>
      <c r="D41" s="9" t="s">
        <v>100</v>
      </c>
      <c r="E41" s="9">
        <v>15</v>
      </c>
    </row>
    <row r="42" spans="1:5" ht="22.5" customHeight="1" x14ac:dyDescent="0.15">
      <c r="A42" s="8" t="s">
        <v>135</v>
      </c>
      <c r="B42" s="9" t="s">
        <v>16</v>
      </c>
      <c r="C42" s="9" t="s">
        <v>62</v>
      </c>
      <c r="D42" s="9" t="s">
        <v>29</v>
      </c>
      <c r="E42" s="9">
        <v>17.5</v>
      </c>
    </row>
    <row r="43" spans="1:5" ht="22.5" customHeight="1" x14ac:dyDescent="0.15">
      <c r="A43" s="8" t="s">
        <v>137</v>
      </c>
      <c r="B43" s="9" t="s">
        <v>24</v>
      </c>
      <c r="C43" s="9" t="s">
        <v>40</v>
      </c>
      <c r="D43" s="9" t="s">
        <v>36</v>
      </c>
      <c r="E43" s="9">
        <v>17.5</v>
      </c>
    </row>
    <row r="44" spans="1:5" ht="22.5" customHeight="1" x14ac:dyDescent="0.15">
      <c r="A44" s="8" t="s">
        <v>139</v>
      </c>
      <c r="B44" s="9" t="s">
        <v>16</v>
      </c>
      <c r="C44" s="9" t="s">
        <v>48</v>
      </c>
      <c r="D44" s="9" t="s">
        <v>21</v>
      </c>
      <c r="E44" s="9">
        <v>20</v>
      </c>
    </row>
    <row r="45" spans="1:5" ht="22.5" customHeight="1" x14ac:dyDescent="0.15">
      <c r="A45" s="8" t="s">
        <v>141</v>
      </c>
      <c r="B45" s="9" t="s">
        <v>16</v>
      </c>
      <c r="C45" s="9" t="s">
        <v>82</v>
      </c>
      <c r="D45" s="9" t="s">
        <v>28</v>
      </c>
      <c r="E45" s="9">
        <v>15</v>
      </c>
    </row>
    <row r="46" spans="1:5" ht="22.5" customHeight="1" x14ac:dyDescent="0.15">
      <c r="A46" s="8" t="s">
        <v>143</v>
      </c>
      <c r="B46" s="9" t="s">
        <v>16</v>
      </c>
      <c r="C46" s="9" t="s">
        <v>58</v>
      </c>
      <c r="D46" s="9" t="s">
        <v>59</v>
      </c>
      <c r="E46" s="9">
        <v>10</v>
      </c>
    </row>
    <row r="47" spans="1:5" ht="22.5" customHeight="1" x14ac:dyDescent="0.15">
      <c r="A47" s="8" t="s">
        <v>145</v>
      </c>
      <c r="B47" s="9" t="s">
        <v>16</v>
      </c>
      <c r="C47" s="9" t="s">
        <v>51</v>
      </c>
      <c r="D47" s="9" t="s">
        <v>55</v>
      </c>
      <c r="E47" s="9">
        <v>18</v>
      </c>
    </row>
    <row r="48" spans="1:5" ht="22.5" customHeight="1" x14ac:dyDescent="0.15">
      <c r="A48" s="8" t="s">
        <v>147</v>
      </c>
      <c r="B48" s="9" t="s">
        <v>24</v>
      </c>
      <c r="C48" s="9" t="s">
        <v>78</v>
      </c>
      <c r="D48" s="9" t="s">
        <v>52</v>
      </c>
      <c r="E48" s="9">
        <v>10.5</v>
      </c>
    </row>
    <row r="49" spans="1:8" ht="22.5" customHeight="1" x14ac:dyDescent="0.15">
      <c r="A49" s="8" t="s">
        <v>150</v>
      </c>
      <c r="B49" s="9" t="s">
        <v>16</v>
      </c>
      <c r="C49" s="9" t="s">
        <v>55</v>
      </c>
      <c r="D49" s="9" t="s">
        <v>153</v>
      </c>
      <c r="E49" s="9">
        <v>14</v>
      </c>
    </row>
    <row r="50" spans="1:8" ht="22.5" customHeight="1" x14ac:dyDescent="0.15">
      <c r="A50" s="8" t="s">
        <v>154</v>
      </c>
      <c r="B50" s="9" t="s">
        <v>24</v>
      </c>
      <c r="C50" s="9" t="s">
        <v>20</v>
      </c>
      <c r="D50" s="9" t="s">
        <v>63</v>
      </c>
      <c r="E50" s="9">
        <v>13.5</v>
      </c>
    </row>
    <row r="51" spans="1:8" ht="22.5" customHeight="1" x14ac:dyDescent="0.15">
      <c r="A51" s="8" t="s">
        <v>156</v>
      </c>
      <c r="B51" s="9" t="s">
        <v>24</v>
      </c>
      <c r="C51" s="9" t="s">
        <v>35</v>
      </c>
      <c r="D51" s="9" t="s">
        <v>21</v>
      </c>
      <c r="E51" s="9">
        <v>18</v>
      </c>
    </row>
    <row r="52" spans="1:8" ht="22.5" customHeight="1" x14ac:dyDescent="0.15">
      <c r="A52" s="8" t="s">
        <v>158</v>
      </c>
      <c r="B52" s="9" t="s">
        <v>16</v>
      </c>
      <c r="C52" s="9" t="s">
        <v>28</v>
      </c>
      <c r="D52" s="9" t="s">
        <v>55</v>
      </c>
      <c r="E52" s="9">
        <v>19</v>
      </c>
    </row>
    <row r="53" spans="1:8" ht="22.5" customHeight="1" x14ac:dyDescent="0.15">
      <c r="A53" s="8" t="s">
        <v>160</v>
      </c>
      <c r="B53" s="9" t="s">
        <v>24</v>
      </c>
      <c r="C53" s="9" t="s">
        <v>163</v>
      </c>
      <c r="D53" s="9" t="s">
        <v>29</v>
      </c>
      <c r="E53" s="9">
        <v>19.5</v>
      </c>
    </row>
    <row r="54" spans="1:8" ht="22.5" customHeight="1" x14ac:dyDescent="0.15">
      <c r="A54" s="8" t="s">
        <v>164</v>
      </c>
      <c r="B54" s="9" t="s">
        <v>16</v>
      </c>
      <c r="C54" s="9" t="s">
        <v>82</v>
      </c>
      <c r="D54" s="9" t="s">
        <v>62</v>
      </c>
      <c r="E54" s="9">
        <v>11.5</v>
      </c>
    </row>
    <row r="55" spans="1:8" ht="22.5" customHeight="1" x14ac:dyDescent="0.15">
      <c r="A55" s="8" t="s">
        <v>166</v>
      </c>
      <c r="B55" s="9" t="s">
        <v>24</v>
      </c>
      <c r="C55" s="9" t="s">
        <v>59</v>
      </c>
      <c r="D55" s="9" t="s">
        <v>58</v>
      </c>
      <c r="E55" s="9">
        <v>20</v>
      </c>
    </row>
    <row r="56" spans="1:8" ht="22.5" customHeight="1" x14ac:dyDescent="0.15">
      <c r="A56" s="8" t="s">
        <v>169</v>
      </c>
      <c r="B56" s="9" t="s">
        <v>24</v>
      </c>
      <c r="C56" s="9" t="s">
        <v>40</v>
      </c>
      <c r="D56" s="9" t="s">
        <v>52</v>
      </c>
      <c r="E56" s="9">
        <v>20</v>
      </c>
    </row>
    <row r="57" spans="1:8" ht="22.5" customHeight="1" x14ac:dyDescent="0.15">
      <c r="A57" s="8" t="s">
        <v>171</v>
      </c>
      <c r="B57" s="9" t="s">
        <v>24</v>
      </c>
      <c r="C57" s="9" t="s">
        <v>55</v>
      </c>
      <c r="D57" s="9" t="s">
        <v>21</v>
      </c>
      <c r="E57" s="9">
        <v>20</v>
      </c>
    </row>
    <row r="58" spans="1:8" ht="22.5" customHeight="1" x14ac:dyDescent="0.15">
      <c r="A58" s="8" t="s">
        <v>173</v>
      </c>
      <c r="B58" s="9" t="s">
        <v>16</v>
      </c>
      <c r="C58" s="9" t="s">
        <v>62</v>
      </c>
      <c r="D58" s="9" t="s">
        <v>71</v>
      </c>
      <c r="E58" s="9">
        <v>15.5</v>
      </c>
      <c r="H58" s="1">
        <f>AVERAGE(E2:E58)</f>
        <v>16.096491228070175</v>
      </c>
    </row>
  </sheetData>
  <dataValidations count="1">
    <dataValidation type="list" allowBlank="1" sqref="B2:B58" xr:uid="{00000000-0002-0000-0500-000000000000}">
      <formula1>"3EME1,3EME2"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Importrange</vt:lpstr>
      <vt:lpstr>SUJETS</vt:lpstr>
      <vt:lpstr>JURES</vt:lpstr>
      <vt:lpstr>DISCIPLINE</vt:lpstr>
      <vt:lpstr>Tableau croisé dynamique 1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Bastien CAPEL</cp:lastModifiedBy>
  <dcterms:created xsi:type="dcterms:W3CDTF">2026-05-30T07:01:37Z</dcterms:created>
  <dcterms:modified xsi:type="dcterms:W3CDTF">2026-05-30T07:01:37Z</dcterms:modified>
</cp:coreProperties>
</file>